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omments3.xml" ContentType="application/vnd.openxmlformats-officedocument.spreadsheetml.comments+xml"/>
  <Override PartName="/xl/drawings/drawing6.xml" ContentType="application/vnd.openxmlformats-officedocument.drawing+xml"/>
  <Override PartName="/xl/drawings/drawing7.xml" ContentType="application/vnd.openxmlformats-officedocument.drawing+xml"/>
  <Override PartName="/xl/embeddings/oleObject1.bin" ContentType="application/vnd.openxmlformats-officedocument.oleObject"/>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comments5.xml" ContentType="application/vnd.openxmlformats-officedocument.spreadsheetml.comments+xml"/>
  <Override PartName="/xl/drawings/drawing12.xml" ContentType="application/vnd.openxmlformats-officedocument.drawing+xml"/>
  <Override PartName="/xl/comments6.xml" ContentType="application/vnd.openxmlformats-officedocument.spreadsheetml.comments+xml"/>
  <Override PartName="/xl/drawings/drawing13.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defaultThemeVersion="124226"/>
  <mc:AlternateContent xmlns:mc="http://schemas.openxmlformats.org/markup-compatibility/2006">
    <mc:Choice Requires="x15">
      <x15ac:absPath xmlns:x15ac="http://schemas.microsoft.com/office/spreadsheetml/2010/11/ac" url="https://d.docs.live.net/378a10d676dbf431/Escritorio/Proyecto SAR/"/>
    </mc:Choice>
  </mc:AlternateContent>
  <xr:revisionPtr revIDLastSave="304" documentId="8_{DBBA3A97-E40C-43BC-8316-1434A7BB9A7E}" xr6:coauthVersionLast="47" xr6:coauthVersionMax="47" xr10:uidLastSave="{8CE5CD3D-A62C-4BB6-93C1-3A135B277B6F}"/>
  <bookViews>
    <workbookView minimized="1" xWindow="1932" yWindow="1884" windowWidth="17280" windowHeight="8880" tabRatio="867" activeTab="13" xr2:uid="{00000000-000D-0000-FFFF-FFFF00000000}"/>
  </bookViews>
  <sheets>
    <sheet name="Instrucciones" sheetId="17" r:id="rId1"/>
    <sheet name="Guía de trabajo" sheetId="12" r:id="rId2"/>
    <sheet name="Datum Aer" sheetId="20" r:id="rId3"/>
    <sheet name="VMA" sheetId="19" r:id="rId4"/>
    <sheet name="Datum" sheetId="1" r:id="rId5"/>
    <sheet name="VMS" sheetId="2" r:id="rId6"/>
    <sheet name="CTA" sheetId="3" r:id="rId7"/>
    <sheet name="CA" sheetId="4" r:id="rId8"/>
    <sheet name="AB" sheetId="5" r:id="rId9"/>
    <sheet name="CM" sheetId="16" r:id="rId10"/>
    <sheet name="E" sheetId="6" r:id="rId11"/>
    <sheet name="Ztd" sheetId="7" r:id="rId12"/>
    <sheet name="HTDMD" sheetId="8" r:id="rId13"/>
    <sheet name="HTAE" sheetId="9" r:id="rId14"/>
    <sheet name="HTAE2" sheetId="11" r:id="rId15"/>
    <sheet name="Suma Vect" sheetId="18" r:id="rId16"/>
  </sheets>
  <definedNames>
    <definedName name="_xlnm.Print_Area" localSheetId="8">AB!$A$1:$N$40</definedName>
    <definedName name="_xlnm.Print_Area" localSheetId="7">CA!$A$1:$O$34</definedName>
    <definedName name="_xlnm.Print_Area" localSheetId="9">CM!$A$1:$Z$172</definedName>
    <definedName name="_xlnm.Print_Area" localSheetId="6">CTA!$A$1:$N$61</definedName>
    <definedName name="_xlnm.Print_Area" localSheetId="4">Datum!$A$1:$Q$101</definedName>
    <definedName name="_xlnm.Print_Area" localSheetId="10">E!$A$1:$O$63</definedName>
    <definedName name="_xlnm.Print_Area" localSheetId="1">'Guía de trabajo'!$A$1:$H$47</definedName>
    <definedName name="_xlnm.Print_Area" localSheetId="13">HTAE!$A$1:$S$99</definedName>
    <definedName name="_xlnm.Print_Area" localSheetId="14">HTAE2!$A$1:$S$99</definedName>
    <definedName name="_xlnm.Print_Area" localSheetId="12">HTDMD!$A$1:$U$53</definedName>
    <definedName name="_xlnm.Print_Area" localSheetId="0">Instrucciones!$A$1:$G$36</definedName>
    <definedName name="_xlnm.Print_Area" localSheetId="15">'Suma Vect'!$A$1:$Q$58</definedName>
    <definedName name="_xlnm.Print_Area" localSheetId="5">VMS!$A$1:$P$49</definedName>
    <definedName name="_xlnm.Print_Area" localSheetId="11">Ztd!$A$1:$S$59</definedName>
  </definedNames>
  <calcPr calcId="191029" iterateDelta="1E-4"/>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H33" i="20" l="1"/>
  <c r="V43" i="20"/>
  <c r="V44" i="20"/>
  <c r="D11" i="19"/>
  <c r="D14" i="7"/>
  <c r="R9" i="9"/>
  <c r="J9" i="9"/>
  <c r="D9" i="9"/>
  <c r="P7" i="9"/>
  <c r="J7" i="9"/>
  <c r="D7" i="9"/>
  <c r="J9" i="7"/>
  <c r="D9" i="7"/>
  <c r="P7" i="7"/>
  <c r="J7" i="7"/>
  <c r="D7" i="7"/>
  <c r="N8" i="6"/>
  <c r="J8" i="6"/>
  <c r="D8" i="6"/>
  <c r="M6" i="6"/>
  <c r="J6" i="6"/>
  <c r="D6" i="6"/>
  <c r="M15" i="4"/>
  <c r="R30" i="19" l="1"/>
  <c r="R29" i="19"/>
  <c r="Q29" i="19"/>
  <c r="R27" i="19"/>
  <c r="Q27" i="19"/>
  <c r="R25" i="19"/>
  <c r="Q25" i="19"/>
  <c r="R23" i="19"/>
  <c r="Q23" i="19"/>
  <c r="R21" i="19"/>
  <c r="Q21" i="19"/>
  <c r="R19" i="19"/>
  <c r="Q19" i="19"/>
  <c r="N30" i="19"/>
  <c r="Q30" i="19" s="1"/>
  <c r="G30" i="19"/>
  <c r="G28" i="19"/>
  <c r="N28" i="19" s="1"/>
  <c r="G26" i="19"/>
  <c r="N26" i="19" s="1"/>
  <c r="R26" i="19" s="1"/>
  <c r="G24" i="19"/>
  <c r="N24" i="19" s="1"/>
  <c r="R24" i="19" s="1"/>
  <c r="G22" i="19"/>
  <c r="N22" i="19" s="1"/>
  <c r="R22" i="19" s="1"/>
  <c r="G20" i="19"/>
  <c r="N20" i="19" s="1"/>
  <c r="R20" i="19" s="1"/>
  <c r="G18" i="19"/>
  <c r="N18" i="19" s="1"/>
  <c r="Q18" i="19" s="1"/>
  <c r="H27" i="20"/>
  <c r="H35" i="20" s="1"/>
  <c r="K8" i="19"/>
  <c r="D8" i="19"/>
  <c r="N6" i="19"/>
  <c r="K6" i="19"/>
  <c r="D6" i="19"/>
  <c r="O8" i="19"/>
  <c r="R57" i="11"/>
  <c r="P57" i="11"/>
  <c r="N57" i="11"/>
  <c r="L57" i="11"/>
  <c r="R57" i="9"/>
  <c r="P57" i="9"/>
  <c r="N57" i="9"/>
  <c r="R28" i="19" l="1"/>
  <c r="Q28" i="19"/>
  <c r="Q20" i="19"/>
  <c r="R18" i="19"/>
  <c r="Q26" i="19"/>
  <c r="Q22" i="19"/>
  <c r="Q24" i="19"/>
  <c r="D33" i="19"/>
  <c r="H37" i="20"/>
  <c r="P14" i="8"/>
  <c r="E14" i="9"/>
  <c r="M86" i="1"/>
  <c r="M84" i="1"/>
  <c r="J8" i="3"/>
  <c r="S39" i="18"/>
  <c r="R39" i="18"/>
  <c r="S38" i="18"/>
  <c r="R38" i="18"/>
  <c r="S37" i="18"/>
  <c r="R37" i="18"/>
  <c r="S36" i="18"/>
  <c r="R36" i="18"/>
  <c r="S35" i="18"/>
  <c r="R35" i="18"/>
  <c r="S34" i="18"/>
  <c r="R34" i="18"/>
  <c r="S33" i="18"/>
  <c r="R33" i="18"/>
  <c r="S32" i="18"/>
  <c r="R32" i="18"/>
  <c r="S31" i="18"/>
  <c r="R31" i="18"/>
  <c r="S30" i="18"/>
  <c r="R30" i="18"/>
  <c r="S29" i="18"/>
  <c r="R29" i="18"/>
  <c r="S28" i="18"/>
  <c r="R28" i="18"/>
  <c r="S27" i="18"/>
  <c r="R27" i="18"/>
  <c r="S26" i="18"/>
  <c r="R26" i="18"/>
  <c r="S25" i="18"/>
  <c r="R25" i="18"/>
  <c r="S24" i="18"/>
  <c r="R24" i="18"/>
  <c r="S23" i="18"/>
  <c r="R23" i="18"/>
  <c r="S22" i="18"/>
  <c r="R22" i="18"/>
  <c r="S21" i="18"/>
  <c r="R21" i="18"/>
  <c r="S20" i="18"/>
  <c r="R20" i="18"/>
  <c r="S19" i="18"/>
  <c r="R19" i="18"/>
  <c r="S18" i="18"/>
  <c r="R18" i="18"/>
  <c r="S17" i="18"/>
  <c r="S43" i="18" s="1"/>
  <c r="R17" i="18"/>
  <c r="S42" i="18" s="1"/>
  <c r="N34" i="1"/>
  <c r="N49" i="1"/>
  <c r="T73" i="1"/>
  <c r="T74" i="1"/>
  <c r="T83" i="1"/>
  <c r="T84" i="1"/>
  <c r="M29" i="3"/>
  <c r="O9" i="2"/>
  <c r="K9" i="2"/>
  <c r="D9" i="2"/>
  <c r="D11" i="18"/>
  <c r="P9" i="18"/>
  <c r="J9" i="18"/>
  <c r="D9" i="18"/>
  <c r="N7" i="18"/>
  <c r="J7" i="18"/>
  <c r="D7" i="18"/>
  <c r="D14" i="11"/>
  <c r="K14" i="11"/>
  <c r="K14" i="9"/>
  <c r="W150" i="16"/>
  <c r="P60" i="16"/>
  <c r="P54" i="16"/>
  <c r="P56" i="16"/>
  <c r="W152" i="16"/>
  <c r="P80" i="16"/>
  <c r="P74" i="16"/>
  <c r="P76" i="16"/>
  <c r="P82" i="16"/>
  <c r="P86" i="16" s="1"/>
  <c r="Y152" i="16" s="1"/>
  <c r="AA151" i="16" s="1"/>
  <c r="W154" i="16"/>
  <c r="P100" i="16"/>
  <c r="P94" i="16"/>
  <c r="P96" i="16" s="1"/>
  <c r="P102" i="16" s="1"/>
  <c r="P106" i="16" s="1"/>
  <c r="Y154" i="16" s="1"/>
  <c r="W156" i="16"/>
  <c r="P120" i="16"/>
  <c r="P114" i="16"/>
  <c r="P116" i="16" s="1"/>
  <c r="W158" i="16"/>
  <c r="P140" i="16"/>
  <c r="P134" i="16"/>
  <c r="P136" i="16"/>
  <c r="P142" i="16"/>
  <c r="P146" i="16"/>
  <c r="Y158" i="16" s="1"/>
  <c r="Q34" i="3"/>
  <c r="M28" i="4"/>
  <c r="M42" i="3" s="1"/>
  <c r="N18" i="2"/>
  <c r="Q18" i="2" s="1"/>
  <c r="Q36" i="3"/>
  <c r="R34" i="3"/>
  <c r="R36" i="3"/>
  <c r="N20" i="2"/>
  <c r="R20" i="2" s="1"/>
  <c r="Q20" i="2"/>
  <c r="M32" i="5"/>
  <c r="N45" i="1" s="1"/>
  <c r="M34" i="5"/>
  <c r="N47" i="1" s="1"/>
  <c r="J29" i="7"/>
  <c r="L29" i="7"/>
  <c r="N29" i="7"/>
  <c r="P29" i="7"/>
  <c r="R29" i="7"/>
  <c r="R44" i="7"/>
  <c r="L22" i="6"/>
  <c r="L27" i="6" s="1"/>
  <c r="L33" i="6"/>
  <c r="M44" i="3"/>
  <c r="L51" i="6"/>
  <c r="L53" i="6" s="1"/>
  <c r="P44" i="7"/>
  <c r="N44" i="7"/>
  <c r="L44" i="7"/>
  <c r="J44" i="7"/>
  <c r="I95" i="9" s="1"/>
  <c r="R9" i="11"/>
  <c r="J9" i="11"/>
  <c r="D9" i="11"/>
  <c r="P7" i="11"/>
  <c r="J7" i="11"/>
  <c r="D7" i="11"/>
  <c r="N32" i="2"/>
  <c r="R32" i="2" s="1"/>
  <c r="Q32" i="2"/>
  <c r="N30" i="2"/>
  <c r="R30" i="2" s="1"/>
  <c r="Q30" i="2"/>
  <c r="N28" i="2"/>
  <c r="R28" i="2" s="1"/>
  <c r="N26" i="2"/>
  <c r="R26" i="2" s="1"/>
  <c r="Q26" i="2"/>
  <c r="N24" i="2"/>
  <c r="Q24" i="2" s="1"/>
  <c r="N22" i="2"/>
  <c r="R22" i="2" s="1"/>
  <c r="E35" i="2"/>
  <c r="D11" i="5"/>
  <c r="N9" i="5"/>
  <c r="J9" i="5"/>
  <c r="D9" i="5"/>
  <c r="M7" i="5"/>
  <c r="J7" i="5"/>
  <c r="D7" i="5"/>
  <c r="N8" i="4"/>
  <c r="J8" i="4"/>
  <c r="D8" i="4"/>
  <c r="M6" i="4"/>
  <c r="J6" i="4"/>
  <c r="D6" i="4"/>
  <c r="P52" i="16"/>
  <c r="R160" i="16"/>
  <c r="O160" i="16"/>
  <c r="P72" i="16"/>
  <c r="P92" i="16"/>
  <c r="P112" i="16"/>
  <c r="P132" i="16"/>
  <c r="AB44" i="16"/>
  <c r="AB45" i="16"/>
  <c r="U46" i="16"/>
  <c r="AB42" i="16"/>
  <c r="AB43" i="16"/>
  <c r="U44" i="16" s="1"/>
  <c r="W27" i="16"/>
  <c r="O27" i="16"/>
  <c r="Q40" i="16"/>
  <c r="I40" i="16"/>
  <c r="J27" i="16"/>
  <c r="A27" i="16"/>
  <c r="F11" i="16"/>
  <c r="W9" i="16"/>
  <c r="P9" i="16"/>
  <c r="F9" i="16"/>
  <c r="V7" i="16"/>
  <c r="P7" i="16"/>
  <c r="F7" i="16"/>
  <c r="N8" i="3"/>
  <c r="D8" i="3"/>
  <c r="M6" i="3"/>
  <c r="J6" i="3"/>
  <c r="D6" i="3"/>
  <c r="P40" i="8"/>
  <c r="E14" i="8"/>
  <c r="T9" i="8"/>
  <c r="L9" i="8"/>
  <c r="E9" i="8"/>
  <c r="R7" i="8"/>
  <c r="L7" i="8"/>
  <c r="E7" i="8"/>
  <c r="D7" i="2"/>
  <c r="K7" i="2"/>
  <c r="N7" i="2"/>
  <c r="N14" i="7"/>
  <c r="R9" i="7"/>
  <c r="R33" i="19" l="1"/>
  <c r="Q33" i="19"/>
  <c r="J57" i="9"/>
  <c r="J57" i="11"/>
  <c r="R24" i="2"/>
  <c r="L57" i="9"/>
  <c r="J46" i="7"/>
  <c r="R18" i="2"/>
  <c r="R35" i="2" s="1"/>
  <c r="AB151" i="16"/>
  <c r="R46" i="7"/>
  <c r="Q28" i="2"/>
  <c r="P46" i="7"/>
  <c r="P62" i="16"/>
  <c r="P66" i="16" s="1"/>
  <c r="Y150" i="16" s="1"/>
  <c r="AA150" i="16" s="1"/>
  <c r="N46" i="7"/>
  <c r="M58" i="3"/>
  <c r="N41" i="1" s="1"/>
  <c r="N76" i="1" s="1"/>
  <c r="L36" i="6" s="1"/>
  <c r="L38" i="6" s="1"/>
  <c r="L58" i="6" s="1"/>
  <c r="Q22" i="2"/>
  <c r="R34" i="2" s="1"/>
  <c r="AA152" i="16"/>
  <c r="AB152" i="16"/>
  <c r="R45" i="18"/>
  <c r="V42" i="18"/>
  <c r="N45" i="18" s="1"/>
  <c r="U42" i="18"/>
  <c r="L45" i="18" s="1"/>
  <c r="P122" i="16"/>
  <c r="P126" i="16" s="1"/>
  <c r="Y156" i="16" s="1"/>
  <c r="AA153" i="16" s="1"/>
  <c r="AB150" i="16"/>
  <c r="AA154" i="16"/>
  <c r="AB154" i="16"/>
  <c r="L46" i="7"/>
  <c r="M33" i="19" l="1"/>
  <c r="K36" i="19" s="1"/>
  <c r="J41" i="20" s="1"/>
  <c r="J43" i="20" s="1"/>
  <c r="Q34" i="19"/>
  <c r="K33" i="19" s="1"/>
  <c r="I36" i="19" s="1"/>
  <c r="H41" i="20" s="1"/>
  <c r="H43" i="20" s="1"/>
  <c r="L49" i="7"/>
  <c r="P16" i="8" s="1"/>
  <c r="M35" i="2"/>
  <c r="M38" i="2" s="1"/>
  <c r="M13" i="5" s="1"/>
  <c r="N94" i="1"/>
  <c r="L61" i="6"/>
  <c r="O25" i="9" s="1"/>
  <c r="O37" i="9" s="1"/>
  <c r="R36" i="2"/>
  <c r="J35" i="2" s="1"/>
  <c r="J38" i="2" s="1"/>
  <c r="O59" i="9"/>
  <c r="AB153" i="16"/>
  <c r="AB158" i="16" s="1"/>
  <c r="AA159" i="16" s="1"/>
  <c r="AB157" i="16"/>
  <c r="O59" i="11"/>
  <c r="U63" i="11" s="1"/>
  <c r="T43" i="20" l="1"/>
  <c r="T44" i="20"/>
  <c r="M12" i="4"/>
  <c r="N32" i="1"/>
  <c r="N96" i="1"/>
  <c r="P23" i="8" s="1"/>
  <c r="O25" i="11"/>
  <c r="O37" i="11" s="1"/>
  <c r="U41" i="11" s="1"/>
  <c r="U41" i="9"/>
  <c r="N160" i="16"/>
  <c r="K27" i="3" s="1"/>
  <c r="Q160" i="16"/>
  <c r="M27" i="3" s="1"/>
  <c r="K12" i="4"/>
  <c r="L32" i="1"/>
  <c r="K13" i="5"/>
  <c r="L16" i="5" s="1"/>
  <c r="U63" i="9"/>
  <c r="J45" i="20" l="1"/>
  <c r="T45" i="20"/>
  <c r="H45" i="20" s="1"/>
  <c r="L15" i="4"/>
  <c r="P20" i="4" s="1"/>
  <c r="L23" i="4" s="1"/>
  <c r="K28" i="4" s="1"/>
  <c r="K42" i="3" s="1"/>
  <c r="Q35" i="3"/>
  <c r="R35" i="3"/>
  <c r="Q25" i="5"/>
  <c r="L28" i="5" s="1"/>
  <c r="K34" i="5" s="1"/>
  <c r="L47" i="1" s="1"/>
  <c r="Q24" i="5"/>
  <c r="L26" i="5" s="1"/>
  <c r="K32" i="5" s="1"/>
  <c r="L45" i="1" s="1"/>
  <c r="Q33" i="3"/>
  <c r="R33" i="3"/>
  <c r="V45" i="20" l="1"/>
  <c r="V47" i="20" s="1"/>
  <c r="V46" i="20"/>
  <c r="Q46" i="3"/>
  <c r="Q45" i="3"/>
  <c r="R62" i="1"/>
  <c r="S62" i="1"/>
  <c r="U62" i="1"/>
  <c r="T62" i="1"/>
  <c r="V48" i="20" l="1"/>
  <c r="Q47" i="3"/>
  <c r="K55" i="3" s="1"/>
  <c r="L39" i="1" s="1"/>
  <c r="M55" i="3"/>
  <c r="N39" i="1" s="1"/>
  <c r="T61" i="1" l="1"/>
  <c r="T63" i="1" s="1"/>
  <c r="S61" i="1"/>
  <c r="S63" i="1" s="1"/>
  <c r="R61" i="1"/>
  <c r="R63" i="1" s="1"/>
  <c r="U61" i="1"/>
  <c r="U63" i="1" s="1"/>
  <c r="T65" i="1" l="1"/>
  <c r="N69" i="1" s="1"/>
  <c r="N71" i="1"/>
  <c r="N73" i="1" s="1"/>
  <c r="J71" i="1"/>
  <c r="J73" i="1" s="1"/>
  <c r="R65" i="1"/>
  <c r="J69" i="1" s="1"/>
  <c r="T86" i="1" l="1"/>
  <c r="T89" i="1" s="1"/>
  <c r="J86" i="1" s="1"/>
  <c r="U87" i="1"/>
  <c r="T76" i="1"/>
  <c r="T79" i="1" s="1"/>
  <c r="J84" i="1" s="1"/>
  <c r="U77" i="1"/>
  <c r="W95" i="1" l="1"/>
  <c r="V93" i="1"/>
  <c r="T87" i="1"/>
  <c r="T90" i="1" s="1"/>
  <c r="N86" i="1" s="1"/>
  <c r="T77" i="1"/>
  <c r="T80" i="1" s="1"/>
  <c r="N84" i="1" s="1"/>
  <c r="F11" i="11" s="1"/>
  <c r="B11" i="11"/>
  <c r="B11" i="8"/>
  <c r="B11" i="7"/>
  <c r="B11" i="9"/>
  <c r="L11" i="7"/>
  <c r="L11" i="11"/>
  <c r="L11" i="9"/>
  <c r="L11" i="8"/>
  <c r="U89" i="1"/>
  <c r="L86" i="1" s="1"/>
  <c r="U79" i="1"/>
  <c r="L84" i="1" s="1"/>
  <c r="F11" i="7" l="1"/>
  <c r="F11" i="8"/>
  <c r="F11" i="9"/>
  <c r="W96" i="1"/>
  <c r="V97" i="1" s="1"/>
  <c r="N89" i="1" s="1"/>
  <c r="U80" i="1"/>
  <c r="P84" i="1" s="1"/>
  <c r="H11" i="9" s="1"/>
  <c r="D11" i="9"/>
  <c r="D11" i="7"/>
  <c r="D11" i="11"/>
  <c r="D11" i="8"/>
  <c r="P11" i="11"/>
  <c r="R11" i="8"/>
  <c r="P11" i="9"/>
  <c r="P11" i="7"/>
  <c r="U90" i="1"/>
  <c r="P86" i="1" s="1"/>
  <c r="N11" i="11"/>
  <c r="N11" i="8"/>
  <c r="N11" i="9"/>
  <c r="N11" i="7"/>
  <c r="U43" i="9" l="1"/>
  <c r="U65" i="11"/>
  <c r="U65" i="9"/>
  <c r="H11" i="11"/>
  <c r="H11" i="7"/>
  <c r="N98" i="1"/>
  <c r="N52" i="7" s="1"/>
  <c r="O18" i="11" s="1"/>
  <c r="H11" i="8"/>
  <c r="U43" i="11"/>
  <c r="P20" i="8"/>
  <c r="P48" i="8"/>
  <c r="T11" i="8"/>
  <c r="R11" i="11"/>
  <c r="R11" i="7"/>
  <c r="R11" i="9"/>
  <c r="O27" i="9" l="1"/>
  <c r="U81" i="9" s="1"/>
  <c r="O27" i="11"/>
  <c r="O18" i="9"/>
  <c r="O29" i="9" l="1"/>
  <c r="O31" i="9" s="1"/>
  <c r="O33" i="9" s="1"/>
  <c r="U67" i="9"/>
  <c r="O61" i="9" s="1"/>
  <c r="U85" i="9" s="1"/>
  <c r="O79" i="9" s="1"/>
  <c r="U45" i="9"/>
  <c r="O39" i="9" s="1"/>
  <c r="O47" i="9" s="1"/>
  <c r="R50" i="9" s="1"/>
  <c r="U45" i="11"/>
  <c r="O39" i="11" s="1"/>
  <c r="O47" i="11" s="1"/>
  <c r="U67" i="11"/>
  <c r="O61" i="11" s="1"/>
  <c r="U85" i="11" s="1"/>
  <c r="U81" i="11"/>
  <c r="O79" i="11" s="1"/>
  <c r="O29" i="11"/>
  <c r="U83" i="11" l="1"/>
  <c r="O87" i="11"/>
  <c r="U74" i="11"/>
  <c r="O72" i="11" s="1"/>
  <c r="U76" i="11"/>
  <c r="O31" i="11"/>
  <c r="O33" i="11" s="1"/>
  <c r="U83" i="9"/>
  <c r="U74" i="9"/>
  <c r="O87" i="9"/>
  <c r="U76" i="9"/>
  <c r="N50" i="11"/>
  <c r="J50" i="11"/>
  <c r="P50" i="9"/>
  <c r="L50" i="9"/>
  <c r="R50" i="11"/>
  <c r="P50" i="11"/>
  <c r="L50" i="11"/>
  <c r="J50" i="9"/>
  <c r="N50" i="9"/>
  <c r="O72" i="9" l="1"/>
  <c r="K49" i="20" l="1"/>
  <c r="I49" i="20"/>
  <c r="O49" i="20" l="1"/>
  <c r="M49" i="2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Nico</author>
    <author>gabriel pariente</author>
  </authors>
  <commentList>
    <comment ref="I15" authorId="0" shapeId="0" xr:uid="{D1E1B15C-23EE-4AC8-8286-6AC027F85FC3}">
      <text>
        <r>
          <rPr>
            <sz val="10"/>
            <color indexed="81"/>
            <rFont val="Tahoma"/>
            <family val="2"/>
          </rPr>
          <t xml:space="preserve">INSERTE:
011030
ddhh
</t>
        </r>
        <r>
          <rPr>
            <sz val="8"/>
            <color indexed="81"/>
            <rFont val="Tahoma"/>
            <family val="2"/>
          </rPr>
          <t xml:space="preserve">
</t>
        </r>
      </text>
    </comment>
    <comment ref="M15" authorId="0" shapeId="0" xr:uid="{C7F57BDC-6380-4155-B620-6E3DB6B08C01}">
      <text>
        <r>
          <rPr>
            <sz val="10"/>
            <color indexed="81"/>
            <rFont val="Tahoma"/>
            <family val="2"/>
          </rPr>
          <t>INSERTE:
01/2003
mm/a</t>
        </r>
        <r>
          <rPr>
            <sz val="8"/>
            <color indexed="81"/>
            <rFont val="Tahoma"/>
            <family val="2"/>
          </rPr>
          <t xml:space="preserve">
</t>
        </r>
      </text>
    </comment>
    <comment ref="L17" authorId="1" shapeId="0" xr:uid="{475FC4A3-4ABC-4CF0-9B02-AFDC1C324F4D}">
      <text>
        <r>
          <rPr>
            <b/>
            <sz val="10"/>
            <color indexed="81"/>
            <rFont val="Tahoma"/>
            <family val="2"/>
          </rPr>
          <t>Colocar  N
Para hemisferio Norte,
sino dejar S</t>
        </r>
      </text>
    </comment>
    <comment ref="H29" authorId="1" shapeId="0" xr:uid="{A7C18406-8C8A-4189-BA9F-CC2198409147}">
      <text>
        <r>
          <rPr>
            <b/>
            <sz val="9"/>
            <color indexed="81"/>
            <rFont val="Tahoma"/>
            <family val="2"/>
          </rPr>
          <t>gabriel pariente:</t>
        </r>
        <r>
          <rPr>
            <sz val="9"/>
            <color indexed="81"/>
            <rFont val="Tahoma"/>
            <family val="2"/>
          </rPr>
          <t xml:space="preserve">
Cociente de planeo. Se puede ingresar como fracción (1/20) o como número entero/mixto (20 o 17 1/2). H33 detecta el formato automáticamente.</t>
        </r>
      </text>
    </comment>
    <comment ref="H33" authorId="1" shapeId="0" xr:uid="{675D0767-492B-4628-B2D7-3EBB7CA4B182}">
      <text>
        <r>
          <rPr>
            <b/>
            <sz val="9"/>
            <color indexed="81"/>
            <rFont val="Tahoma"/>
            <family val="2"/>
          </rPr>
          <t>gabriel pariente:</t>
        </r>
        <r>
          <rPr>
            <sz val="9"/>
            <color indexed="81"/>
            <rFont val="Tahoma"/>
            <family val="2"/>
          </rPr>
          <t xml:space="preserve">
Velocidad de descenso (rated) en pies/min. Si H29 se ingresa como cociente de planeo (ej. 17 = 17:1) divide; si se ingresa como fracción (ej. 1/17 = 0,0588) multiplica.</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Nico</author>
    <author>...</author>
    <author>gabriel pariente</author>
  </authors>
  <commentList>
    <comment ref="J19" authorId="0" shapeId="0" xr:uid="{00000000-0006-0000-0200-000001000000}">
      <text>
        <r>
          <rPr>
            <sz val="10"/>
            <color indexed="81"/>
            <rFont val="Tahoma"/>
            <family val="2"/>
          </rPr>
          <t xml:space="preserve">INSERTE:
011030
ddhh
</t>
        </r>
        <r>
          <rPr>
            <sz val="8"/>
            <color indexed="81"/>
            <rFont val="Tahoma"/>
            <family val="2"/>
          </rPr>
          <t xml:space="preserve">
</t>
        </r>
      </text>
    </comment>
    <comment ref="N19" authorId="0" shapeId="0" xr:uid="{00000000-0006-0000-0200-000002000000}">
      <text>
        <r>
          <rPr>
            <sz val="10"/>
            <color indexed="81"/>
            <rFont val="Tahoma"/>
            <family val="2"/>
          </rPr>
          <t>INSERTE:
01/2003
mm/a</t>
        </r>
        <r>
          <rPr>
            <sz val="8"/>
            <color indexed="81"/>
            <rFont val="Tahoma"/>
            <family val="2"/>
          </rPr>
          <t xml:space="preserve">
</t>
        </r>
      </text>
    </comment>
    <comment ref="L21" authorId="1" shapeId="0" xr:uid="{00000000-0006-0000-0200-000003000000}">
      <text>
        <r>
          <rPr>
            <sz val="8"/>
            <color indexed="81"/>
            <rFont val="Tahoma"/>
            <family val="2"/>
          </rPr>
          <t>INSERTE LOS SEGUNDOS COMO DECIMALES DE MINUTO.
EJ: 35</t>
        </r>
        <r>
          <rPr>
            <sz val="8"/>
            <color indexed="81"/>
            <rFont val="Tahoma"/>
            <family val="2"/>
          </rPr>
          <t>’</t>
        </r>
        <r>
          <rPr>
            <sz val="9.1999999999999993"/>
            <color indexed="81"/>
            <rFont val="Tahoma"/>
            <family val="2"/>
          </rPr>
          <t xml:space="preserve"> 42</t>
        </r>
        <r>
          <rPr>
            <sz val="9.1999999999999993"/>
            <color indexed="81"/>
            <rFont val="Tahoma"/>
            <family val="2"/>
          </rPr>
          <t>” = 35,7</t>
        </r>
        <r>
          <rPr>
            <sz val="8"/>
            <color indexed="81"/>
            <rFont val="Tahoma"/>
            <family val="2"/>
          </rPr>
          <t xml:space="preserve">
</t>
        </r>
      </text>
    </comment>
    <comment ref="M21" authorId="2" shapeId="0" xr:uid="{00000000-0006-0000-0200-000004000000}">
      <text>
        <r>
          <rPr>
            <b/>
            <sz val="10"/>
            <color indexed="81"/>
            <rFont val="Tahoma"/>
            <family val="2"/>
          </rPr>
          <t>Colocar  N
Para hemisferio Norte,
sino dejar S</t>
        </r>
      </text>
    </comment>
    <comment ref="N25" authorId="0" shapeId="0" xr:uid="{00000000-0006-0000-0200-000005000000}">
      <text>
        <r>
          <rPr>
            <sz val="10"/>
            <color indexed="81"/>
            <rFont val="Tahoma"/>
            <family val="2"/>
          </rPr>
          <t>INSERTE:
01/2003
mm/a</t>
        </r>
        <r>
          <rPr>
            <sz val="8"/>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gabriel</author>
  </authors>
  <commentList>
    <comment ref="L20" authorId="0" shapeId="0" xr:uid="{00000000-0006-0000-0500-000001000000}">
      <text>
        <r>
          <rPr>
            <b/>
            <sz val="8"/>
            <color indexed="81"/>
            <rFont val="Tahoma"/>
            <family val="2"/>
          </rPr>
          <t>HEMISFERIO SUR: 30
HEMISFERIO NORTE: -30</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Nico</author>
  </authors>
  <commentList>
    <comment ref="P34" authorId="0" shapeId="0" xr:uid="{00000000-0006-0000-0A00-000001000000}">
      <text>
        <r>
          <rPr>
            <sz val="8"/>
            <color indexed="81"/>
            <rFont val="Tahoma"/>
            <family val="2"/>
          </rPr>
          <t xml:space="preserve">
DE LA LINEA 13 DE Ztd
COLOCAR Z DE LA UNIDAD O UNIDADES QUE ESTARAN AFECTADAS A ESTA ZONA</t>
        </r>
      </text>
    </comment>
    <comment ref="P37" authorId="0" shapeId="0" xr:uid="{00000000-0006-0000-0A00-000002000000}">
      <text>
        <r>
          <rPr>
            <sz val="8"/>
            <color indexed="81"/>
            <rFont val="Tahoma"/>
            <family val="2"/>
          </rPr>
          <t xml:space="preserve">
DE LA LINEA 13 DE Ztd
COLOCAR Z DE LA UNIDAD O UNIDADES QUE ESTARAN AFECTADAS A ESTA ZONA</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Nicolas</author>
    <author>gabriel</author>
    <author>Nico</author>
  </authors>
  <commentList>
    <comment ref="R14" authorId="0" shapeId="0" xr:uid="{00000000-0006-0000-0B00-000001000000}">
      <text>
        <r>
          <rPr>
            <b/>
            <sz val="15"/>
            <color indexed="81"/>
            <rFont val="Tahoma"/>
            <family val="2"/>
          </rPr>
          <t>Nicolas:</t>
        </r>
        <r>
          <rPr>
            <sz val="15"/>
            <color indexed="81"/>
            <rFont val="Tahoma"/>
            <family val="2"/>
          </rPr>
          <t xml:space="preserve">
Agregar la longitud de la linea de referencia si corresponde.</t>
        </r>
      </text>
    </comment>
    <comment ref="R15" authorId="0" shapeId="0" xr:uid="{18390967-2798-4EFF-B15E-C07E58D89C63}">
      <text>
        <r>
          <rPr>
            <b/>
            <sz val="15"/>
            <color indexed="81"/>
            <rFont val="Tahoma"/>
            <family val="2"/>
          </rPr>
          <t>Nicolas:</t>
        </r>
        <r>
          <rPr>
            <sz val="15"/>
            <color indexed="81"/>
            <rFont val="Tahoma"/>
            <family val="2"/>
          </rPr>
          <t xml:space="preserve">
Agregar la longitud de la linea de referencia si corresponde.</t>
        </r>
      </text>
    </comment>
    <comment ref="R35" authorId="1" shapeId="0" xr:uid="{00000000-0006-0000-0B00-000002000000}">
      <text>
        <r>
          <rPr>
            <sz val="8"/>
            <color indexed="81"/>
            <rFont val="Tahoma"/>
            <family val="2"/>
          </rPr>
          <t>Apéndice N (Figura N-5 o N-6 para punto único o divergencia del abatimiento de referencia, o
Figura N-7 o N-8 para linea de referencia</t>
        </r>
      </text>
    </comment>
    <comment ref="R53" authorId="2" shapeId="0" xr:uid="{00000000-0006-0000-0B00-000003000000}">
      <text>
        <r>
          <rPr>
            <sz val="8"/>
            <color indexed="81"/>
            <rFont val="Tahoma"/>
            <family val="2"/>
          </rPr>
          <t xml:space="preserve">
SI ESTA PLANIFICANDO UNA BUSQUEDA PARA DATOS MUY DIVERGENTES
</t>
        </r>
        <r>
          <rPr>
            <u/>
            <sz val="8"/>
            <color indexed="53"/>
            <rFont val="Tahoma"/>
            <family val="2"/>
          </rPr>
          <t>"COLOQUE SOLO PARA LAS UNIDADES QUE UTILIZARAN EN LA  ZONA IZQUIERDA".</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Nicolas</author>
    <author>gabriel</author>
    <author>Nico</author>
  </authors>
  <commentList>
    <comment ref="R14" authorId="0" shapeId="0" xr:uid="{00000000-0006-0000-0C00-000001000000}">
      <text>
        <r>
          <rPr>
            <b/>
            <sz val="15"/>
            <color indexed="81"/>
            <rFont val="Tahoma"/>
            <family val="2"/>
          </rPr>
          <t>Nicolas:</t>
        </r>
        <r>
          <rPr>
            <sz val="15"/>
            <color indexed="81"/>
            <rFont val="Tahoma"/>
            <family val="2"/>
          </rPr>
          <t xml:space="preserve">
Agregar la longitud de la linea de referencia si corresponde.</t>
        </r>
      </text>
    </comment>
    <comment ref="R35" authorId="1" shapeId="0" xr:uid="{00000000-0006-0000-0C00-000002000000}">
      <text>
        <r>
          <rPr>
            <sz val="8"/>
            <color indexed="81"/>
            <rFont val="Tahoma"/>
            <family val="2"/>
          </rPr>
          <t>Apéndice N (Figura N-5 o N-6 para punto único o divergencia del abatimiento de referencia, o
Figura N-7 o N-8 para linea de referencia</t>
        </r>
      </text>
    </comment>
    <comment ref="R53" authorId="2" shapeId="0" xr:uid="{00000000-0006-0000-0C00-000003000000}">
      <text>
        <r>
          <rPr>
            <sz val="8"/>
            <color indexed="81"/>
            <rFont val="Tahoma"/>
            <family val="2"/>
          </rPr>
          <t xml:space="preserve">
SI ESTA PLANIFICANDO UNA BUSQUEDA PARA DATOS MUY DIVERGENTES
</t>
        </r>
        <r>
          <rPr>
            <u/>
            <sz val="8"/>
            <color indexed="53"/>
            <rFont val="Tahoma"/>
            <family val="2"/>
          </rPr>
          <t>"COLOQUE SOLO PARA LAS UNIDADES QUE UTILIZARAN EN LA  ZONA IZQUIERDA".</t>
        </r>
      </text>
    </comment>
  </commentList>
</comments>
</file>

<file path=xl/sharedStrings.xml><?xml version="1.0" encoding="utf-8"?>
<sst xmlns="http://schemas.openxmlformats.org/spreadsheetml/2006/main" count="1703" uniqueCount="602">
  <si>
    <t>Designación del caso:</t>
  </si>
  <si>
    <t>Número del caso:</t>
  </si>
  <si>
    <t>Fecha:</t>
  </si>
  <si>
    <t>Nombre del planificador:</t>
  </si>
  <si>
    <t>Número de dátum:</t>
  </si>
  <si>
    <t xml:space="preserve">Plan de Búsqueda: A B C </t>
  </si>
  <si>
    <t>Objeto de la búsqueda:</t>
  </si>
  <si>
    <t>A.</t>
  </si>
  <si>
    <t>Posición inicial para este intervalo de deriva</t>
  </si>
  <si>
    <t>Tipo de posición</t>
  </si>
  <si>
    <t>Ultima posición conocida</t>
  </si>
  <si>
    <t>(señalar con una X)</t>
  </si>
  <si>
    <t>Posición estimada del suceso</t>
  </si>
  <si>
    <t>Dátum previo</t>
  </si>
  <si>
    <t>UPC (LKP)</t>
  </si>
  <si>
    <t>PES (EIP)</t>
  </si>
  <si>
    <t>DP (PD)</t>
  </si>
  <si>
    <t>Fecha/hora de la posición</t>
  </si>
  <si>
    <t>Latitud, longitud de la posición</t>
  </si>
  <si>
    <t>S</t>
  </si>
  <si>
    <t>B.</t>
  </si>
  <si>
    <t>Hora del Dátum</t>
  </si>
  <si>
    <t>Fecha/hora del comienzo de la búsqueda</t>
  </si>
  <si>
    <t>horas</t>
  </si>
  <si>
    <t>Intervalo de deriva (en decimales)</t>
  </si>
  <si>
    <t>C.</t>
  </si>
  <si>
    <t>Viento medio en superficie (VMS (ASW))</t>
  </si>
  <si>
    <r>
      <t xml:space="preserve">(Adjuntar la </t>
    </r>
    <r>
      <rPr>
        <b/>
        <sz val="8"/>
        <rFont val="Arial"/>
        <family val="2"/>
      </rPr>
      <t>Hoja de trabajo sobre el vieno medio en superficie (VMS(ASW))</t>
    </r>
    <r>
      <rPr>
        <sz val="8"/>
        <rFont val="Arial"/>
        <family val="2"/>
      </rPr>
      <t>)</t>
    </r>
  </si>
  <si>
    <t>Viento medio en superficie</t>
  </si>
  <si>
    <t>ºV</t>
  </si>
  <si>
    <t>nudos</t>
  </si>
  <si>
    <r>
      <t>Error problable del viento medio de superficie(VDVMS</t>
    </r>
    <r>
      <rPr>
        <sz val="7"/>
        <rFont val="Arial"/>
        <family val="2"/>
      </rPr>
      <t>e</t>
    </r>
    <r>
      <rPr>
        <sz val="8"/>
        <rFont val="Arial"/>
        <family val="2"/>
      </rPr>
      <t>(ASWDV</t>
    </r>
    <r>
      <rPr>
        <sz val="7"/>
        <rFont val="Arial"/>
        <family val="2"/>
      </rPr>
      <t>e</t>
    </r>
    <r>
      <rPr>
        <sz val="8"/>
        <rFont val="Arial"/>
        <family val="2"/>
      </rPr>
      <t>))</t>
    </r>
  </si>
  <si>
    <t>D.</t>
  </si>
  <si>
    <t>Corriente total en el agua (CTA(TWC))</t>
  </si>
  <si>
    <r>
      <t xml:space="preserve">(Adjuntar la </t>
    </r>
    <r>
      <rPr>
        <b/>
        <sz val="8"/>
        <rFont val="Arial"/>
        <family val="2"/>
      </rPr>
      <t>Hoja de trabajo sobre la corriente total en el agua (CTA(TWC))</t>
    </r>
    <r>
      <rPr>
        <sz val="8"/>
        <rFont val="Arial"/>
        <family val="2"/>
      </rPr>
      <t>)</t>
    </r>
  </si>
  <si>
    <r>
      <t>Error probable de la corriente total en el agua (CTA</t>
    </r>
    <r>
      <rPr>
        <sz val="7"/>
        <rFont val="Arial"/>
        <family val="2"/>
      </rPr>
      <t>e</t>
    </r>
    <r>
      <rPr>
        <sz val="8"/>
        <rFont val="Arial"/>
        <family val="2"/>
      </rPr>
      <t>(TWC</t>
    </r>
    <r>
      <rPr>
        <sz val="7"/>
        <rFont val="Arial"/>
        <family val="2"/>
      </rPr>
      <t>e</t>
    </r>
    <r>
      <rPr>
        <sz val="8"/>
        <rFont val="Arial"/>
        <family val="2"/>
      </rPr>
      <t>))</t>
    </r>
  </si>
  <si>
    <t>E.</t>
  </si>
  <si>
    <t>Abatimiento (AB(LW))</t>
  </si>
  <si>
    <t>A la izquierda de la dirección del viento</t>
  </si>
  <si>
    <t>A la derecha de la dirección del viento</t>
  </si>
  <si>
    <r>
      <t>Error probable del abatimiento (Ab</t>
    </r>
    <r>
      <rPr>
        <sz val="7"/>
        <rFont val="Arial"/>
        <family val="2"/>
      </rPr>
      <t>e</t>
    </r>
    <r>
      <rPr>
        <sz val="8"/>
        <rFont val="Arial"/>
        <family val="2"/>
      </rPr>
      <t>(Lw</t>
    </r>
    <r>
      <rPr>
        <sz val="7"/>
        <rFont val="Arial"/>
        <family val="2"/>
      </rPr>
      <t>e</t>
    </r>
    <r>
      <rPr>
        <sz val="8"/>
        <rFont val="Arial"/>
        <family val="2"/>
      </rPr>
      <t>))</t>
    </r>
  </si>
  <si>
    <t>F.</t>
  </si>
  <si>
    <t>Deriva total en superficie</t>
  </si>
  <si>
    <t xml:space="preserve">Utilizar un tablero de maniobra o calculadora para sumar los vectores de la corriente total en el agua y del </t>
  </si>
  <si>
    <r>
      <t xml:space="preserve">abatimiento. (Véase la </t>
    </r>
    <r>
      <rPr>
        <b/>
        <sz val="8"/>
        <rFont val="Arial"/>
        <family val="2"/>
      </rPr>
      <t>Figura K-1a</t>
    </r>
    <r>
      <rPr>
        <sz val="8"/>
        <rFont val="Arial"/>
        <family val="2"/>
      </rPr>
      <t>)</t>
    </r>
  </si>
  <si>
    <t>Dirección de la deriva</t>
  </si>
  <si>
    <t>(a la izquierda de la</t>
  </si>
  <si>
    <t>dirección del viento)</t>
  </si>
  <si>
    <t>(a la derecha  de la</t>
  </si>
  <si>
    <t>Velocidades de la deriva</t>
  </si>
  <si>
    <t>Distancias recorridas a la deriva</t>
  </si>
  <si>
    <t>(línea F.2 x línea B.2)</t>
  </si>
  <si>
    <t>m.m</t>
  </si>
  <si>
    <r>
      <t>Error total probable de la velocidad de deriva (Vd</t>
    </r>
    <r>
      <rPr>
        <sz val="7"/>
        <rFont val="Arial"/>
        <family val="2"/>
      </rPr>
      <t>e</t>
    </r>
    <r>
      <rPr>
        <sz val="8"/>
        <rFont val="Arial"/>
        <family val="2"/>
      </rPr>
      <t>(Dv</t>
    </r>
    <r>
      <rPr>
        <sz val="7"/>
        <rFont val="Arial"/>
        <family val="2"/>
      </rPr>
      <t>e</t>
    </r>
    <r>
      <rPr>
        <sz val="8"/>
        <rFont val="Arial"/>
        <family val="2"/>
      </rPr>
      <t>))</t>
    </r>
  </si>
  <si>
    <t>G.</t>
  </si>
  <si>
    <t>Posiciones del dátum y distancia de la divergencia</t>
  </si>
  <si>
    <t>Utilizando una carta, una carta universal de arrumbamiento o una calculadora, determinar las posiciones</t>
  </si>
  <si>
    <r>
      <t xml:space="preserve">del dátum y la distancia de la divergencia (DD). (Véase la </t>
    </r>
    <r>
      <rPr>
        <b/>
        <sz val="8"/>
        <rFont val="Arial"/>
        <family val="2"/>
      </rPr>
      <t>Figura K-1b</t>
    </r>
    <r>
      <rPr>
        <sz val="8"/>
        <rFont val="Arial"/>
        <family val="2"/>
      </rPr>
      <t>)</t>
    </r>
  </si>
  <si>
    <t>Latitud, longitud</t>
  </si>
  <si>
    <t>(A la izquierda de la dirección del viento)</t>
  </si>
  <si>
    <t>(A la derecha de la dirección del viento)</t>
  </si>
  <si>
    <t>Distancia de la divergencia (DD)</t>
  </si>
  <si>
    <t>H.</t>
  </si>
  <si>
    <t>Error total probable de la posición (E) y la relación de separación (RS(SR))</t>
  </si>
  <si>
    <r>
      <t xml:space="preserve">(Adjuntar la </t>
    </r>
    <r>
      <rPr>
        <b/>
        <sz val="8"/>
        <rFont val="Arial"/>
        <family val="2"/>
      </rPr>
      <t>Hoja de trabajo sobre el error total probable de la posición (E)</t>
    </r>
    <r>
      <rPr>
        <sz val="8"/>
        <rFont val="Arial"/>
        <family val="2"/>
      </rPr>
      <t>)</t>
    </r>
  </si>
  <si>
    <t>m.m2</t>
  </si>
  <si>
    <t>Cuadrado del error probable de la situación (E al cuadrado).</t>
  </si>
  <si>
    <t>Error total probable de la situación (E).</t>
  </si>
  <si>
    <t>Relación de separación (RS=DD/E)</t>
  </si>
  <si>
    <r>
      <t xml:space="preserve">Ir a la </t>
    </r>
    <r>
      <rPr>
        <b/>
        <sz val="8"/>
        <rFont val="Arial"/>
        <family val="2"/>
      </rPr>
      <t>Hoja de trabajo sobre el esfuerzo total disponible para la búsqueda.</t>
    </r>
  </si>
  <si>
    <t>HOJA DE TRABAJO SOBRE EL VIENTO MEDIO EN SUPERFICIE</t>
  </si>
  <si>
    <t>Datos sobre el viento de superficie</t>
  </si>
  <si>
    <t>Hora de la</t>
  </si>
  <si>
    <t>Observación</t>
  </si>
  <si>
    <t>Intervalo</t>
  </si>
  <si>
    <t>de tiempo</t>
  </si>
  <si>
    <t xml:space="preserve">Números </t>
  </si>
  <si>
    <t>de horas</t>
  </si>
  <si>
    <t>(A)</t>
  </si>
  <si>
    <t>Dirección</t>
  </si>
  <si>
    <t>del viento</t>
  </si>
  <si>
    <t xml:space="preserve">Velocidad </t>
  </si>
  <si>
    <t>Contribución</t>
  </si>
  <si>
    <t>m.m.</t>
  </si>
  <si>
    <t>-</t>
  </si>
  <si>
    <t xml:space="preserve">Número total </t>
  </si>
  <si>
    <t>(D)</t>
  </si>
  <si>
    <t>Suma vectorial de</t>
  </si>
  <si>
    <t>las contribuciones</t>
  </si>
  <si>
    <t>(E)</t>
  </si>
  <si>
    <t>(F)</t>
  </si>
  <si>
    <t>[(E)ºV (F/D)nudos]</t>
  </si>
  <si>
    <t>Error probable</t>
  </si>
  <si>
    <t>Error probable de la velocidad de deriva debido al error probable del</t>
  </si>
  <si>
    <t>viento medio en superficie (VDVMSe(ASWDVe))</t>
  </si>
  <si>
    <r>
      <t>Error problable del viento medio de superficie(VMS</t>
    </r>
    <r>
      <rPr>
        <sz val="7"/>
        <rFont val="Arial"/>
        <family val="2"/>
      </rPr>
      <t>e</t>
    </r>
    <r>
      <rPr>
        <sz val="8"/>
        <rFont val="Arial"/>
        <family val="2"/>
      </rPr>
      <t>(ASW</t>
    </r>
    <r>
      <rPr>
        <sz val="7"/>
        <rFont val="Arial"/>
        <family val="2"/>
      </rPr>
      <t>e</t>
    </r>
    <r>
      <rPr>
        <sz val="8"/>
        <rFont val="Arial"/>
        <family val="2"/>
      </rPr>
      <t>))</t>
    </r>
  </si>
  <si>
    <r>
      <t xml:space="preserve">Ir a la </t>
    </r>
    <r>
      <rPr>
        <b/>
        <sz val="10"/>
        <rFont val="Arial"/>
        <family val="2"/>
      </rPr>
      <t>parte C de la Hoja de trabajo sobre el dátum</t>
    </r>
    <r>
      <rPr>
        <sz val="10"/>
        <rFont val="Arial"/>
        <family val="2"/>
      </rPr>
      <t>.</t>
    </r>
  </si>
  <si>
    <t>Corriente total de agua observada (CTA(TWC))</t>
  </si>
  <si>
    <t>Fuente (boya marcadora del dátum (BMD(TWC))</t>
  </si>
  <si>
    <t>restos, hidrocarburos)</t>
  </si>
  <si>
    <t>Dirección/deriva observada</t>
  </si>
  <si>
    <r>
      <t>Error probable de la observación (CTA</t>
    </r>
    <r>
      <rPr>
        <sz val="7"/>
        <rFont val="Arial"/>
        <family val="2"/>
      </rPr>
      <t>e</t>
    </r>
    <r>
      <rPr>
        <sz val="8"/>
        <rFont val="Arial"/>
        <family val="2"/>
      </rPr>
      <t>(TWC</t>
    </r>
    <r>
      <rPr>
        <sz val="7"/>
        <rFont val="Arial"/>
        <family val="2"/>
      </rPr>
      <t>e</t>
    </r>
    <r>
      <rPr>
        <sz val="8"/>
        <rFont val="Arial"/>
        <family val="2"/>
      </rPr>
      <t>))</t>
    </r>
  </si>
  <si>
    <r>
      <t xml:space="preserve">Ir a la </t>
    </r>
    <r>
      <rPr>
        <b/>
        <sz val="8"/>
        <rFont val="Arial"/>
        <family val="2"/>
      </rPr>
      <t>parte D en la hoja de trabajo sobre el dátum</t>
    </r>
    <r>
      <rPr>
        <sz val="8"/>
        <rFont val="Arial"/>
        <family val="2"/>
      </rPr>
      <t>.</t>
    </r>
  </si>
  <si>
    <t>Corriente total en el agua calculada</t>
  </si>
  <si>
    <t>Corriente de marea (CDM(TC))</t>
  </si>
  <si>
    <t>a.</t>
  </si>
  <si>
    <t>Fuente (tablas de corriente de marea, experiencia local)</t>
  </si>
  <si>
    <t>b.</t>
  </si>
  <si>
    <t>Dirección/deriva de la corriente de marea (CDM(TC))</t>
  </si>
  <si>
    <t>c.</t>
  </si>
  <si>
    <r>
      <t>Error probable de la corriente de marea (CDM</t>
    </r>
    <r>
      <rPr>
        <sz val="7"/>
        <rFont val="Arial"/>
        <family val="2"/>
      </rPr>
      <t>e</t>
    </r>
    <r>
      <rPr>
        <sz val="8"/>
        <rFont val="Arial"/>
        <family val="2"/>
      </rPr>
      <t>(Tc</t>
    </r>
    <r>
      <rPr>
        <sz val="7"/>
        <rFont val="Arial"/>
        <family val="2"/>
      </rPr>
      <t>e</t>
    </r>
    <r>
      <rPr>
        <sz val="8"/>
        <rFont val="Arial"/>
        <family val="2"/>
      </rPr>
      <t>))</t>
    </r>
  </si>
  <si>
    <t>Fuente (Atlas, derrotero, etc)</t>
  </si>
  <si>
    <t>Dirección/deriva de la corriente marina</t>
  </si>
  <si>
    <r>
      <t>Error probable de la corriente marina (CM</t>
    </r>
    <r>
      <rPr>
        <sz val="7"/>
        <rFont val="Arial"/>
        <family val="2"/>
      </rPr>
      <t>e</t>
    </r>
    <r>
      <rPr>
        <sz val="8"/>
        <rFont val="Arial"/>
        <family val="2"/>
      </rPr>
      <t>(SC</t>
    </r>
    <r>
      <rPr>
        <sz val="7"/>
        <rFont val="Arial"/>
        <family val="2"/>
      </rPr>
      <t>e</t>
    </r>
    <r>
      <rPr>
        <sz val="8"/>
        <rFont val="Arial"/>
        <family val="2"/>
      </rPr>
      <t>))</t>
    </r>
  </si>
  <si>
    <t>Corriente de arrastre (CA(WC))</t>
  </si>
  <si>
    <t>Corriente marina (CM(SC))</t>
  </si>
  <si>
    <r>
      <t xml:space="preserve">(Adjuntar la </t>
    </r>
    <r>
      <rPr>
        <b/>
        <sz val="8"/>
        <rFont val="Arial"/>
        <family val="2"/>
      </rPr>
      <t>Hoja de trabajo sobre la corriente de arrastre</t>
    </r>
    <r>
      <rPr>
        <sz val="8"/>
        <rFont val="Arial"/>
        <family val="2"/>
      </rPr>
      <t>)</t>
    </r>
  </si>
  <si>
    <t>Dirección/deriva de la corriente de arrastre (CA(WC))</t>
  </si>
  <si>
    <r>
      <t>Error probable de la corriente de arrastre (CA</t>
    </r>
    <r>
      <rPr>
        <sz val="7"/>
        <rFont val="Arial"/>
        <family val="2"/>
      </rPr>
      <t>e</t>
    </r>
    <r>
      <rPr>
        <sz val="8"/>
        <rFont val="Arial"/>
        <family val="2"/>
      </rPr>
      <t>(WC</t>
    </r>
    <r>
      <rPr>
        <sz val="7"/>
        <rFont val="Arial"/>
        <family val="2"/>
      </rPr>
      <t>e</t>
    </r>
    <r>
      <rPr>
        <sz val="8"/>
        <rFont val="Arial"/>
        <family val="2"/>
      </rPr>
      <t>))</t>
    </r>
  </si>
  <si>
    <t>HOJA DE TRABAJO SOBRE LA CORRIENTE TOTAL EN EL AGUA (CTA(TWC))</t>
  </si>
  <si>
    <t>Otra corriente en el agua (OCA(OWC))</t>
  </si>
  <si>
    <t>Fuente (Experiencia local, derivas anteriores, etc)</t>
  </si>
  <si>
    <t>Dirección/deriva de otra corriente en el agua (OCA(OWC))</t>
  </si>
  <si>
    <r>
      <t>Error probable de otra corriente en el agua (OCA</t>
    </r>
    <r>
      <rPr>
        <sz val="7"/>
        <rFont val="Arial"/>
        <family val="2"/>
      </rPr>
      <t>e</t>
    </r>
    <r>
      <rPr>
        <sz val="8"/>
        <rFont val="Arial"/>
        <family val="2"/>
      </rPr>
      <t>(OWC</t>
    </r>
    <r>
      <rPr>
        <sz val="7"/>
        <rFont val="Arial"/>
        <family val="2"/>
      </rPr>
      <t>e</t>
    </r>
    <r>
      <rPr>
        <sz val="8"/>
        <rFont val="Arial"/>
        <family val="2"/>
      </rPr>
      <t>))</t>
    </r>
  </si>
  <si>
    <t xml:space="preserve">Dirección/deriva calculada de la corriente </t>
  </si>
  <si>
    <t>total en el agua (CTA(TWC))</t>
  </si>
  <si>
    <t>Error probable calculado de la corriente total en el agua</t>
  </si>
  <si>
    <r>
      <t xml:space="preserve">Ir a la </t>
    </r>
    <r>
      <rPr>
        <b/>
        <sz val="10"/>
        <rFont val="Arial"/>
        <family val="2"/>
      </rPr>
      <t>parte D en la hoja de trabajo sobre el dátum</t>
    </r>
  </si>
  <si>
    <t>HOJA DE TRABAJO SOBRE LA CORRIENTE DE ARRASTRE (CA(WC))</t>
  </si>
  <si>
    <t>Viento medio en superficie (VMS(ASW))</t>
  </si>
  <si>
    <r>
      <t xml:space="preserve">(de la </t>
    </r>
    <r>
      <rPr>
        <b/>
        <sz val="8"/>
        <rFont val="Arial"/>
        <family val="2"/>
      </rPr>
      <t>linea C.1 de la Hoja de trabajo sobre el dátum</t>
    </r>
    <r>
      <rPr>
        <sz val="8"/>
        <rFont val="Arial"/>
        <family val="2"/>
      </rPr>
      <t>)</t>
    </r>
  </si>
  <si>
    <t>Dirección del viento (dirección (VMS±180º)</t>
  </si>
  <si>
    <r>
      <t xml:space="preserve">(de la </t>
    </r>
    <r>
      <rPr>
        <b/>
        <sz val="8"/>
        <rFont val="Arial"/>
        <family val="2"/>
      </rPr>
      <t>Fig N-1</t>
    </r>
    <r>
      <rPr>
        <sz val="8"/>
        <rFont val="Arial"/>
        <family val="2"/>
      </rPr>
      <t>)</t>
    </r>
  </si>
  <si>
    <t>Divergencia de la corriente de arrastre</t>
  </si>
  <si>
    <t>±</t>
  </si>
  <si>
    <t>º</t>
  </si>
  <si>
    <t>Dirección de la corriente de arrastre</t>
  </si>
  <si>
    <t>(Dirección del viento ± divergencia de la corriente de arrastre)</t>
  </si>
  <si>
    <t>(Sumar la divergencia en el hemisferio norte, restarla en el sur)</t>
  </si>
  <si>
    <t xml:space="preserve">Dirección/deriva de la </t>
  </si>
  <si>
    <t>corriente de arrastre(CA(WC))</t>
  </si>
  <si>
    <r>
      <t>Error probable de la corriente de arrastre (CA</t>
    </r>
    <r>
      <rPr>
        <sz val="7"/>
        <rFont val="Arial"/>
        <family val="2"/>
      </rPr>
      <t>e</t>
    </r>
    <r>
      <rPr>
        <sz val="8"/>
        <rFont val="Arial"/>
        <family val="2"/>
      </rPr>
      <t>(WC</t>
    </r>
    <r>
      <rPr>
        <sz val="7"/>
        <rFont val="Arial"/>
        <family val="2"/>
      </rPr>
      <t>e</t>
    </r>
    <r>
      <rPr>
        <sz val="8"/>
        <rFont val="Arial"/>
        <family val="2"/>
      </rPr>
      <t>))</t>
    </r>
  </si>
  <si>
    <r>
      <t xml:space="preserve">Ir a la </t>
    </r>
    <r>
      <rPr>
        <b/>
        <sz val="10"/>
        <rFont val="Arial"/>
        <family val="2"/>
      </rPr>
      <t>lines B.3 de la hoja de trabajo sobre la corriente total de agua (CTA(TWC))</t>
    </r>
  </si>
  <si>
    <t>HOJA DE TRABAJO SOBRE EL ABATIMIENTO (AB(LW))</t>
  </si>
  <si>
    <t>Velocidad del abatimiento</t>
  </si>
  <si>
    <r>
      <t xml:space="preserve">(de la </t>
    </r>
    <r>
      <rPr>
        <b/>
        <sz val="8"/>
        <rFont val="Arial"/>
        <family val="2"/>
      </rPr>
      <t>Fig N-2 o N-3</t>
    </r>
    <r>
      <rPr>
        <sz val="8"/>
        <rFont val="Arial"/>
        <family val="2"/>
      </rPr>
      <t>)</t>
    </r>
  </si>
  <si>
    <t>Angulo de divergencia del abatimiento</t>
  </si>
  <si>
    <t>Dirección del abatimiento</t>
  </si>
  <si>
    <r>
      <t>a la izquierda de la dirección del viento (</t>
    </r>
    <r>
      <rPr>
        <b/>
        <sz val="8"/>
        <rFont val="Arial"/>
        <family val="2"/>
      </rPr>
      <t>linea 2 - linea 4</t>
    </r>
    <r>
      <rPr>
        <sz val="8"/>
        <rFont val="Arial"/>
        <family val="2"/>
      </rPr>
      <t>)</t>
    </r>
  </si>
  <si>
    <r>
      <t>a la derecha de la dirección del viento (</t>
    </r>
    <r>
      <rPr>
        <b/>
        <sz val="8"/>
        <rFont val="Arial"/>
        <family val="2"/>
      </rPr>
      <t>linea 2 + linea 4</t>
    </r>
    <r>
      <rPr>
        <sz val="8"/>
        <rFont val="Arial"/>
        <family val="2"/>
      </rPr>
      <t>)</t>
    </r>
  </si>
  <si>
    <t>a la izquierda de la dirección del viento</t>
  </si>
  <si>
    <t>a la derecha de la dirección del viento</t>
  </si>
  <si>
    <r>
      <t>Error probable del abatimiento (AB</t>
    </r>
    <r>
      <rPr>
        <sz val="7"/>
        <rFont val="Arial"/>
        <family val="2"/>
      </rPr>
      <t>e</t>
    </r>
    <r>
      <rPr>
        <sz val="8"/>
        <rFont val="Arial"/>
        <family val="2"/>
      </rPr>
      <t>(LW</t>
    </r>
    <r>
      <rPr>
        <sz val="7"/>
        <rFont val="Arial"/>
        <family val="2"/>
      </rPr>
      <t>e</t>
    </r>
    <r>
      <rPr>
        <sz val="8"/>
        <rFont val="Arial"/>
        <family val="2"/>
      </rPr>
      <t>))</t>
    </r>
  </si>
  <si>
    <r>
      <t xml:space="preserve">Ir a la </t>
    </r>
    <r>
      <rPr>
        <b/>
        <sz val="10"/>
        <rFont val="Arial"/>
        <family val="2"/>
      </rPr>
      <t>parte E de la hoja de trabajo sobre el dátum</t>
    </r>
  </si>
  <si>
    <t xml:space="preserve">HOJA DE TRABAJO SOBRE EL ERROR TOTAL PROBABLE DE LA POSICION (E) PARA </t>
  </si>
  <si>
    <t>ENTORNOS TERRESTRES Y MARINOS</t>
  </si>
  <si>
    <t>Error probable de la posición inicial (X) del lugar del siniestro</t>
  </si>
  <si>
    <t>si la posición inicial de este intervalo de deriva es un dátum anterior)</t>
  </si>
  <si>
    <r>
      <t xml:space="preserve">(ir a la </t>
    </r>
    <r>
      <rPr>
        <b/>
        <sz val="8"/>
        <rFont val="Arial"/>
        <family val="2"/>
      </rPr>
      <t>linea 1</t>
    </r>
    <r>
      <rPr>
        <sz val="8"/>
        <rFont val="Arial"/>
        <family val="2"/>
      </rPr>
      <t xml:space="preserve"> para calcular el error probable de la posición del lugar del siniestro. Ir a la </t>
    </r>
    <r>
      <rPr>
        <b/>
        <sz val="8"/>
        <rFont val="Arial"/>
        <family val="2"/>
      </rPr>
      <t>linea 6</t>
    </r>
  </si>
  <si>
    <t>Error de determinación del punto</t>
  </si>
  <si>
    <r>
      <t xml:space="preserve">(del </t>
    </r>
    <r>
      <rPr>
        <b/>
        <sz val="8"/>
        <rFont val="Arial"/>
        <family val="2"/>
      </rPr>
      <t>cuadro N-1 o N-2</t>
    </r>
    <r>
      <rPr>
        <sz val="8"/>
        <rFont val="Arial"/>
        <family val="2"/>
      </rPr>
      <t>)</t>
    </r>
  </si>
  <si>
    <t>Tasa de error de la estimación</t>
  </si>
  <si>
    <r>
      <t xml:space="preserve">(del </t>
    </r>
    <r>
      <rPr>
        <b/>
        <sz val="8"/>
        <rFont val="Arial"/>
        <family val="2"/>
      </rPr>
      <t>cuadro N-3</t>
    </r>
    <r>
      <rPr>
        <sz val="8"/>
        <rFont val="Arial"/>
        <family val="2"/>
      </rPr>
      <t>)</t>
    </r>
  </si>
  <si>
    <t>%</t>
  </si>
  <si>
    <t>Distancia estimada desde el último punto obtenido</t>
  </si>
  <si>
    <r>
      <t>Error de la navegación de estima (</t>
    </r>
    <r>
      <rPr>
        <b/>
        <sz val="8"/>
        <rFont val="Arial"/>
        <family val="2"/>
      </rPr>
      <t>linea A.2 × linea A.3</t>
    </r>
    <r>
      <rPr>
        <sz val="8"/>
        <rFont val="Arial"/>
        <family val="2"/>
      </rPr>
      <t>)</t>
    </r>
  </si>
  <si>
    <t>Distancia de planeo</t>
  </si>
  <si>
    <t>(si se desconoce el rumbo de descenso de la aeronave/paracaídas)</t>
  </si>
  <si>
    <t>Error probable de la posición inicial (X)</t>
  </si>
  <si>
    <r>
      <t xml:space="preserve">(X=error total probable de la posición de la </t>
    </r>
    <r>
      <rPr>
        <b/>
        <sz val="8"/>
        <rFont val="Arial"/>
        <family val="2"/>
      </rPr>
      <t>linea H.2</t>
    </r>
    <r>
      <rPr>
        <sz val="8"/>
        <rFont val="Arial"/>
        <family val="2"/>
      </rPr>
      <t xml:space="preserve"> de la </t>
    </r>
    <r>
      <rPr>
        <b/>
        <sz val="8"/>
        <rFont val="Arial"/>
        <family val="2"/>
      </rPr>
      <t>hoja de trabajo sobre el dátum</t>
    </r>
    <r>
      <rPr>
        <sz val="8"/>
        <rFont val="Arial"/>
        <family val="2"/>
      </rPr>
      <t xml:space="preserve"> anterior)</t>
    </r>
  </si>
  <si>
    <r>
      <t>(X=</t>
    </r>
    <r>
      <rPr>
        <b/>
        <sz val="8"/>
        <rFont val="Arial"/>
        <family val="2"/>
      </rPr>
      <t>linea A.1+linea A.4+linea A.5</t>
    </r>
    <r>
      <rPr>
        <sz val="8"/>
        <rFont val="Arial"/>
        <family val="2"/>
      </rPr>
      <t xml:space="preserve">) o </t>
    </r>
  </si>
  <si>
    <r>
      <t>Error total probable de deriva (D</t>
    </r>
    <r>
      <rPr>
        <b/>
        <sz val="7"/>
        <rFont val="Arial"/>
        <family val="2"/>
      </rPr>
      <t>e</t>
    </r>
    <r>
      <rPr>
        <b/>
        <sz val="10"/>
        <rFont val="Arial"/>
        <family val="2"/>
      </rPr>
      <t>)</t>
    </r>
  </si>
  <si>
    <t>Intervalo de deriva</t>
  </si>
  <si>
    <r>
      <t xml:space="preserve">(de la </t>
    </r>
    <r>
      <rPr>
        <b/>
        <sz val="8"/>
        <rFont val="Arial"/>
        <family val="2"/>
      </rPr>
      <t>linea B.2</t>
    </r>
    <r>
      <rPr>
        <sz val="8"/>
        <rFont val="Arial"/>
        <family val="2"/>
      </rPr>
      <t xml:space="preserve"> de la </t>
    </r>
    <r>
      <rPr>
        <b/>
        <sz val="8"/>
        <rFont val="Arial"/>
        <family val="2"/>
      </rPr>
      <t>hoja de trabajo sobre el dátum</t>
    </r>
    <r>
      <rPr>
        <sz val="8"/>
        <rFont val="Arial"/>
        <family val="2"/>
      </rPr>
      <t>)</t>
    </r>
  </si>
  <si>
    <r>
      <t>Error probable de la velocidad de deriva (VD</t>
    </r>
    <r>
      <rPr>
        <sz val="7"/>
        <rFont val="Arial"/>
        <family val="2"/>
      </rPr>
      <t>e</t>
    </r>
    <r>
      <rPr>
        <sz val="8"/>
        <rFont val="Arial"/>
        <family val="2"/>
      </rPr>
      <t>(DV</t>
    </r>
    <r>
      <rPr>
        <sz val="7"/>
        <rFont val="Arial"/>
        <family val="2"/>
      </rPr>
      <t>e</t>
    </r>
    <r>
      <rPr>
        <sz val="8"/>
        <rFont val="Arial"/>
        <family val="2"/>
      </rPr>
      <t>))</t>
    </r>
  </si>
  <si>
    <r>
      <t>Error total probable de deriva (D</t>
    </r>
    <r>
      <rPr>
        <sz val="7"/>
        <rFont val="Arial"/>
        <family val="2"/>
      </rPr>
      <t>e</t>
    </r>
    <r>
      <rPr>
        <sz val="8"/>
        <rFont val="Arial"/>
        <family val="2"/>
      </rPr>
      <t>)</t>
    </r>
  </si>
  <si>
    <r>
      <t>(D</t>
    </r>
    <r>
      <rPr>
        <sz val="7"/>
        <rFont val="Arial"/>
        <family val="2"/>
      </rPr>
      <t>e</t>
    </r>
    <r>
      <rPr>
        <sz val="8"/>
        <rFont val="Arial"/>
        <family val="2"/>
      </rPr>
      <t>=</t>
    </r>
    <r>
      <rPr>
        <b/>
        <sz val="8"/>
        <rFont val="Arial"/>
        <family val="2"/>
      </rPr>
      <t>linea B.1×linea B.2</t>
    </r>
    <r>
      <rPr>
        <sz val="8"/>
        <rFont val="Arial"/>
        <family val="2"/>
      </rPr>
      <t>)</t>
    </r>
  </si>
  <si>
    <t>Error probable de la posición del medio de búsqueda (Y)</t>
  </si>
  <si>
    <r>
      <t>Error de la navegación de estima (</t>
    </r>
    <r>
      <rPr>
        <b/>
        <sz val="8"/>
        <rFont val="Arial"/>
        <family val="2"/>
      </rPr>
      <t>linea C.2 × linea C.3</t>
    </r>
    <r>
      <rPr>
        <sz val="8"/>
        <rFont val="Arial"/>
        <family val="2"/>
      </rPr>
      <t>)</t>
    </r>
  </si>
  <si>
    <t>Error probable de la posición del medio de búsquedal (Y)</t>
  </si>
  <si>
    <r>
      <t>(Y=</t>
    </r>
    <r>
      <rPr>
        <b/>
        <sz val="8"/>
        <rFont val="Arial"/>
        <family val="2"/>
      </rPr>
      <t>linea C.1+linea C.4</t>
    </r>
    <r>
      <rPr>
        <sz val="8"/>
        <rFont val="Arial"/>
        <family val="2"/>
      </rPr>
      <t xml:space="preserve">) </t>
    </r>
  </si>
  <si>
    <t>Error total probable de la posición (E)</t>
  </si>
  <si>
    <t>Suma de los cuadrados de los errores</t>
  </si>
  <si>
    <r>
      <t>(E²=X²+D</t>
    </r>
    <r>
      <rPr>
        <sz val="7"/>
        <rFont val="Arial"/>
        <family val="2"/>
      </rPr>
      <t>e</t>
    </r>
    <r>
      <rPr>
        <sz val="8"/>
        <rFont val="Arial"/>
        <family val="2"/>
      </rPr>
      <t>²+Y²)</t>
    </r>
  </si>
  <si>
    <t>m.m²</t>
  </si>
  <si>
    <t xml:space="preserve">Error total probable de la posición </t>
  </si>
  <si>
    <r>
      <t>(E=</t>
    </r>
    <r>
      <rPr>
        <sz val="8"/>
        <rFont val="Symbol"/>
        <family val="1"/>
        <charset val="2"/>
      </rPr>
      <t>Ö</t>
    </r>
    <r>
      <rPr>
        <sz val="8"/>
        <rFont val="Arial"/>
        <family val="2"/>
      </rPr>
      <t>X²+De²+Y²)</t>
    </r>
  </si>
  <si>
    <t>Dátum:</t>
  </si>
  <si>
    <t>(Izq)</t>
  </si>
  <si>
    <t>(Der)</t>
  </si>
  <si>
    <t>Latitud</t>
  </si>
  <si>
    <t>Longitud</t>
  </si>
  <si>
    <t>Fecha/hora:</t>
  </si>
  <si>
    <t>Cálculos sobre el esfuerzo total disponible</t>
  </si>
  <si>
    <t>Designación de la subárea de búsqueda</t>
  </si>
  <si>
    <t>Medio de búsqueda asignado</t>
  </si>
  <si>
    <t>Velocidad del medio de búsqueda (V)</t>
  </si>
  <si>
    <t>Permanencia en el lugar del siniestro</t>
  </si>
  <si>
    <t>Horas de luz remanentes</t>
  </si>
  <si>
    <t>Duración de la búsqueda (T)</t>
  </si>
  <si>
    <t>Altitud de búsqueda</t>
  </si>
  <si>
    <t>Ancho de barrido no corregido</t>
  </si>
  <si>
    <t xml:space="preserve">Factor de corrección meteorológica </t>
  </si>
  <si>
    <r>
      <t>Factor de corrección de la velocidad (f</t>
    </r>
    <r>
      <rPr>
        <sz val="7"/>
        <rFont val="Arial"/>
        <family val="2"/>
      </rPr>
      <t>v</t>
    </r>
    <r>
      <rPr>
        <sz val="8"/>
        <rFont val="Arial"/>
        <family val="2"/>
      </rPr>
      <t>)</t>
    </r>
  </si>
  <si>
    <r>
      <t>Factor de corrección por fatiga (f</t>
    </r>
    <r>
      <rPr>
        <sz val="7"/>
        <rFont val="Arial"/>
        <family val="2"/>
      </rPr>
      <t>f</t>
    </r>
    <r>
      <rPr>
        <sz val="8"/>
        <rFont val="Arial"/>
        <family val="2"/>
      </rPr>
      <t>)</t>
    </r>
  </si>
  <si>
    <t>Ancho de barrido corregido (W)</t>
  </si>
  <si>
    <t>Esfuerzo disponible para la búsqueda</t>
  </si>
  <si>
    <t>(Z= V×T×W)</t>
  </si>
  <si>
    <t>Esfuerzo total disponible para la búsqueda</t>
  </si>
  <si>
    <r>
      <t>(Z</t>
    </r>
    <r>
      <rPr>
        <sz val="7"/>
        <rFont val="Arial"/>
        <family val="2"/>
      </rPr>
      <t>td</t>
    </r>
    <r>
      <rPr>
        <sz val="8"/>
        <rFont val="Arial"/>
        <family val="2"/>
      </rPr>
      <t>=Z</t>
    </r>
    <r>
      <rPr>
        <sz val="7"/>
        <rFont val="Arial"/>
        <family val="2"/>
      </rPr>
      <t>d1</t>
    </r>
    <r>
      <rPr>
        <sz val="8"/>
        <rFont val="Arial"/>
        <family val="2"/>
      </rPr>
      <t>+Z</t>
    </r>
    <r>
      <rPr>
        <sz val="7"/>
        <rFont val="Arial"/>
        <family val="2"/>
      </rPr>
      <t>d2</t>
    </r>
    <r>
      <rPr>
        <sz val="8"/>
        <rFont val="Arial"/>
        <family val="2"/>
      </rPr>
      <t>+Z</t>
    </r>
    <r>
      <rPr>
        <sz val="7"/>
        <rFont val="Arial"/>
        <family val="2"/>
      </rPr>
      <t>d3</t>
    </r>
    <r>
      <rPr>
        <sz val="8"/>
        <rFont val="Arial"/>
        <family val="2"/>
      </rPr>
      <t>+. . .)</t>
    </r>
  </si>
  <si>
    <t xml:space="preserve">Relación de separación (RS(SR)) (únicamente para </t>
  </si>
  <si>
    <t>dátum con divergencia del abatimiento)</t>
  </si>
  <si>
    <r>
      <t xml:space="preserve">(de la </t>
    </r>
    <r>
      <rPr>
        <b/>
        <sz val="8"/>
        <rFont val="Arial"/>
        <family val="2"/>
      </rPr>
      <t>linea H.3 de la Hoja de trabajo sobre el dátum</t>
    </r>
    <r>
      <rPr>
        <sz val="8"/>
        <rFont val="Arial"/>
        <family val="2"/>
      </rPr>
      <t>)</t>
    </r>
  </si>
  <si>
    <r>
      <t xml:space="preserve">Si la relación de separación (RS(SR)) de la </t>
    </r>
    <r>
      <rPr>
        <b/>
        <sz val="8"/>
        <rFont val="Arial"/>
        <family val="2"/>
      </rPr>
      <t>linea 15</t>
    </r>
    <r>
      <rPr>
        <sz val="8"/>
        <rFont val="Arial"/>
        <family val="2"/>
      </rPr>
      <t xml:space="preserve"> es mayor que 4 (RS&gt;4), ir a la</t>
    </r>
    <r>
      <rPr>
        <b/>
        <sz val="8"/>
        <rFont val="Arial"/>
        <family val="2"/>
      </rPr>
      <t xml:space="preserve"> hoja de trabajo sobre</t>
    </r>
    <r>
      <rPr>
        <sz val="8"/>
        <rFont val="Arial"/>
        <family val="2"/>
      </rPr>
      <t xml:space="preserve"> </t>
    </r>
    <r>
      <rPr>
        <b/>
        <sz val="8"/>
        <rFont val="Arial"/>
        <family val="2"/>
      </rPr>
      <t xml:space="preserve">dátum </t>
    </r>
  </si>
  <si>
    <r>
      <t>muy divergentes</t>
    </r>
    <r>
      <rPr>
        <sz val="8"/>
        <rFont val="Arial"/>
        <family val="2"/>
      </rPr>
      <t xml:space="preserve">. En caso contrario, ir a la </t>
    </r>
    <r>
      <rPr>
        <b/>
        <sz val="8"/>
        <rFont val="Arial"/>
        <family val="2"/>
      </rPr>
      <t>hoja de trabajo sobre la asignación de esfuerzos</t>
    </r>
    <r>
      <rPr>
        <sz val="8"/>
        <rFont val="Arial"/>
        <family val="2"/>
      </rPr>
      <t xml:space="preserve">.                        </t>
    </r>
  </si>
  <si>
    <t>Distancia de divergencia (DD)</t>
  </si>
  <si>
    <r>
      <t xml:space="preserve">(de la </t>
    </r>
    <r>
      <rPr>
        <b/>
        <sz val="8"/>
        <rFont val="Arial"/>
        <family val="2"/>
      </rPr>
      <t>linea G.3</t>
    </r>
    <r>
      <rPr>
        <sz val="8"/>
        <rFont val="Arial"/>
        <family val="2"/>
      </rPr>
      <t xml:space="preserve"> de la </t>
    </r>
    <r>
      <rPr>
        <b/>
        <sz val="8"/>
        <rFont val="Arial"/>
        <family val="2"/>
      </rPr>
      <t>hoja de trabajo sobre el dátum</t>
    </r>
    <r>
      <rPr>
        <sz val="8"/>
        <rFont val="Arial"/>
        <family val="2"/>
      </rPr>
      <t>)</t>
    </r>
  </si>
  <si>
    <r>
      <t xml:space="preserve">(de la </t>
    </r>
    <r>
      <rPr>
        <b/>
        <sz val="8"/>
        <rFont val="Arial"/>
        <family val="2"/>
      </rPr>
      <t>linea 14</t>
    </r>
    <r>
      <rPr>
        <sz val="8"/>
        <rFont val="Arial"/>
        <family val="2"/>
      </rPr>
      <t xml:space="preserve"> de la </t>
    </r>
    <r>
      <rPr>
        <b/>
        <sz val="8"/>
        <rFont val="Arial"/>
        <family val="2"/>
      </rPr>
      <t>hoja de trabajo sobre los</t>
    </r>
    <r>
      <rPr>
        <sz val="8"/>
        <rFont val="Arial"/>
        <family val="2"/>
      </rPr>
      <t xml:space="preserve"> </t>
    </r>
  </si>
  <si>
    <r>
      <t>esfuerzos totales disponibles para la búsqueda</t>
    </r>
    <r>
      <rPr>
        <sz val="8"/>
        <rFont val="Arial"/>
        <family val="2"/>
      </rPr>
      <t>)</t>
    </r>
  </si>
  <si>
    <t>Error probable de la posición (E)</t>
  </si>
  <si>
    <r>
      <t xml:space="preserve">(de la </t>
    </r>
    <r>
      <rPr>
        <b/>
        <sz val="8"/>
        <rFont val="Arial"/>
        <family val="2"/>
      </rPr>
      <t xml:space="preserve">linea H.2 </t>
    </r>
    <r>
      <rPr>
        <sz val="8"/>
        <rFont val="Arial"/>
        <family val="2"/>
      </rPr>
      <t xml:space="preserve">de la </t>
    </r>
    <r>
      <rPr>
        <b/>
        <sz val="8"/>
        <rFont val="Arial"/>
        <family val="2"/>
      </rPr>
      <t>hoja de trabajo sobre el dátum</t>
    </r>
    <r>
      <rPr>
        <sz val="8"/>
        <rFont val="Arial"/>
        <family val="2"/>
      </rPr>
      <t>)</t>
    </r>
  </si>
  <si>
    <r>
      <t>Esfuerzo total disponible para la búsqueda (Z</t>
    </r>
    <r>
      <rPr>
        <sz val="7"/>
        <rFont val="Arial"/>
        <family val="2"/>
      </rPr>
      <t>td</t>
    </r>
    <r>
      <rPr>
        <sz val="8"/>
        <rFont val="Arial"/>
        <family val="2"/>
      </rPr>
      <t>)</t>
    </r>
  </si>
  <si>
    <t>Tipo de dátum que se ha de utilizar para planificar esta búsqueda (marcar con una X)</t>
  </si>
  <si>
    <r>
      <t xml:space="preserve">Dos puntos de referencia separados (ir a la </t>
    </r>
    <r>
      <rPr>
        <b/>
        <sz val="8"/>
        <rFont val="Arial"/>
        <family val="2"/>
      </rPr>
      <t>linea 5</t>
    </r>
    <r>
      <rPr>
        <sz val="8"/>
        <rFont val="Arial"/>
        <family val="2"/>
      </rPr>
      <t>)</t>
    </r>
  </si>
  <si>
    <r>
      <t xml:space="preserve">Una linea de referencia que une dos puntos de referencia (ir a la </t>
    </r>
    <r>
      <rPr>
        <b/>
        <sz val="8"/>
        <rFont val="Arial"/>
        <family val="2"/>
      </rPr>
      <t>linea 6</t>
    </r>
    <r>
      <rPr>
        <sz val="8"/>
        <rFont val="Arial"/>
        <family val="2"/>
      </rPr>
      <t>)</t>
    </r>
  </si>
  <si>
    <t>Dos puntos de referencia separados</t>
  </si>
  <si>
    <t>Esfuerzo disponible para la búsqueda en el dátum</t>
  </si>
  <si>
    <r>
      <t>izquierdo (Z</t>
    </r>
    <r>
      <rPr>
        <sz val="7"/>
        <rFont val="Arial"/>
        <family val="2"/>
      </rPr>
      <t>d(izq)</t>
    </r>
    <r>
      <rPr>
        <sz val="8"/>
        <rFont val="Arial"/>
        <family val="2"/>
      </rPr>
      <t>)</t>
    </r>
  </si>
  <si>
    <t>Esfuerzo total disponible de la búsqueda</t>
  </si>
  <si>
    <r>
      <t>(Z</t>
    </r>
    <r>
      <rPr>
        <sz val="7"/>
        <rFont val="Arial"/>
        <family val="2"/>
      </rPr>
      <t>td</t>
    </r>
    <r>
      <rPr>
        <sz val="8"/>
        <rFont val="Arial"/>
        <family val="2"/>
      </rPr>
      <t>=Zd(izq)+Zd(der))</t>
    </r>
  </si>
  <si>
    <t>d.</t>
  </si>
  <si>
    <r>
      <t xml:space="preserve">Ir a las </t>
    </r>
    <r>
      <rPr>
        <b/>
        <sz val="8"/>
        <rFont val="Arial"/>
        <family val="2"/>
      </rPr>
      <t>hojas de trabajo sobre la asignación de esfuerzos</t>
    </r>
    <r>
      <rPr>
        <sz val="8"/>
        <rFont val="Arial"/>
        <family val="2"/>
      </rPr>
      <t xml:space="preserve"> (una para cada dátum) y</t>
    </r>
  </si>
  <si>
    <t>seguir las instrucciones para puntos de referencias únicos.</t>
  </si>
  <si>
    <t>Una linea de referencia que une dos puntos de referencia</t>
  </si>
  <si>
    <t>Longitud de la linea de referencia (L=DD+(2×E))</t>
  </si>
  <si>
    <r>
      <t xml:space="preserve">Ir a la </t>
    </r>
    <r>
      <rPr>
        <b/>
        <sz val="8"/>
        <rFont val="Arial"/>
        <family val="2"/>
      </rPr>
      <t>hoja de trabajo sobre la asignación de esfuerzos</t>
    </r>
    <r>
      <rPr>
        <sz val="8"/>
        <rFont val="Arial"/>
        <family val="2"/>
      </rPr>
      <t xml:space="preserve"> y seguir las instrucciones</t>
    </r>
  </si>
  <si>
    <t>por la linea de referencia.</t>
  </si>
  <si>
    <t>HOJA DE TRABAJO SOBRE LA ASIGNACION DE ESFUERZOS PARA LA BUSQUEDA OPTIMA CON</t>
  </si>
  <si>
    <t>UN PUNTO UNICO, DIVERGENCIA DE ABATIMIENTO O LINEAS DE REFERENCIA</t>
  </si>
  <si>
    <t>Cálculo para la asignación de esfuerzos</t>
  </si>
  <si>
    <r>
      <t>Esfuerzo disponible para la búsqueda (Z</t>
    </r>
    <r>
      <rPr>
        <sz val="7"/>
        <rFont val="Arial"/>
        <family val="2"/>
      </rPr>
      <t>d</t>
    </r>
    <r>
      <rPr>
        <sz val="8"/>
        <rFont val="Arial"/>
        <family val="2"/>
      </rPr>
      <t>)</t>
    </r>
  </si>
  <si>
    <r>
      <t xml:space="preserve">(de la </t>
    </r>
    <r>
      <rPr>
        <b/>
        <sz val="8"/>
        <rFont val="Arial"/>
        <family val="2"/>
      </rPr>
      <t>linea 14</t>
    </r>
    <r>
      <rPr>
        <sz val="8"/>
        <rFont val="Arial"/>
        <family val="2"/>
      </rPr>
      <t xml:space="preserve"> de la </t>
    </r>
    <r>
      <rPr>
        <b/>
        <sz val="8"/>
        <rFont val="Arial"/>
        <family val="2"/>
      </rPr>
      <t>hoja de trabajo sobre el esfuerzo total</t>
    </r>
    <r>
      <rPr>
        <sz val="8"/>
        <rFont val="Arial"/>
        <family val="2"/>
      </rPr>
      <t xml:space="preserve"> </t>
    </r>
  </si>
  <si>
    <r>
      <t xml:space="preserve">disponible para la búsqueda </t>
    </r>
    <r>
      <rPr>
        <sz val="8"/>
        <rFont val="Arial"/>
        <family val="2"/>
      </rPr>
      <t xml:space="preserve">o de las </t>
    </r>
    <r>
      <rPr>
        <b/>
        <sz val="8"/>
        <rFont val="Arial"/>
        <family val="2"/>
      </rPr>
      <t xml:space="preserve">lineas 5.a </t>
    </r>
    <r>
      <rPr>
        <sz val="8"/>
        <rFont val="Arial"/>
        <family val="2"/>
      </rPr>
      <t xml:space="preserve"> o </t>
    </r>
    <r>
      <rPr>
        <b/>
        <sz val="8"/>
        <rFont val="Arial"/>
        <family val="2"/>
      </rPr>
      <t xml:space="preserve">5.b </t>
    </r>
    <r>
      <rPr>
        <sz val="8"/>
        <rFont val="Arial"/>
        <family val="2"/>
      </rPr>
      <t>de la</t>
    </r>
  </si>
  <si>
    <r>
      <t>hoja de trabajo sobre dátum muy divergentes</t>
    </r>
    <r>
      <rPr>
        <sz val="8"/>
        <rFont val="Arial"/>
        <family val="2"/>
      </rPr>
      <t>)</t>
    </r>
  </si>
  <si>
    <r>
      <t>Factor de Esfuerzo (f</t>
    </r>
    <r>
      <rPr>
        <sz val="7"/>
        <rFont val="Arial"/>
        <family val="2"/>
      </rPr>
      <t>z</t>
    </r>
    <r>
      <rPr>
        <sz val="8"/>
        <rFont val="Arial"/>
        <family val="2"/>
      </rPr>
      <t>)</t>
    </r>
  </si>
  <si>
    <t>Longitud de la linea de referencia (L)</t>
  </si>
  <si>
    <r>
      <t>Factor de esfuerzo (f</t>
    </r>
    <r>
      <rPr>
        <sz val="7"/>
        <rFont val="Arial"/>
        <family val="2"/>
      </rPr>
      <t>z</t>
    </r>
    <r>
      <rPr>
        <sz val="8"/>
        <rFont val="Arial"/>
        <family val="2"/>
      </rPr>
      <t>) (f</t>
    </r>
    <r>
      <rPr>
        <sz val="7"/>
        <rFont val="Arial"/>
        <family val="2"/>
      </rPr>
      <t xml:space="preserve">zp </t>
    </r>
    <r>
      <rPr>
        <sz val="8"/>
        <rFont val="Arial"/>
        <family val="2"/>
      </rPr>
      <t>= E² o f</t>
    </r>
    <r>
      <rPr>
        <sz val="7"/>
        <rFont val="Arial"/>
        <family val="2"/>
      </rPr>
      <t xml:space="preserve">zi </t>
    </r>
    <r>
      <rPr>
        <sz val="8"/>
        <rFont val="Arial"/>
        <family val="2"/>
      </rPr>
      <t>= E × L</t>
    </r>
  </si>
  <si>
    <r>
      <t>Esfuerzo relativo (Z</t>
    </r>
    <r>
      <rPr>
        <sz val="7"/>
        <rFont val="Arial"/>
        <family val="2"/>
      </rPr>
      <t>r</t>
    </r>
    <r>
      <rPr>
        <sz val="8"/>
        <rFont val="Arial"/>
        <family val="2"/>
      </rPr>
      <t xml:space="preserve"> = Z</t>
    </r>
    <r>
      <rPr>
        <sz val="7"/>
        <rFont val="Arial"/>
        <family val="2"/>
      </rPr>
      <t xml:space="preserve">td </t>
    </r>
    <r>
      <rPr>
        <sz val="8"/>
        <rFont val="Arial"/>
        <family val="2"/>
      </rPr>
      <t>/ f</t>
    </r>
    <r>
      <rPr>
        <sz val="7"/>
        <rFont val="Arial"/>
        <family val="2"/>
      </rPr>
      <t>z</t>
    </r>
    <r>
      <rPr>
        <sz val="8"/>
        <rFont val="Arial"/>
        <family val="2"/>
      </rPr>
      <t>)</t>
    </r>
  </si>
  <si>
    <r>
      <t>Esfuerzo relativo cumulativo (Z</t>
    </r>
    <r>
      <rPr>
        <sz val="7"/>
        <rFont val="Arial"/>
        <family val="2"/>
      </rPr>
      <t>rc</t>
    </r>
    <r>
      <rPr>
        <sz val="8"/>
        <rFont val="Arial"/>
        <family val="2"/>
      </rPr>
      <t xml:space="preserve"> = Z</t>
    </r>
    <r>
      <rPr>
        <sz val="7"/>
        <rFont val="Arial"/>
        <family val="2"/>
      </rPr>
      <t xml:space="preserve">rc </t>
    </r>
    <r>
      <rPr>
        <sz val="8"/>
        <rFont val="Arial"/>
        <family val="2"/>
      </rPr>
      <t xml:space="preserve"> anterior + Z</t>
    </r>
    <r>
      <rPr>
        <sz val="7"/>
        <rFont val="Arial"/>
        <family val="2"/>
      </rPr>
      <t>r</t>
    </r>
    <r>
      <rPr>
        <sz val="8"/>
        <rFont val="Arial"/>
        <family val="2"/>
      </rPr>
      <t>)</t>
    </r>
  </si>
  <si>
    <r>
      <t>Factor óptimo de búsqueda (f</t>
    </r>
    <r>
      <rPr>
        <sz val="7"/>
        <rFont val="Arial"/>
        <family val="2"/>
      </rPr>
      <t>b</t>
    </r>
    <r>
      <rPr>
        <sz val="8"/>
        <rFont val="Arial"/>
        <family val="2"/>
      </rPr>
      <t>)</t>
    </r>
  </si>
  <si>
    <r>
      <t>(f</t>
    </r>
    <r>
      <rPr>
        <sz val="7"/>
        <rFont val="Arial"/>
        <family val="2"/>
      </rPr>
      <t>b</t>
    </r>
    <r>
      <rPr>
        <sz val="8"/>
        <rFont val="Arial"/>
        <family val="2"/>
      </rPr>
      <t>)</t>
    </r>
  </si>
  <si>
    <t>Bueno</t>
  </si>
  <si>
    <t>Malo</t>
  </si>
  <si>
    <r>
      <t>Radio óptimo de búsqueda (R</t>
    </r>
    <r>
      <rPr>
        <sz val="7"/>
        <rFont val="Arial"/>
        <family val="2"/>
      </rPr>
      <t>o</t>
    </r>
    <r>
      <rPr>
        <sz val="8"/>
        <rFont val="Arial"/>
        <family val="2"/>
      </rPr>
      <t xml:space="preserve"> = f</t>
    </r>
    <r>
      <rPr>
        <sz val="7"/>
        <rFont val="Arial"/>
        <family val="2"/>
      </rPr>
      <t>b</t>
    </r>
    <r>
      <rPr>
        <sz val="8"/>
        <rFont val="Arial"/>
        <family val="2"/>
      </rPr>
      <t xml:space="preserve"> × E)</t>
    </r>
  </si>
  <si>
    <r>
      <t>Area óptima de búsqueda (A</t>
    </r>
    <r>
      <rPr>
        <sz val="7"/>
        <rFont val="Arial"/>
        <family val="2"/>
      </rPr>
      <t>o</t>
    </r>
    <r>
      <rPr>
        <sz val="8"/>
        <rFont val="Arial"/>
        <family val="2"/>
      </rPr>
      <t>)</t>
    </r>
  </si>
  <si>
    <r>
      <t>Punto único de referencia (A</t>
    </r>
    <r>
      <rPr>
        <sz val="7"/>
        <rFont val="Arial"/>
        <family val="2"/>
      </rPr>
      <t>o</t>
    </r>
    <r>
      <rPr>
        <sz val="8"/>
        <rFont val="Arial"/>
        <family val="2"/>
      </rPr>
      <t xml:space="preserve"> = 4 × R</t>
    </r>
    <r>
      <rPr>
        <sz val="7"/>
        <rFont val="Arial"/>
        <family val="2"/>
      </rPr>
      <t>o</t>
    </r>
    <r>
      <rPr>
        <sz val="8"/>
        <rFont val="Arial"/>
        <family val="2"/>
      </rPr>
      <t>²)</t>
    </r>
  </si>
  <si>
    <r>
      <t xml:space="preserve">Divergencia de abatimiento de referencia </t>
    </r>
    <r>
      <rPr>
        <sz val="8"/>
        <rFont val="Arial"/>
        <family val="2"/>
      </rPr>
      <t>[</t>
    </r>
    <r>
      <rPr>
        <sz val="8"/>
        <rFont val="Arial"/>
        <family val="2"/>
      </rPr>
      <t>A</t>
    </r>
    <r>
      <rPr>
        <sz val="7"/>
        <rFont val="Arial"/>
        <family val="2"/>
      </rPr>
      <t>o</t>
    </r>
    <r>
      <rPr>
        <sz val="8"/>
        <rFont val="Arial"/>
        <family val="2"/>
      </rPr>
      <t xml:space="preserve"> = (4 × R</t>
    </r>
    <r>
      <rPr>
        <sz val="7"/>
        <rFont val="Arial"/>
        <family val="2"/>
      </rPr>
      <t>o</t>
    </r>
    <r>
      <rPr>
        <sz val="8"/>
        <rFont val="Arial"/>
        <family val="2"/>
      </rPr>
      <t>²) + (2 × R</t>
    </r>
    <r>
      <rPr>
        <sz val="7"/>
        <rFont val="Arial"/>
        <family val="2"/>
      </rPr>
      <t>o</t>
    </r>
    <r>
      <rPr>
        <sz val="8"/>
        <rFont val="Arial"/>
        <family val="2"/>
      </rPr>
      <t xml:space="preserve"> × DD)</t>
    </r>
    <r>
      <rPr>
        <sz val="8"/>
        <rFont val="Arial"/>
        <family val="2"/>
      </rPr>
      <t>]</t>
    </r>
  </si>
  <si>
    <r>
      <t>Linea de referencia (A</t>
    </r>
    <r>
      <rPr>
        <sz val="7"/>
        <rFont val="Arial"/>
        <family val="2"/>
      </rPr>
      <t>o</t>
    </r>
    <r>
      <rPr>
        <sz val="8"/>
        <rFont val="Arial"/>
        <family val="2"/>
      </rPr>
      <t xml:space="preserve"> = 2 × R</t>
    </r>
    <r>
      <rPr>
        <sz val="7"/>
        <rFont val="Arial"/>
        <family val="2"/>
      </rPr>
      <t>o</t>
    </r>
    <r>
      <rPr>
        <sz val="8"/>
        <rFont val="Arial"/>
        <family val="2"/>
      </rPr>
      <t xml:space="preserve"> × L)</t>
    </r>
  </si>
  <si>
    <r>
      <t>Separación óptima de trayectoria (S</t>
    </r>
    <r>
      <rPr>
        <sz val="7"/>
        <rFont val="Arial"/>
        <family val="2"/>
      </rPr>
      <t>o</t>
    </r>
    <r>
      <rPr>
        <sz val="8"/>
        <rFont val="Arial"/>
        <family val="2"/>
      </rPr>
      <t xml:space="preserve"> = W/C</t>
    </r>
    <r>
      <rPr>
        <sz val="7"/>
        <rFont val="Arial"/>
        <family val="2"/>
      </rPr>
      <t>o</t>
    </r>
    <r>
      <rPr>
        <sz val="8"/>
        <rFont val="Arial"/>
        <family val="2"/>
      </rPr>
      <t>)</t>
    </r>
  </si>
  <si>
    <t xml:space="preserve">Separación asignable más próxima </t>
  </si>
  <si>
    <t>entre trayectoria (S)</t>
  </si>
  <si>
    <t xml:space="preserve">(dentro de los límites utilizables de la capacidad </t>
  </si>
  <si>
    <t>de navegación del medio de búsqueda)</t>
  </si>
  <si>
    <t>Areas ajustadas de búsqueda ( A = V × S × T)</t>
  </si>
  <si>
    <r>
      <t>Area total ajustada de búsqueda (A</t>
    </r>
    <r>
      <rPr>
        <sz val="7"/>
        <rFont val="Arial"/>
        <family val="2"/>
      </rPr>
      <t>t</t>
    </r>
    <r>
      <rPr>
        <sz val="8"/>
        <rFont val="Arial"/>
        <family val="2"/>
      </rPr>
      <t xml:space="preserve"> = A</t>
    </r>
    <r>
      <rPr>
        <sz val="7"/>
        <rFont val="Arial"/>
        <family val="2"/>
      </rPr>
      <t>1</t>
    </r>
    <r>
      <rPr>
        <sz val="8"/>
        <rFont val="Arial"/>
        <family val="2"/>
      </rPr>
      <t xml:space="preserve"> + A</t>
    </r>
    <r>
      <rPr>
        <sz val="7"/>
        <rFont val="Arial"/>
        <family val="2"/>
      </rPr>
      <t>2</t>
    </r>
    <r>
      <rPr>
        <sz val="8"/>
        <rFont val="Arial"/>
        <family val="2"/>
      </rPr>
      <t xml:space="preserve"> + A</t>
    </r>
    <r>
      <rPr>
        <sz val="7"/>
        <rFont val="Arial"/>
        <family val="2"/>
      </rPr>
      <t>3</t>
    </r>
    <r>
      <rPr>
        <sz val="8"/>
        <rFont val="Arial"/>
        <family val="2"/>
      </rPr>
      <t xml:space="preserve"> +. . .)</t>
    </r>
  </si>
  <si>
    <t>Radio ajustado de búsqueda (R)</t>
  </si>
  <si>
    <t>Punto único de referencia</t>
  </si>
  <si>
    <r>
      <t>R =</t>
    </r>
    <r>
      <rPr>
        <sz val="10"/>
        <rFont val="Arial"/>
        <family val="2"/>
      </rPr>
      <t>√</t>
    </r>
  </si>
  <si>
    <r>
      <t>A</t>
    </r>
    <r>
      <rPr>
        <sz val="7"/>
        <rFont val="Arial"/>
        <family val="2"/>
      </rPr>
      <t>t</t>
    </r>
  </si>
  <si>
    <r>
      <t>/</t>
    </r>
    <r>
      <rPr>
        <sz val="10"/>
        <rFont val="Arial"/>
        <family val="2"/>
      </rPr>
      <t>2</t>
    </r>
  </si>
  <si>
    <t xml:space="preserve">Divergencia de abatimiento de referencia </t>
  </si>
  <si>
    <t>Linea de referencia</t>
  </si>
  <si>
    <t>DD² + (4</t>
  </si>
  <si>
    <r>
      <t>×    A</t>
    </r>
    <r>
      <rPr>
        <sz val="7"/>
        <rFont val="Arial"/>
        <family val="2"/>
      </rPr>
      <t xml:space="preserve">t </t>
    </r>
    <r>
      <rPr>
        <sz val="8"/>
        <rFont val="Arial"/>
        <family val="2"/>
      </rPr>
      <t>)</t>
    </r>
  </si>
  <si>
    <r>
      <t>R =[</t>
    </r>
    <r>
      <rPr>
        <sz val="10"/>
        <rFont val="Arial"/>
        <family val="2"/>
      </rPr>
      <t>√</t>
    </r>
  </si>
  <si>
    <r>
      <t>DD</t>
    </r>
    <r>
      <rPr>
        <sz val="8"/>
        <rFont val="Arial"/>
        <family val="2"/>
      </rPr>
      <t>]</t>
    </r>
    <r>
      <rPr>
        <sz val="10"/>
        <rFont val="Arial"/>
        <family val="2"/>
      </rPr>
      <t>/</t>
    </r>
    <r>
      <rPr>
        <sz val="8"/>
        <rFont val="Arial"/>
        <family val="2"/>
      </rPr>
      <t xml:space="preserve"> 4</t>
    </r>
  </si>
  <si>
    <t>(2 × L)</t>
  </si>
  <si>
    <r>
      <t>R = A</t>
    </r>
    <r>
      <rPr>
        <sz val="7"/>
        <rFont val="Arial"/>
        <family val="2"/>
      </rPr>
      <t xml:space="preserve">t  </t>
    </r>
    <r>
      <rPr>
        <sz val="10"/>
        <rFont val="Arial"/>
        <family val="2"/>
      </rPr>
      <t>/</t>
    </r>
  </si>
  <si>
    <t>Dimensiones del área ajustada de búsqueda</t>
  </si>
  <si>
    <t>i)</t>
  </si>
  <si>
    <t>L = 2 × R</t>
  </si>
  <si>
    <t>ii)</t>
  </si>
  <si>
    <t xml:space="preserve">Divergencia del abatimiento </t>
  </si>
  <si>
    <t>de referencia</t>
  </si>
  <si>
    <t>L = (2 × R) + DD</t>
  </si>
  <si>
    <t>iii)</t>
  </si>
  <si>
    <r>
      <t>Longitud de la linea de base (L</t>
    </r>
    <r>
      <rPr>
        <sz val="7"/>
        <rFont val="Arial"/>
        <family val="2"/>
      </rPr>
      <t>b</t>
    </r>
    <r>
      <rPr>
        <sz val="8"/>
        <rFont val="Arial"/>
        <family val="2"/>
      </rPr>
      <t>)</t>
    </r>
  </si>
  <si>
    <t>a)</t>
  </si>
  <si>
    <t>Sin extensiones</t>
  </si>
  <si>
    <r>
      <t>L = L</t>
    </r>
    <r>
      <rPr>
        <sz val="7"/>
        <rFont val="Arial"/>
        <family val="2"/>
      </rPr>
      <t>b</t>
    </r>
  </si>
  <si>
    <r>
      <t>L = R + L</t>
    </r>
    <r>
      <rPr>
        <sz val="7"/>
        <rFont val="Arial"/>
        <family val="2"/>
      </rPr>
      <t>b</t>
    </r>
  </si>
  <si>
    <r>
      <t>L = (2 × R) + L</t>
    </r>
    <r>
      <rPr>
        <sz val="7"/>
        <rFont val="Arial"/>
        <family val="2"/>
      </rPr>
      <t>b</t>
    </r>
  </si>
  <si>
    <t>Una extensión</t>
  </si>
  <si>
    <t>Dos extensiones</t>
  </si>
  <si>
    <t>b)</t>
  </si>
  <si>
    <t>c)</t>
  </si>
  <si>
    <t>Anchura = 2 × R</t>
  </si>
  <si>
    <t>Anchura</t>
  </si>
  <si>
    <t>Dibujar el área de búsqueda en la carta pertinente</t>
  </si>
  <si>
    <t>(Marcar al finalizar)</t>
  </si>
  <si>
    <t xml:space="preserve">Dividir el área de búsqueda en subáreas de búsqueda </t>
  </si>
  <si>
    <r>
      <t>conforme a los valores de la</t>
    </r>
    <r>
      <rPr>
        <b/>
        <sz val="8"/>
        <rFont val="Arial"/>
        <family val="2"/>
      </rPr>
      <t xml:space="preserve"> linea 11</t>
    </r>
  </si>
  <si>
    <t xml:space="preserve">Plan de Búsqueda:A B C </t>
  </si>
  <si>
    <t xml:space="preserve"> (A x C)</t>
  </si>
  <si>
    <r>
      <t>(VD</t>
    </r>
    <r>
      <rPr>
        <b/>
        <sz val="7"/>
        <rFont val="Arial"/>
        <family val="2"/>
      </rPr>
      <t>e</t>
    </r>
    <r>
      <rPr>
        <b/>
        <sz val="8"/>
        <rFont val="Arial"/>
        <family val="2"/>
      </rPr>
      <t xml:space="preserve"> = </t>
    </r>
    <r>
      <rPr>
        <b/>
        <sz val="10"/>
        <rFont val="Arial"/>
        <family val="2"/>
      </rPr>
      <t>√</t>
    </r>
    <r>
      <rPr>
        <b/>
        <sz val="8"/>
        <rFont val="Arial"/>
        <family val="2"/>
      </rPr>
      <t xml:space="preserve"> VDVMS</t>
    </r>
    <r>
      <rPr>
        <b/>
        <sz val="7"/>
        <rFont val="Arial"/>
        <family val="2"/>
      </rPr>
      <t xml:space="preserve">e² + </t>
    </r>
    <r>
      <rPr>
        <b/>
        <sz val="8"/>
        <rFont val="Arial"/>
        <family val="2"/>
      </rPr>
      <t xml:space="preserve"> CTA</t>
    </r>
    <r>
      <rPr>
        <b/>
        <sz val="7"/>
        <rFont val="Arial"/>
        <family val="2"/>
      </rPr>
      <t>e² +</t>
    </r>
    <r>
      <rPr>
        <b/>
        <sz val="8"/>
        <rFont val="Arial"/>
        <family val="2"/>
      </rPr>
      <t xml:space="preserve"> AB</t>
    </r>
    <r>
      <rPr>
        <b/>
        <sz val="7"/>
        <rFont val="Arial"/>
        <family val="2"/>
      </rPr>
      <t>e²</t>
    </r>
    <r>
      <rPr>
        <b/>
        <sz val="8"/>
        <rFont val="Arial"/>
        <family val="2"/>
      </rPr>
      <t>)</t>
    </r>
  </si>
  <si>
    <r>
      <t>(CTA</t>
    </r>
    <r>
      <rPr>
        <sz val="7"/>
        <rFont val="Arial"/>
        <family val="2"/>
      </rPr>
      <t xml:space="preserve">e </t>
    </r>
    <r>
      <rPr>
        <sz val="8"/>
        <rFont val="Arial"/>
        <family val="2"/>
      </rPr>
      <t>(TWC</t>
    </r>
    <r>
      <rPr>
        <sz val="7"/>
        <rFont val="Arial"/>
        <family val="2"/>
      </rPr>
      <t>e</t>
    </r>
    <r>
      <rPr>
        <sz val="8"/>
        <rFont val="Arial"/>
        <family val="2"/>
      </rPr>
      <t>)), (CTA=</t>
    </r>
    <r>
      <rPr>
        <sz val="8"/>
        <rFont val="Symbol"/>
        <family val="1"/>
        <charset val="2"/>
      </rPr>
      <t>Ö</t>
    </r>
    <r>
      <rPr>
        <sz val="8"/>
        <rFont val="Arial"/>
        <family val="2"/>
      </rPr>
      <t>CDM</t>
    </r>
    <r>
      <rPr>
        <sz val="7"/>
        <rFont val="Arial"/>
        <family val="2"/>
      </rPr>
      <t>e</t>
    </r>
    <r>
      <rPr>
        <sz val="8"/>
        <rFont val="Arial"/>
        <family val="2"/>
      </rPr>
      <t>²+CM</t>
    </r>
    <r>
      <rPr>
        <sz val="7"/>
        <rFont val="Arial"/>
        <family val="2"/>
      </rPr>
      <t>e</t>
    </r>
    <r>
      <rPr>
        <sz val="8"/>
        <rFont val="Arial"/>
        <family val="2"/>
      </rPr>
      <t>²+CA</t>
    </r>
    <r>
      <rPr>
        <sz val="7"/>
        <rFont val="Arial"/>
        <family val="2"/>
      </rPr>
      <t>e</t>
    </r>
    <r>
      <rPr>
        <sz val="8"/>
        <rFont val="Arial"/>
        <family val="2"/>
      </rPr>
      <t>²+OCA</t>
    </r>
    <r>
      <rPr>
        <sz val="7"/>
        <rFont val="Arial"/>
        <family val="2"/>
      </rPr>
      <t>e</t>
    </r>
    <r>
      <rPr>
        <sz val="8"/>
        <rFont val="Arial"/>
        <family val="2"/>
      </rPr>
      <t>²)</t>
    </r>
  </si>
  <si>
    <t>HOJA DE TRABAJO SOBRE DATUM MUY DIVERGENTES</t>
  </si>
  <si>
    <t>HORA</t>
  </si>
  <si>
    <t>Horas y velocidades</t>
  </si>
  <si>
    <t>VEL</t>
  </si>
  <si>
    <t>DIR</t>
  </si>
  <si>
    <t>(P?/B?)</t>
  </si>
  <si>
    <t>ESTOA</t>
  </si>
  <si>
    <t>X</t>
  </si>
  <si>
    <t xml:space="preserve">(B) </t>
  </si>
  <si>
    <t>(C)</t>
  </si>
  <si>
    <t>Xt=</t>
  </si>
  <si>
    <t>Yt=</t>
  </si>
  <si>
    <t>(T=85%  del valor menor de la linea 4 ó 5 supra)</t>
  </si>
  <si>
    <r>
      <t>y del terreno (ƒ</t>
    </r>
    <r>
      <rPr>
        <sz val="7"/>
        <rFont val="Arial"/>
        <family val="2"/>
      </rPr>
      <t>w</t>
    </r>
    <r>
      <rPr>
        <sz val="8"/>
        <rFont val="Arial"/>
        <family val="2"/>
      </rPr>
      <t>,ƒ</t>
    </r>
    <r>
      <rPr>
        <sz val="7"/>
        <rFont val="Arial"/>
        <family val="2"/>
      </rPr>
      <t>t</t>
    </r>
    <r>
      <rPr>
        <sz val="8"/>
        <rFont val="Arial"/>
        <family val="2"/>
      </rPr>
      <t xml:space="preserve">) </t>
    </r>
    <r>
      <rPr>
        <b/>
        <sz val="8"/>
        <rFont val="Arial"/>
        <family val="2"/>
      </rPr>
      <t>del cuadro N-7</t>
    </r>
    <r>
      <rPr>
        <sz val="8"/>
        <rFont val="Arial"/>
        <family val="2"/>
      </rPr>
      <t>.</t>
    </r>
  </si>
  <si>
    <r>
      <t>(</t>
    </r>
    <r>
      <rPr>
        <b/>
        <sz val="8"/>
        <rFont val="Arial"/>
        <family val="2"/>
      </rPr>
      <t xml:space="preserve">del cuadro N-5 </t>
    </r>
    <r>
      <rPr>
        <sz val="8"/>
        <rFont val="Arial"/>
        <family val="2"/>
      </rPr>
      <t xml:space="preserve">y </t>
    </r>
    <r>
      <rPr>
        <b/>
        <sz val="8"/>
        <rFont val="Arial"/>
        <family val="2"/>
      </rPr>
      <t>N-6</t>
    </r>
    <r>
      <rPr>
        <sz val="8"/>
        <rFont val="Arial"/>
        <family val="2"/>
      </rPr>
      <t>)</t>
    </r>
  </si>
  <si>
    <r>
      <t xml:space="preserve">(únicamente aeronaves </t>
    </r>
    <r>
      <rPr>
        <b/>
        <sz val="8"/>
        <rFont val="Arial"/>
        <family val="2"/>
      </rPr>
      <t>del cuadro N-8</t>
    </r>
    <r>
      <rPr>
        <sz val="8"/>
        <rFont val="Arial"/>
        <family val="2"/>
      </rPr>
      <t>)</t>
    </r>
  </si>
  <si>
    <t>INSERTE LOS Zr ANTERIORES</t>
  </si>
  <si>
    <t>Zr1</t>
  </si>
  <si>
    <t>Zr2</t>
  </si>
  <si>
    <t>Zr3</t>
  </si>
  <si>
    <t>Zr4</t>
  </si>
  <si>
    <t>Zr5</t>
  </si>
  <si>
    <t>Zr6</t>
  </si>
  <si>
    <t>Zr7</t>
  </si>
  <si>
    <t>Zr8</t>
  </si>
  <si>
    <t>Zr9</t>
  </si>
  <si>
    <t>Zr10</t>
  </si>
  <si>
    <t>Zr11</t>
  </si>
  <si>
    <t>Zr12</t>
  </si>
  <si>
    <t>a, b ó c</t>
  </si>
  <si>
    <t>i  ó  ii</t>
  </si>
  <si>
    <t>Volver</t>
  </si>
  <si>
    <t>Completar la hoja de Viento medio en superficie</t>
  </si>
  <si>
    <r>
      <t xml:space="preserve">Completar en la hoja de </t>
    </r>
    <r>
      <rPr>
        <b/>
        <sz val="10"/>
        <rFont val="Arial"/>
        <family val="2"/>
      </rPr>
      <t>Corriente total de agua.</t>
    </r>
  </si>
  <si>
    <t>a</t>
  </si>
  <si>
    <t>b</t>
  </si>
  <si>
    <t>para la corriente marina</t>
  </si>
  <si>
    <t>Completar la hoja de Corriente de arrastre.</t>
  </si>
  <si>
    <t>Completar la hoja de Abatimiento</t>
  </si>
  <si>
    <t>Completar la hoja de Corriente de marea.</t>
  </si>
  <si>
    <t>Completar la hoja de Dátum.</t>
  </si>
  <si>
    <t>Y</t>
  </si>
  <si>
    <t>Completar la hoja del Error probable total.</t>
  </si>
  <si>
    <t>Completar la hoja sobre Esfuerzo total disponible.</t>
  </si>
  <si>
    <t>Acorde a la Relación de separación seleccione:</t>
  </si>
  <si>
    <t>Hoja de trabajo sobre la asignación de esfuerzos para la búsqueda óptima con un punto único,divergencia de abatimiento o línea de referencia.</t>
  </si>
  <si>
    <t>Hoja de trabajo sobre Dátum muy divergentes.</t>
  </si>
  <si>
    <t>Ir a HTAE</t>
  </si>
  <si>
    <t>Ir a HTAE2</t>
  </si>
  <si>
    <t xml:space="preserve"> </t>
  </si>
  <si>
    <t>IAMSAR</t>
  </si>
  <si>
    <t>NOTAS</t>
  </si>
  <si>
    <t xml:space="preserve">Utilice el Manual IAMSAR Tomo II para planificar las operaciones de búsqueda. </t>
  </si>
  <si>
    <t>Dirección/ deriva de la corriente de marea</t>
  </si>
  <si>
    <t>Error probable de la corriente de marea</t>
  </si>
  <si>
    <t>HOJA DE TRABAJO SOBRE LA CORRIENTE DE MAREA PARA LA PUBLICACION H-610</t>
  </si>
  <si>
    <t>Carta de corriente de marea</t>
  </si>
  <si>
    <t>Hora de la UPC (KLP)</t>
  </si>
  <si>
    <t>ESTOAS</t>
  </si>
  <si>
    <t>INTERVALO</t>
  </si>
  <si>
    <t>Horas</t>
  </si>
  <si>
    <t>P/B</t>
  </si>
  <si>
    <t>Cómputo del factor promedio de los ciclos</t>
  </si>
  <si>
    <t>Factor promedio del primer ciclo Plea/Baja (circular)</t>
  </si>
  <si>
    <t>Total del valor factores del 1er ciclo</t>
  </si>
  <si>
    <t>Cantidad total de factores</t>
  </si>
  <si>
    <t>Factor promedio del 1er ciclo</t>
  </si>
  <si>
    <t>Velocidad de la Cte. promedio para el 1er ciclo</t>
  </si>
  <si>
    <t>Máxima velocidad de Cte. para el 1er ciclo</t>
  </si>
  <si>
    <t>Velocidad promedio del 1er ciclo</t>
  </si>
  <si>
    <t>d</t>
  </si>
  <si>
    <t>Porcentual debido a posición del sol y la luna</t>
  </si>
  <si>
    <t>e</t>
  </si>
  <si>
    <t>Velocidad definitiva del 1er ciclo</t>
  </si>
  <si>
    <t>Factores para el 1er ciclo</t>
  </si>
  <si>
    <t>FF</t>
  </si>
  <si>
    <t>HH</t>
  </si>
  <si>
    <t>MM</t>
  </si>
  <si>
    <t>D</t>
  </si>
  <si>
    <t>Estoas de referencia</t>
  </si>
  <si>
    <t xml:space="preserve">Intervalo desde el dátum a la estoa mas cercana </t>
  </si>
  <si>
    <t>Intervalo desde el incidente a la estoa mas cercana</t>
  </si>
  <si>
    <t>L</t>
  </si>
  <si>
    <t>RL</t>
  </si>
  <si>
    <t>RD</t>
  </si>
  <si>
    <t>1er ciclo</t>
  </si>
  <si>
    <t>2do ciclo</t>
  </si>
  <si>
    <t>3er ciclo</t>
  </si>
  <si>
    <t>4to ciclo</t>
  </si>
  <si>
    <t>5to ciclo</t>
  </si>
  <si>
    <t>VELOCIDAD DE LA CORRIENTE EN CUALQUIER MOMENTO</t>
  </si>
  <si>
    <t>Intervalo entre estoa y máxima corriente</t>
  </si>
  <si>
    <t>Intervalo entre estoa y hora deseada</t>
  </si>
  <si>
    <t>h m</t>
  </si>
  <si>
    <t>1 20</t>
  </si>
  <si>
    <t>1 40</t>
  </si>
  <si>
    <t>2 00</t>
  </si>
  <si>
    <t>2 20</t>
  </si>
  <si>
    <t>2 40</t>
  </si>
  <si>
    <t>3 00</t>
  </si>
  <si>
    <t>3 20</t>
  </si>
  <si>
    <t>3 40</t>
  </si>
  <si>
    <t>4 00</t>
  </si>
  <si>
    <t>4 20</t>
  </si>
  <si>
    <t>4 40</t>
  </si>
  <si>
    <t>5 00</t>
  </si>
  <si>
    <t>5 20</t>
  </si>
  <si>
    <t>5 40</t>
  </si>
  <si>
    <t>0 20</t>
  </si>
  <si>
    <t>0 40</t>
  </si>
  <si>
    <t>1 00</t>
  </si>
  <si>
    <t>c</t>
  </si>
  <si>
    <t>i</t>
  </si>
  <si>
    <t>ii</t>
  </si>
  <si>
    <t>iii</t>
  </si>
  <si>
    <t>iv</t>
  </si>
  <si>
    <t>v</t>
  </si>
  <si>
    <t>vi</t>
  </si>
  <si>
    <t>vii</t>
  </si>
  <si>
    <t>viii</t>
  </si>
  <si>
    <t>ix</t>
  </si>
  <si>
    <t>Factor promedio del segundo ciclo Plea/Baja (circular)</t>
  </si>
  <si>
    <t>Factores para el 2do ciclo</t>
  </si>
  <si>
    <t>Total del valor factores del 2do ciclo</t>
  </si>
  <si>
    <t>Factor promedio del 2do ciclo</t>
  </si>
  <si>
    <t>Velocidad de la Cte. promedio para el 2do ciclo</t>
  </si>
  <si>
    <t>Máxima velocidad de Cte. para el 2do ciclo</t>
  </si>
  <si>
    <t>Velocidad promedio del 2do ciclo</t>
  </si>
  <si>
    <t>Velocidad definitiva del 2do ciclo</t>
  </si>
  <si>
    <t>Factor promedio del tercer ciclo Plea/Baja (circular)</t>
  </si>
  <si>
    <t>Factores para el 3er ciclo</t>
  </si>
  <si>
    <t>Total del valor factores del 3er ciclo</t>
  </si>
  <si>
    <t>Factor promedio del 3er ciclo</t>
  </si>
  <si>
    <t>Velocidad de la Cte. promedio para el 3er ciclo</t>
  </si>
  <si>
    <t>Máxima velocidad de Cte. para el 3er ciclo</t>
  </si>
  <si>
    <t>Velocidad promedio del 3er ciclo</t>
  </si>
  <si>
    <t>Velocidad definitiva del 3er ciclo</t>
  </si>
  <si>
    <t>f</t>
  </si>
  <si>
    <t>Factor promedio del cuarto ciclo Plea/Baja (circular)</t>
  </si>
  <si>
    <t>Factores para el 4to ciclo</t>
  </si>
  <si>
    <t>Total del valor factores del 4to ciclo</t>
  </si>
  <si>
    <t>Factor promedio del 4to ciclo</t>
  </si>
  <si>
    <t>Velocidad de la Cte. promedio para el 4to ciclo</t>
  </si>
  <si>
    <t>Máxima velocidad de Cte. para el 4to ciclo</t>
  </si>
  <si>
    <t>Velocidad promedio del 4to ciclo</t>
  </si>
  <si>
    <t>Velocidad definitiva del 4to ciclo</t>
  </si>
  <si>
    <t>g</t>
  </si>
  <si>
    <t>Factor promedio del quinto ciclo Plea/Baja (circular)</t>
  </si>
  <si>
    <t>Factores para el 5to ciclo</t>
  </si>
  <si>
    <t>Total del valor factores del 5to ciclo</t>
  </si>
  <si>
    <t>Factor promedio del 5to ciclo</t>
  </si>
  <si>
    <t>Velocidad de la Cte. promedio para el 5to ciclo</t>
  </si>
  <si>
    <t>Máxima velocidad de Cte. para el 5to ciclo</t>
  </si>
  <si>
    <t>Velocidad promedio del 5to ciclo</t>
  </si>
  <si>
    <t>Velocidad definitiva del 5to ciclo</t>
  </si>
  <si>
    <t>Cómputo del vector de corriente de marea (CDM(TC))</t>
  </si>
  <si>
    <t>1er ciclo:</t>
  </si>
  <si>
    <t>2do ciclo:</t>
  </si>
  <si>
    <t>3er ciclo:</t>
  </si>
  <si>
    <t>4to ciclo:</t>
  </si>
  <si>
    <t>5to ciclo:</t>
  </si>
  <si>
    <t>mouse, la función PEGADO ESPECIAL y seleccione solo "valores".</t>
  </si>
  <si>
    <t>(de la Figura N-10)</t>
  </si>
  <si>
    <t>(de las Figuras N-11 ó N-12 según corresponda)</t>
  </si>
  <si>
    <t>Calcular la probalidad de detección (PDD (POD))</t>
  </si>
  <si>
    <t>Calcular la probabilidad de éxito (PDE (POS))</t>
  </si>
  <si>
    <t xml:space="preserve">La hoja de cálculo solo tiene la finalidad de ayudarlo a realizar las operaciones matemáticas, </t>
  </si>
  <si>
    <t>Completar la hoja de Corriente total calculada</t>
  </si>
  <si>
    <t>en un archivo de word,  tomado del apéndice k del tomo II del IAMSAR con pequeñas  modifi-.</t>
  </si>
  <si>
    <t>caciones hechas en función a la utilidad práctica.</t>
  </si>
  <si>
    <t>En  la  hoja  de  cálculo  de  la  corriente  de  marea  H-610  a  la  derecha  de hoja encontrará</t>
  </si>
  <si>
    <t>el  cuadro  de  la  "velocidad  de  la  corriente  en   cualquier   momento",  para  el  cual  podrá</t>
  </si>
  <si>
    <t>si tiene la corriente total observada</t>
  </si>
  <si>
    <t>Junto con este archivo, se adjuntan  las hojas de instrucciones para el llenado  de las planillas</t>
  </si>
  <si>
    <t>permitiendo de esta forma imprimir y archivar las hojas de trabajo. De ninguna manera reem-</t>
  </si>
  <si>
    <t>plaza el criterio del planificador.</t>
  </si>
  <si>
    <t>hojas solo se utilizarán  cuando  se  realicen  los   cálculos  de  forma manual.</t>
  </si>
  <si>
    <t>Solo  las celdas que tienen formato  punteado con bordes azules,  son  para  ingresar  datos.</t>
  </si>
  <si>
    <t>marcar  y  copiar  las  celdas   que   necesite.  Para  pegar   utilice   de  la  tecla  derecha  del</t>
  </si>
  <si>
    <t xml:space="preserve">Utilice los vínculos de la  hoja  "guía de trabajo"   para  seguir  los  pasos  del  cálculo.   Como </t>
  </si>
  <si>
    <t>PREVIO AL CALCULO LEA LA HOJA DE INSTRUCCIONES</t>
  </si>
  <si>
    <t>GUIA DE TRABAJO PARA CALCULAR LA DERIVA EN EL MEDIO MARINO</t>
  </si>
  <si>
    <t>Imprimir las hojas utilizadas y archivarlas.</t>
  </si>
  <si>
    <t xml:space="preserve">Deriva de la corriente de arrastre </t>
  </si>
  <si>
    <t>°</t>
  </si>
  <si>
    <t>’ W</t>
  </si>
  <si>
    <t>decim</t>
  </si>
  <si>
    <t>izq</t>
  </si>
  <si>
    <t>y</t>
  </si>
  <si>
    <t>x</t>
  </si>
  <si>
    <t>LAT</t>
  </si>
  <si>
    <t>LONG</t>
  </si>
  <si>
    <t>der</t>
  </si>
  <si>
    <t>lat</t>
  </si>
  <si>
    <t>long</t>
  </si>
  <si>
    <t>lat media</t>
  </si>
  <si>
    <t>y=</t>
  </si>
  <si>
    <t>x=</t>
  </si>
  <si>
    <t>´S</t>
  </si>
  <si>
    <t>´W</t>
  </si>
  <si>
    <t>´</t>
  </si>
  <si>
    <r>
      <t>derecho (Z</t>
    </r>
    <r>
      <rPr>
        <sz val="7"/>
        <rFont val="Arial"/>
        <family val="2"/>
      </rPr>
      <t>d(der)</t>
    </r>
    <r>
      <rPr>
        <sz val="8"/>
        <rFont val="Arial"/>
        <family val="2"/>
      </rPr>
      <t>)</t>
    </r>
  </si>
  <si>
    <t xml:space="preserve">           Fecha:</t>
  </si>
  <si>
    <t>Long. L</t>
  </si>
  <si>
    <t>FH:</t>
  </si>
  <si>
    <r>
      <t>Factor óptimo de cobertura (C</t>
    </r>
    <r>
      <rPr>
        <sz val="7"/>
        <rFont val="Arial"/>
        <family val="2"/>
      </rPr>
      <t>o</t>
    </r>
    <r>
      <rPr>
        <sz val="8"/>
        <rFont val="Arial"/>
        <family val="2"/>
      </rPr>
      <t xml:space="preserve"> = Zd/A</t>
    </r>
    <r>
      <rPr>
        <sz val="7"/>
        <rFont val="Arial"/>
        <family val="2"/>
      </rPr>
      <t>o</t>
    </r>
    <r>
      <rPr>
        <sz val="8"/>
        <rFont val="Arial"/>
        <family val="2"/>
      </rPr>
      <t>)</t>
    </r>
  </si>
  <si>
    <t>Suma de vectores.</t>
  </si>
  <si>
    <t>Para H-610</t>
  </si>
  <si>
    <t>HOJA DE HERRAMIENTA PARA SUMA VECTORIAL</t>
  </si>
  <si>
    <t>Error</t>
  </si>
  <si>
    <t>X=</t>
  </si>
  <si>
    <t>Y=</t>
  </si>
  <si>
    <t>RUMBO</t>
  </si>
  <si>
    <t>VELOCIDAD</t>
  </si>
  <si>
    <t>OBSERVACIONES</t>
  </si>
  <si>
    <t>CARGA DE DATOS</t>
  </si>
  <si>
    <t>FECHA</t>
  </si>
  <si>
    <t>Rumbo</t>
  </si>
  <si>
    <t>Veloc.</t>
  </si>
  <si>
    <r>
      <t>HOJA DE TRABAJO SOBRE EL ESFUERZO TOTAL DISPONIBLE PARA LA BÚSQUEDA (Z</t>
    </r>
    <r>
      <rPr>
        <sz val="7"/>
        <rFont val="Arial"/>
        <family val="2"/>
      </rPr>
      <t>td</t>
    </r>
    <r>
      <rPr>
        <sz val="10"/>
        <rFont val="Arial"/>
        <family val="2"/>
      </rPr>
      <t>)</t>
    </r>
  </si>
  <si>
    <t>Co Ajustado a S</t>
  </si>
  <si>
    <t>Hed Long. L</t>
  </si>
  <si>
    <t>HOJA DE TRABAJO SOBRE LA DERIVA AERONÁUTICA</t>
  </si>
  <si>
    <t>Posición estimada del suceso o del salto en paracaídas</t>
  </si>
  <si>
    <t>Fecha/hora</t>
  </si>
  <si>
    <t>Z</t>
  </si>
  <si>
    <t>'</t>
  </si>
  <si>
    <t>Desplazamiento por planeo de la aeronave/paracaídas (da/p)</t>
  </si>
  <si>
    <t>(Tanto para el planeo de la aeronave como para el del paracaídas, emplear esta parte dos veces: una para el planeo de la aeronave y otra para el planeo del paracaídas. Para los paracaídas con cocientes de planeo cero, véase la parte C).</t>
  </si>
  <si>
    <t>Altitud del suceso, o del salto/apertura del paracaídas, según corresponda (Altmáx)</t>
  </si>
  <si>
    <t>pies</t>
  </si>
  <si>
    <t>Altitud del terreno, o del salto/apertura del paracaídas, según corresponda (Altmín)</t>
  </si>
  <si>
    <t>Pérdida de altitud (Pérdida Alt = Altmáx − Altmín)</t>
  </si>
  <si>
    <t>Cociente de planeo (gr = distancia horizontal/distancia vertical) (véase el manual de vuelo o el cuadro N-13 para los paracaídas)</t>
  </si>
  <si>
    <t>Velocidad aerodinámica verdadera de planeo (TASg)</t>
  </si>
  <si>
    <t>Velocidad de descenso (rated) ((TASg × 101)/gr para aeronaves; para paracaídas, introducir el valor según el cuadro N-13)</t>
  </si>
  <si>
    <t>pies/min</t>
  </si>
  <si>
    <t>Tiempo de descenso (td = Pérdida Alt/rated)</t>
  </si>
  <si>
    <t>min</t>
  </si>
  <si>
    <t>Distancia de planeo (dg = (TASg × td)/60)</t>
  </si>
  <si>
    <t>Rumbo de descenso (si no se conoce, dejar en blanco)</t>
  </si>
  <si>
    <t>°T</t>
  </si>
  <si>
    <t>Viento medio de altura durante el planeo (AWAg) (adjuntar Hoja de trabajo sobre el viento medio de altura - VMA)</t>
  </si>
  <si>
    <t>Desplazamiento de la aeronave/paracaídas en la dirección del viento debido al viento medio de altura (dd = (td × AWA)/60)</t>
  </si>
  <si>
    <t>Desplazamiento por planeo de la aeronave/paracaídas (da = suma vectorial de dg y dd)</t>
  </si>
  <si>
    <t>Deriva del paracaídas (dp) (para paracaídas con cociente de planeo cero)</t>
  </si>
  <si>
    <t>Posición en que se produjo el salto: Última posición conocida (LKP) / Posición estimada del suceso (EIP) / Posición en que se produjo el planeo (GP)  (señalar con un círculo)</t>
  </si>
  <si>
    <t>Altitud de apertura del paracaídas (Altmáx)</t>
  </si>
  <si>
    <t>Altitud del terreno (Altmín)</t>
  </si>
  <si>
    <t>Viento medio de altura durante el descenso del paracaídas (AWAp) desde la altitud de la apertura hasta la altitud del terreno (adjuntar Hoja de trabajo sobre el viento medio de altura - VMA)</t>
  </si>
  <si>
    <t>Distancia de deriva desde la altitud de apertura del paracaídas hasta el nivel del mar (dp1) (véase el cuadro N-14)</t>
  </si>
  <si>
    <t>Distancia de deriva desde la altitud del terreno hasta el nivel del mar (dp2) (véase el cuadro N-14)</t>
  </si>
  <si>
    <t>Desplazamiento del paracaídas en la dirección del viento debido al viento de altura (dp = dp1 − dp2)</t>
  </si>
  <si>
    <t>Hora de llegada a la superficie (hora del suceso + tiempo de descenso)</t>
  </si>
  <si>
    <t>HOJA DE TRABAJO SOBRE EL VIENTO MEDIO DE ALTURA (AWA)</t>
  </si>
  <si>
    <t>Altitud de la
observación</t>
  </si>
  <si>
    <t>Intervalo
de altitud</t>
  </si>
  <si>
    <t>Pies
(en miles)</t>
  </si>
  <si>
    <t>Dirección
del viento</t>
  </si>
  <si>
    <t>Velocidad
del viento</t>
  </si>
  <si>
    <t>Contribución
del viento</t>
  </si>
  <si>
    <t>(pies)</t>
  </si>
  <si>
    <t>(B)</t>
  </si>
  <si>
    <t>(A x C)</t>
  </si>
  <si>
    <t>–</t>
  </si>
  <si>
    <t>Pérdida de altitud total</t>
  </si>
  <si>
    <t>(en miles de pies)</t>
  </si>
  <si>
    <t>Viento medio de altura [(E)°T (F/D) nudos]  AWA</t>
  </si>
  <si>
    <t>HOJA DE TRABAJO SOBRE EL DAHOJA DE TRABAJO SOBRE EL DATUM PARA CALCULAR LA DERIVA EN EL MEDIO MARINO</t>
  </si>
  <si>
    <t xml:space="preserve">Plan de Búsqueda: </t>
  </si>
  <si>
    <t>W</t>
  </si>
  <si>
    <t>Latitud, longitud al término del planeo (si no se conoce el rumbo
 de descenso, se dejará en blanco y se introducirá la suma de las distancias de planeo de la aeronave y del paracaídas en A5 de la Hoja de trabajo sobre el error total probable de la posición)</t>
  </si>
  <si>
    <t>Xt (E)</t>
  </si>
  <si>
    <t>Yt (N)</t>
  </si>
  <si>
    <t>Fecha/hora al término del planeo (fecha/hora del suceso A1 + tiempo de descenso B7)</t>
  </si>
  <si>
    <t>lat dec ini</t>
  </si>
  <si>
    <t>long dec ini</t>
  </si>
  <si>
    <t>comp N (nm)</t>
  </si>
  <si>
    <t>comp E (nm)</t>
  </si>
  <si>
    <t>lat dec new</t>
  </si>
  <si>
    <t>long dec new</t>
  </si>
  <si>
    <t>Et (L12)</t>
  </si>
  <si>
    <t>Nt (L12)</t>
  </si>
  <si>
    <t>ang (L12)</t>
  </si>
  <si>
    <t>Completar la hoja de Viento medio de Altura</t>
  </si>
  <si>
    <t>Completar los datos de la hoja del Dátum Aeronáutico hasta el punto 9 "Rumbo de Descenso"</t>
  </si>
  <si>
    <t>Completar los datos de la hoja del Dátum Marítimo hasta el punto de Intervalo de deriva.</t>
  </si>
  <si>
    <t>Ir a E</t>
  </si>
  <si>
    <t>En esta versión agregamos la deriva aeronáutica, por lo vera que hay dos puntos 1 y dos puntos</t>
  </si>
  <si>
    <t xml:space="preserve">2 en la Guía de trabajo. </t>
  </si>
  <si>
    <t>archivos que se descargaran en la carpeta DESCARGAS o DOWNLOAD de Windows. Un archivo</t>
  </si>
  <si>
    <t xml:space="preserve">es de extensión KML para Google Earth  y otro GPX para OpenCPN. Ambos representarán las </t>
  </si>
  <si>
    <t>así también las celdas "volver" de las hojas de trabajo. Las instrucciones de los puntos de las</t>
  </si>
  <si>
    <t>el resto de las celdas realiza los cálculos automáticamente.</t>
  </si>
  <si>
    <t>posiciones del datum y las de deriva. Además dibujara el área que se calcule en HTAE.</t>
  </si>
  <si>
    <t>Además al final de la Guía de trabajo encontrara un botón que dice GENERAR FIX. Este generará dos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</si>
</sst>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
    <numFmt numFmtId="165" formatCode="hh:mm:ss;@"/>
    <numFmt numFmtId="166" formatCode="dd/mm/yy;@"/>
    <numFmt numFmtId="167" formatCode="??/??"/>
    <numFmt numFmtId="168" formatCode="0_ ;\-0\ "/>
  </numFmts>
  <fonts count="62">
    <font>
      <sz val="10"/>
      <name val="Arial"/>
    </font>
    <font>
      <sz val="10"/>
      <name val="Arial"/>
      <family val="2"/>
    </font>
    <font>
      <sz val="8"/>
      <name val="Arial"/>
      <family val="2"/>
    </font>
    <font>
      <b/>
      <sz val="10"/>
      <name val="Arial"/>
      <family val="2"/>
    </font>
    <font>
      <b/>
      <sz val="8"/>
      <name val="Arial"/>
      <family val="2"/>
    </font>
    <font>
      <sz val="7"/>
      <name val="Arial"/>
      <family val="2"/>
    </font>
    <font>
      <b/>
      <sz val="8"/>
      <name val="Arial"/>
      <family val="2"/>
    </font>
    <font>
      <sz val="8"/>
      <name val="Arial"/>
      <family val="2"/>
    </font>
    <font>
      <b/>
      <sz val="7"/>
      <name val="Arial"/>
      <family val="2"/>
    </font>
    <font>
      <sz val="10"/>
      <name val="Arial"/>
      <family val="2"/>
    </font>
    <font>
      <sz val="8"/>
      <name val="Symbol"/>
      <family val="1"/>
      <charset val="2"/>
    </font>
    <font>
      <sz val="12"/>
      <name val="Arial"/>
      <family val="2"/>
    </font>
    <font>
      <b/>
      <u/>
      <sz val="10"/>
      <name val="Arial"/>
      <family val="2"/>
    </font>
    <font>
      <sz val="10"/>
      <color indexed="55"/>
      <name val="Arial"/>
      <family val="2"/>
    </font>
    <font>
      <sz val="10"/>
      <color indexed="13"/>
      <name val="Arial"/>
      <family val="2"/>
    </font>
    <font>
      <sz val="8"/>
      <color indexed="81"/>
      <name val="Tahoma"/>
      <family val="2"/>
    </font>
    <font>
      <sz val="10"/>
      <color indexed="81"/>
      <name val="Tahoma"/>
      <family val="2"/>
    </font>
    <font>
      <u/>
      <sz val="10"/>
      <color indexed="12"/>
      <name val="Arial"/>
      <family val="2"/>
    </font>
    <font>
      <sz val="10"/>
      <color indexed="22"/>
      <name val="Arial"/>
      <family val="2"/>
    </font>
    <font>
      <sz val="10"/>
      <color indexed="22"/>
      <name val="Arial"/>
      <family val="2"/>
    </font>
    <font>
      <u/>
      <sz val="8"/>
      <color indexed="53"/>
      <name val="Tahoma"/>
      <family val="2"/>
    </font>
    <font>
      <b/>
      <sz val="14"/>
      <name val="Arial"/>
      <family val="2"/>
    </font>
    <font>
      <sz val="10"/>
      <name val="Arial"/>
      <family val="2"/>
    </font>
    <font>
      <u/>
      <sz val="8"/>
      <color indexed="12"/>
      <name val="Arial"/>
      <family val="2"/>
    </font>
    <font>
      <sz val="10"/>
      <color indexed="53"/>
      <name val="Arial"/>
      <family val="2"/>
    </font>
    <font>
      <b/>
      <u/>
      <sz val="10"/>
      <color indexed="12"/>
      <name val="Arial"/>
      <family val="2"/>
    </font>
    <font>
      <sz val="10"/>
      <color indexed="55"/>
      <name val="Arial Unicode MS"/>
      <family val="2"/>
    </font>
    <font>
      <sz val="10"/>
      <color indexed="55"/>
      <name val="Arial"/>
      <family val="2"/>
    </font>
    <font>
      <sz val="10"/>
      <color indexed="12"/>
      <name val="Arial"/>
      <family val="2"/>
    </font>
    <font>
      <u/>
      <sz val="10"/>
      <color indexed="12"/>
      <name val="Arial"/>
      <family val="2"/>
    </font>
    <font>
      <sz val="8"/>
      <color indexed="55"/>
      <name val="Arial"/>
      <family val="2"/>
    </font>
    <font>
      <sz val="9.1999999999999993"/>
      <color indexed="81"/>
      <name val="Tahoma"/>
      <family val="2"/>
    </font>
    <font>
      <sz val="15"/>
      <color indexed="81"/>
      <name val="Tahoma"/>
      <family val="2"/>
    </font>
    <font>
      <sz val="10"/>
      <color indexed="49"/>
      <name val="Arial"/>
      <family val="2"/>
    </font>
    <font>
      <sz val="10"/>
      <color indexed="10"/>
      <name val="Arial"/>
      <family val="2"/>
    </font>
    <font>
      <sz val="10"/>
      <color indexed="16"/>
      <name val="Arial"/>
      <family val="2"/>
    </font>
    <font>
      <sz val="8"/>
      <color indexed="49"/>
      <name val="Arial"/>
      <family val="2"/>
    </font>
    <font>
      <sz val="8"/>
      <color indexed="49"/>
      <name val="Arial"/>
      <family val="2"/>
    </font>
    <font>
      <b/>
      <sz val="8"/>
      <color indexed="81"/>
      <name val="Tahoma"/>
      <family val="2"/>
    </font>
    <font>
      <b/>
      <sz val="15"/>
      <color indexed="81"/>
      <name val="Tahoma"/>
      <family val="2"/>
    </font>
    <font>
      <sz val="10"/>
      <color indexed="49"/>
      <name val="Arial"/>
      <family val="2"/>
    </font>
    <font>
      <b/>
      <sz val="11"/>
      <name val="Arial"/>
      <family val="2"/>
    </font>
    <font>
      <b/>
      <sz val="10"/>
      <color indexed="81"/>
      <name val="Tahoma"/>
      <family val="2"/>
    </font>
    <font>
      <sz val="10"/>
      <color theme="0"/>
      <name val="Arial"/>
      <family val="2"/>
    </font>
    <font>
      <sz val="10"/>
      <color rgb="FFFFFFFF"/>
      <name val="Arial"/>
      <family val="2"/>
    </font>
    <font>
      <sz val="10"/>
      <color theme="0" tint="-0.34998626667073579"/>
      <name val="Arial"/>
      <family val="2"/>
    </font>
    <font>
      <b/>
      <u/>
      <sz val="10"/>
      <color theme="3" tint="-0.249977111117893"/>
      <name val="Arial"/>
      <family val="2"/>
    </font>
    <font>
      <sz val="8"/>
      <color rgb="FFFF0000"/>
      <name val="Arial"/>
      <family val="2"/>
    </font>
    <font>
      <sz val="10"/>
      <color rgb="FFFF0000"/>
      <name val="Arial"/>
      <family val="2"/>
    </font>
    <font>
      <u/>
      <sz val="10"/>
      <color rgb="FFFF0000"/>
      <name val="Arial"/>
      <family val="2"/>
    </font>
    <font>
      <sz val="10"/>
      <color theme="1" tint="0.499984740745262"/>
      <name val="Arial"/>
      <family val="2"/>
    </font>
    <font>
      <b/>
      <u/>
      <sz val="10"/>
      <color rgb="FF87CEEB"/>
      <name val="Arial"/>
      <family val="2"/>
    </font>
    <font>
      <b/>
      <sz val="10"/>
      <color rgb="FF87CEEB"/>
      <name val="Arial"/>
      <family val="2"/>
    </font>
    <font>
      <b/>
      <sz val="10"/>
      <name val="Arial"/>
      <charset val="1"/>
    </font>
    <font>
      <sz val="8"/>
      <name val="Arial"/>
      <charset val="1"/>
    </font>
    <font>
      <i/>
      <sz val="8"/>
      <name val="Arial"/>
      <charset val="1"/>
    </font>
    <font>
      <b/>
      <sz val="8"/>
      <name val="Arial"/>
      <charset val="1"/>
    </font>
    <font>
      <b/>
      <u/>
      <sz val="10"/>
      <color theme="1"/>
      <name val="Arial"/>
      <family val="2"/>
    </font>
    <font>
      <sz val="8"/>
      <color rgb="FF969696"/>
      <name val="Arial"/>
      <family val="2"/>
    </font>
    <font>
      <u/>
      <sz val="8"/>
      <name val="Arial"/>
      <family val="2"/>
    </font>
    <font>
      <sz val="9"/>
      <color indexed="81"/>
      <name val="Tahoma"/>
      <family val="2"/>
    </font>
    <font>
      <b/>
      <sz val="9"/>
      <color indexed="81"/>
      <name val="Tahoma"/>
      <family val="2"/>
    </font>
  </fonts>
  <fills count="18">
    <fill>
      <patternFill patternType="none"/>
    </fill>
    <fill>
      <patternFill patternType="gray125"/>
    </fill>
    <fill>
      <patternFill patternType="solid">
        <fgColor indexed="9"/>
        <bgColor indexed="64"/>
      </patternFill>
    </fill>
    <fill>
      <patternFill patternType="solid">
        <fgColor indexed="40"/>
        <bgColor indexed="64"/>
      </patternFill>
    </fill>
    <fill>
      <patternFill patternType="solid">
        <fgColor indexed="55"/>
        <bgColor indexed="64"/>
      </patternFill>
    </fill>
    <fill>
      <patternFill patternType="solid">
        <fgColor indexed="13"/>
        <bgColor indexed="64"/>
      </patternFill>
    </fill>
    <fill>
      <patternFill patternType="solid">
        <fgColor indexed="43"/>
        <bgColor indexed="64"/>
      </patternFill>
    </fill>
    <fill>
      <patternFill patternType="solid">
        <fgColor theme="0" tint="-0.499984740745262"/>
        <bgColor indexed="64"/>
      </patternFill>
    </fill>
    <fill>
      <patternFill patternType="solid">
        <fgColor theme="1" tint="0.499984740745262"/>
        <bgColor indexed="64"/>
      </patternFill>
    </fill>
    <fill>
      <patternFill patternType="solid">
        <fgColor theme="0"/>
        <bgColor indexed="64"/>
      </patternFill>
    </fill>
    <fill>
      <patternFill patternType="solid">
        <fgColor rgb="FF969696"/>
        <bgColor indexed="64"/>
      </patternFill>
    </fill>
    <fill>
      <patternFill patternType="solid">
        <fgColor rgb="FFFFFF00"/>
        <bgColor indexed="64"/>
      </patternFill>
    </fill>
    <fill>
      <patternFill patternType="solid">
        <fgColor rgb="FF87CEEB"/>
        <bgColor indexed="64"/>
      </patternFill>
    </fill>
    <fill>
      <patternFill patternType="solid">
        <fgColor theme="2"/>
        <bgColor rgb="FFC0C0C0"/>
      </patternFill>
    </fill>
    <fill>
      <patternFill patternType="solid">
        <fgColor rgb="FF87CEEB"/>
        <bgColor rgb="FFC0C0C0"/>
      </patternFill>
    </fill>
    <fill>
      <patternFill patternType="solid">
        <fgColor rgb="FF7ED1EE"/>
        <bgColor rgb="FFC0C0C0"/>
      </patternFill>
    </fill>
    <fill>
      <patternFill patternType="solid">
        <fgColor rgb="FF7ED1EE"/>
        <bgColor indexed="64"/>
      </patternFill>
    </fill>
    <fill>
      <patternFill patternType="solid">
        <fgColor theme="0"/>
        <bgColor rgb="FFC0C0C0"/>
      </patternFill>
    </fill>
  </fills>
  <borders count="78">
    <border>
      <left/>
      <right/>
      <top/>
      <bottom/>
      <diagonal/>
    </border>
    <border>
      <left/>
      <right/>
      <top/>
      <bottom style="thin">
        <color indexed="64"/>
      </bottom>
      <diagonal/>
    </border>
    <border>
      <left/>
      <right/>
      <top style="thin">
        <color indexed="64"/>
      </top>
      <bottom/>
      <diagonal/>
    </border>
    <border>
      <left/>
      <right style="thin">
        <color indexed="64"/>
      </right>
      <top/>
      <bottom/>
      <diagonal/>
    </border>
    <border>
      <left style="thin">
        <color indexed="64"/>
      </left>
      <right style="thin">
        <color indexed="64"/>
      </right>
      <top style="thin">
        <color indexed="64"/>
      </top>
      <bottom style="thin">
        <color indexed="64"/>
      </bottom>
      <diagonal/>
    </border>
    <border>
      <left style="double">
        <color indexed="10"/>
      </left>
      <right/>
      <top/>
      <bottom style="double">
        <color indexed="10"/>
      </bottom>
      <diagonal/>
    </border>
    <border>
      <left/>
      <right/>
      <top/>
      <bottom style="double">
        <color indexed="10"/>
      </bottom>
      <diagonal/>
    </border>
    <border>
      <left/>
      <right style="double">
        <color indexed="10"/>
      </right>
      <top/>
      <bottom style="double">
        <color indexed="10"/>
      </bottom>
      <diagonal/>
    </border>
    <border>
      <left style="thin">
        <color indexed="13"/>
      </left>
      <right/>
      <top style="thin">
        <color indexed="13"/>
      </top>
      <bottom/>
      <diagonal/>
    </border>
    <border>
      <left/>
      <right/>
      <top style="thin">
        <color indexed="13"/>
      </top>
      <bottom/>
      <diagonal/>
    </border>
    <border>
      <left style="thin">
        <color indexed="64"/>
      </left>
      <right/>
      <top style="thin">
        <color indexed="13"/>
      </top>
      <bottom style="thin">
        <color indexed="64"/>
      </bottom>
      <diagonal/>
    </border>
    <border>
      <left/>
      <right/>
      <top style="thin">
        <color indexed="13"/>
      </top>
      <bottom style="thin">
        <color indexed="64"/>
      </bottom>
      <diagonal/>
    </border>
    <border>
      <left/>
      <right style="thin">
        <color indexed="64"/>
      </right>
      <top style="thin">
        <color indexed="13"/>
      </top>
      <bottom style="thin">
        <color indexed="64"/>
      </bottom>
      <diagonal/>
    </border>
    <border>
      <left style="thin">
        <color indexed="13"/>
      </left>
      <right/>
      <top/>
      <bottom/>
      <diagonal/>
    </border>
    <border>
      <left style="thin">
        <color indexed="13"/>
      </left>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top/>
      <bottom style="thin">
        <color indexed="64"/>
      </bottom>
      <diagonal/>
    </border>
    <border>
      <left style="thin">
        <color indexed="64"/>
      </left>
      <right/>
      <top/>
      <bottom/>
      <diagonal/>
    </border>
    <border>
      <left/>
      <right style="thin">
        <color indexed="64"/>
      </right>
      <top/>
      <bottom style="thin">
        <color indexed="13"/>
      </bottom>
      <diagonal/>
    </border>
    <border>
      <left style="thin">
        <color indexed="64"/>
      </left>
      <right/>
      <top/>
      <bottom style="thin">
        <color indexed="13"/>
      </bottom>
      <diagonal/>
    </border>
    <border>
      <left/>
      <right/>
      <top/>
      <bottom style="thin">
        <color indexed="13"/>
      </bottom>
      <diagonal/>
    </border>
    <border>
      <left/>
      <right style="thin">
        <color indexed="13"/>
      </right>
      <top style="thin">
        <color indexed="13"/>
      </top>
      <bottom/>
      <diagonal/>
    </border>
    <border>
      <left/>
      <right style="thin">
        <color indexed="13"/>
      </right>
      <top/>
      <bottom/>
      <diagonal/>
    </border>
    <border>
      <left/>
      <right style="thin">
        <color indexed="13"/>
      </right>
      <top style="thin">
        <color indexed="64"/>
      </top>
      <bottom/>
      <diagonal/>
    </border>
    <border>
      <left/>
      <right style="thin">
        <color indexed="13"/>
      </right>
      <top/>
      <bottom style="thin">
        <color indexed="64"/>
      </bottom>
      <diagonal/>
    </border>
    <border>
      <left/>
      <right style="thin">
        <color indexed="13"/>
      </right>
      <top/>
      <bottom style="thin">
        <color indexed="13"/>
      </bottom>
      <diagonal/>
    </border>
    <border>
      <left style="double">
        <color indexed="10"/>
      </left>
      <right/>
      <top style="double">
        <color indexed="10"/>
      </top>
      <bottom/>
      <diagonal/>
    </border>
    <border>
      <left/>
      <right/>
      <top style="double">
        <color indexed="10"/>
      </top>
      <bottom/>
      <diagonal/>
    </border>
    <border>
      <left/>
      <right style="double">
        <color indexed="10"/>
      </right>
      <top style="double">
        <color indexed="10"/>
      </top>
      <bottom/>
      <diagonal/>
    </border>
    <border>
      <left style="double">
        <color indexed="10"/>
      </left>
      <right/>
      <top/>
      <bottom/>
      <diagonal/>
    </border>
    <border>
      <left/>
      <right style="double">
        <color indexed="10"/>
      </right>
      <top/>
      <bottom/>
      <diagonal/>
    </border>
    <border>
      <left/>
      <right/>
      <top/>
      <bottom style="thin">
        <color indexed="55"/>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ck">
        <color indexed="10"/>
      </left>
      <right/>
      <top style="thick">
        <color indexed="10"/>
      </top>
      <bottom style="thick">
        <color indexed="10"/>
      </bottom>
      <diagonal/>
    </border>
    <border>
      <left/>
      <right/>
      <top style="thick">
        <color indexed="10"/>
      </top>
      <bottom style="thick">
        <color indexed="10"/>
      </bottom>
      <diagonal/>
    </border>
    <border>
      <left/>
      <right style="thick">
        <color indexed="10"/>
      </right>
      <top style="thick">
        <color indexed="10"/>
      </top>
      <bottom style="thick">
        <color indexed="10"/>
      </bottom>
      <diagonal/>
    </border>
    <border>
      <left style="thin">
        <color indexed="13"/>
      </left>
      <right/>
      <top/>
      <bottom style="thin">
        <color indexed="13"/>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rgb="FF0070C0"/>
      </bottom>
      <diagonal/>
    </border>
    <border>
      <left style="medium">
        <color indexed="64"/>
      </left>
      <right/>
      <top style="medium">
        <color rgb="FF0070C0"/>
      </top>
      <bottom style="medium">
        <color rgb="FF0070C0"/>
      </bottom>
      <diagonal/>
    </border>
    <border>
      <left style="medium">
        <color indexed="64"/>
      </left>
      <right/>
      <top style="medium">
        <color rgb="FF0070C0"/>
      </top>
      <bottom style="medium">
        <color indexed="64"/>
      </bottom>
      <diagonal/>
    </border>
    <border>
      <left style="medium">
        <color indexed="64"/>
      </left>
      <right style="medium">
        <color indexed="64"/>
      </right>
      <top style="medium">
        <color indexed="64"/>
      </top>
      <bottom style="medium">
        <color rgb="FF0070C0"/>
      </bottom>
      <diagonal/>
    </border>
    <border>
      <left style="medium">
        <color indexed="64"/>
      </left>
      <right style="medium">
        <color indexed="64"/>
      </right>
      <top style="medium">
        <color rgb="FF0070C0"/>
      </top>
      <bottom style="medium">
        <color rgb="FF0070C0"/>
      </bottom>
      <diagonal/>
    </border>
    <border>
      <left style="medium">
        <color indexed="64"/>
      </left>
      <right style="medium">
        <color indexed="64"/>
      </right>
      <top style="medium">
        <color rgb="FF0070C0"/>
      </top>
      <bottom style="medium">
        <color indexed="64"/>
      </bottom>
      <diagonal/>
    </border>
    <border>
      <left/>
      <right/>
      <top/>
      <bottom style="thin">
        <color rgb="FF0070C0"/>
      </bottom>
      <diagonal/>
    </border>
    <border>
      <left/>
      <right/>
      <top style="thin">
        <color indexed="64"/>
      </top>
      <bottom style="thin">
        <color rgb="FF0070C0"/>
      </bottom>
      <diagonal/>
    </border>
    <border>
      <left/>
      <right/>
      <top style="medium">
        <color rgb="FF0070C0"/>
      </top>
      <bottom style="medium">
        <color rgb="FF0070C0"/>
      </bottom>
      <diagonal/>
    </border>
    <border>
      <left/>
      <right style="medium">
        <color indexed="64"/>
      </right>
      <top style="medium">
        <color rgb="FF0070C0"/>
      </top>
      <bottom style="medium">
        <color rgb="FF0070C0"/>
      </bottom>
      <diagonal/>
    </border>
    <border>
      <left/>
      <right/>
      <top style="medium">
        <color rgb="FF0070C0"/>
      </top>
      <bottom style="medium">
        <color indexed="64"/>
      </bottom>
      <diagonal/>
    </border>
    <border>
      <left/>
      <right style="medium">
        <color indexed="64"/>
      </right>
      <top style="medium">
        <color rgb="FF0070C0"/>
      </top>
      <bottom style="medium">
        <color indexed="64"/>
      </bottom>
      <diagonal/>
    </border>
    <border>
      <left/>
      <right/>
      <top style="medium">
        <color indexed="64"/>
      </top>
      <bottom style="medium">
        <color rgb="FF0070C0"/>
      </bottom>
      <diagonal/>
    </border>
    <border>
      <left/>
      <right style="medium">
        <color indexed="64"/>
      </right>
      <top style="medium">
        <color indexed="64"/>
      </top>
      <bottom style="medium">
        <color rgb="FF0070C0"/>
      </bottom>
      <diagonal/>
    </border>
    <border>
      <left/>
      <right/>
      <top style="thin">
        <color auto="1"/>
      </top>
      <bottom/>
      <diagonal/>
    </border>
    <border>
      <left/>
      <right style="thin">
        <color auto="1"/>
      </right>
      <top/>
      <bottom/>
      <diagonal/>
    </border>
    <border>
      <left style="medium">
        <color rgb="FFFFFFFF"/>
      </left>
      <right/>
      <top style="medium">
        <color rgb="FFFFFFFF"/>
      </top>
      <bottom style="medium">
        <color rgb="FF595959"/>
      </bottom>
      <diagonal/>
    </border>
    <border>
      <left/>
      <right/>
      <top style="medium">
        <color rgb="FFFFFFFF"/>
      </top>
      <bottom style="medium">
        <color rgb="FF595959"/>
      </bottom>
      <diagonal/>
    </border>
    <border>
      <left/>
      <right style="medium">
        <color rgb="FF595959"/>
      </right>
      <top style="medium">
        <color rgb="FFFFFFFF"/>
      </top>
      <bottom style="medium">
        <color rgb="FF595959"/>
      </bottom>
      <diagonal/>
    </border>
    <border>
      <left/>
      <right/>
      <top style="double">
        <color rgb="FFFFFFFF"/>
      </top>
      <bottom/>
      <diagonal/>
    </border>
    <border>
      <left style="double">
        <color rgb="FFFFFFFF"/>
      </left>
      <right/>
      <top style="double">
        <color rgb="FFFFFFFF"/>
      </top>
      <bottom/>
      <diagonal/>
    </border>
    <border>
      <left style="double">
        <color rgb="FFFFFFFF"/>
      </left>
      <right/>
      <top/>
      <bottom/>
      <diagonal/>
    </border>
    <border>
      <left style="double">
        <color rgb="FFFFFFFF"/>
      </left>
      <right/>
      <top/>
      <bottom style="double">
        <color rgb="FF404040"/>
      </bottom>
      <diagonal/>
    </border>
    <border>
      <left/>
      <right/>
      <top/>
      <bottom style="double">
        <color rgb="FF404040"/>
      </bottom>
      <diagonal/>
    </border>
    <border>
      <left/>
      <right style="double">
        <color rgb="FF404040"/>
      </right>
      <top style="double">
        <color rgb="FFFFFFFF"/>
      </top>
      <bottom/>
      <diagonal/>
    </border>
    <border>
      <left/>
      <right style="double">
        <color rgb="FF404040"/>
      </right>
      <top/>
      <bottom/>
      <diagonal/>
    </border>
    <border>
      <left/>
      <right style="double">
        <color rgb="FF404040"/>
      </right>
      <top/>
      <bottom style="double">
        <color rgb="FF404040"/>
      </bottom>
      <diagonal/>
    </border>
    <border>
      <left style="double">
        <color rgb="FFFFFFFF"/>
      </left>
      <right/>
      <top/>
      <bottom style="thin">
        <color indexed="64"/>
      </bottom>
      <diagonal/>
    </border>
    <border>
      <left/>
      <right style="double">
        <color rgb="FF404040"/>
      </right>
      <top/>
      <bottom style="thin">
        <color indexed="64"/>
      </bottom>
      <diagonal/>
    </border>
    <border>
      <left style="thick">
        <color auto="1"/>
      </left>
      <right style="thick">
        <color auto="1"/>
      </right>
      <top style="thick">
        <color auto="1"/>
      </top>
      <bottom style="thick">
        <color auto="1"/>
      </bottom>
      <diagonal/>
    </border>
    <border>
      <left/>
      <right/>
      <top/>
      <bottom style="medium">
        <color auto="1"/>
      </bottom>
      <diagonal/>
    </border>
    <border>
      <left style="thick">
        <color auto="1"/>
      </left>
      <right/>
      <top style="thick">
        <color auto="1"/>
      </top>
      <bottom/>
      <diagonal/>
    </border>
    <border>
      <left style="medium">
        <color rgb="FFFFFFFF"/>
      </left>
      <right style="medium">
        <color rgb="FFFFFFFF"/>
      </right>
      <top style="medium">
        <color rgb="FFFFFFFF"/>
      </top>
      <bottom style="medium">
        <color rgb="FF595959"/>
      </bottom>
      <diagonal/>
    </border>
    <border>
      <left/>
      <right style="medium">
        <color rgb="FFFFFFFF"/>
      </right>
      <top style="medium">
        <color rgb="FFFFFFFF"/>
      </top>
      <bottom style="medium">
        <color rgb="FF595959"/>
      </bottom>
      <diagonal/>
    </border>
  </borders>
  <cellStyleXfs count="2">
    <xf numFmtId="0" fontId="0" fillId="0" borderId="0"/>
    <xf numFmtId="0" fontId="17" fillId="0" borderId="0" applyNumberFormat="0" applyFill="0" applyBorder="0" applyAlignment="0" applyProtection="0">
      <alignment vertical="top"/>
      <protection locked="0"/>
    </xf>
  </cellStyleXfs>
  <cellXfs count="435">
    <xf numFmtId="0" fontId="0" fillId="0" borderId="0" xfId="0"/>
    <xf numFmtId="0" fontId="2" fillId="2" borderId="1" xfId="0" applyFont="1" applyFill="1" applyBorder="1" applyAlignment="1">
      <alignment horizontal="center"/>
    </xf>
    <xf numFmtId="0" fontId="0" fillId="2" borderId="1" xfId="0" applyFill="1" applyBorder="1" applyAlignment="1">
      <alignment horizontal="center"/>
    </xf>
    <xf numFmtId="0" fontId="0" fillId="2" borderId="0" xfId="0" applyFill="1"/>
    <xf numFmtId="0" fontId="0" fillId="3" borderId="0" xfId="0" applyFill="1"/>
    <xf numFmtId="0" fontId="7" fillId="2" borderId="1" xfId="0" applyFont="1" applyFill="1" applyBorder="1" applyAlignment="1">
      <alignment horizontal="center"/>
    </xf>
    <xf numFmtId="49" fontId="2" fillId="2" borderId="1" xfId="0" applyNumberFormat="1" applyFont="1" applyFill="1" applyBorder="1" applyAlignment="1" applyProtection="1">
      <alignment horizontal="center"/>
      <protection locked="0"/>
    </xf>
    <xf numFmtId="164" fontId="2" fillId="2" borderId="1" xfId="0" applyNumberFormat="1" applyFont="1" applyFill="1" applyBorder="1" applyAlignment="1" applyProtection="1">
      <alignment horizontal="center"/>
      <protection locked="0"/>
    </xf>
    <xf numFmtId="0" fontId="2" fillId="2" borderId="1" xfId="0" applyFont="1" applyFill="1" applyBorder="1" applyAlignment="1" applyProtection="1">
      <alignment horizontal="center"/>
      <protection locked="0"/>
    </xf>
    <xf numFmtId="164" fontId="7" fillId="2" borderId="1" xfId="0" applyNumberFormat="1" applyFont="1" applyFill="1" applyBorder="1" applyAlignment="1">
      <alignment horizontal="center"/>
    </xf>
    <xf numFmtId="0" fontId="7" fillId="2" borderId="1" xfId="0" applyFont="1" applyFill="1" applyBorder="1" applyAlignment="1" applyProtection="1">
      <alignment horizontal="center"/>
      <protection locked="0"/>
    </xf>
    <xf numFmtId="164" fontId="7" fillId="2" borderId="1" xfId="0" applyNumberFormat="1" applyFont="1" applyFill="1" applyBorder="1" applyAlignment="1" applyProtection="1">
      <alignment horizontal="center"/>
      <protection locked="0"/>
    </xf>
    <xf numFmtId="0" fontId="7" fillId="2" borderId="1" xfId="0" applyFont="1" applyFill="1" applyBorder="1" applyProtection="1">
      <protection locked="0"/>
    </xf>
    <xf numFmtId="0" fontId="0" fillId="3" borderId="0" xfId="0" applyFill="1" applyAlignment="1">
      <alignment horizontal="right"/>
    </xf>
    <xf numFmtId="0" fontId="17" fillId="3" borderId="0" xfId="1" applyFill="1" applyAlignment="1" applyProtection="1"/>
    <xf numFmtId="0" fontId="2" fillId="2" borderId="1" xfId="0" applyFont="1" applyFill="1" applyBorder="1"/>
    <xf numFmtId="0" fontId="2" fillId="2" borderId="1" xfId="0" applyFont="1" applyFill="1" applyBorder="1" applyProtection="1">
      <protection locked="0"/>
    </xf>
    <xf numFmtId="0" fontId="2" fillId="2" borderId="4" xfId="0" applyFont="1" applyFill="1" applyBorder="1" applyAlignment="1" applyProtection="1">
      <alignment horizontal="center"/>
      <protection locked="0"/>
    </xf>
    <xf numFmtId="0" fontId="17" fillId="3" borderId="0" xfId="1" applyFill="1" applyAlignment="1" applyProtection="1">
      <alignment horizontal="left"/>
    </xf>
    <xf numFmtId="0" fontId="3" fillId="3" borderId="0" xfId="0" applyFont="1" applyFill="1" applyAlignment="1">
      <alignment horizontal="center" vertical="center"/>
    </xf>
    <xf numFmtId="0" fontId="0" fillId="4" borderId="0" xfId="0" applyFill="1"/>
    <xf numFmtId="0" fontId="0" fillId="3" borderId="5" xfId="0" applyFill="1" applyBorder="1"/>
    <xf numFmtId="0" fontId="0" fillId="3" borderId="6" xfId="0" applyFill="1" applyBorder="1"/>
    <xf numFmtId="0" fontId="0" fillId="3" borderId="7" xfId="0" applyFill="1" applyBorder="1"/>
    <xf numFmtId="0" fontId="18" fillId="4" borderId="0" xfId="0" applyFont="1" applyFill="1"/>
    <xf numFmtId="0" fontId="13" fillId="4" borderId="0" xfId="0" applyFont="1" applyFill="1"/>
    <xf numFmtId="0" fontId="0" fillId="4" borderId="0" xfId="0" applyFill="1" applyAlignment="1">
      <alignment horizontal="center"/>
    </xf>
    <xf numFmtId="0" fontId="0" fillId="4" borderId="0" xfId="0" applyFill="1" applyAlignment="1">
      <alignment horizontal="right"/>
    </xf>
    <xf numFmtId="0" fontId="14" fillId="4" borderId="0" xfId="0" applyFont="1" applyFill="1"/>
    <xf numFmtId="0" fontId="26" fillId="4" borderId="0" xfId="0" applyFont="1" applyFill="1"/>
    <xf numFmtId="0" fontId="27" fillId="4" borderId="0" xfId="0" applyFont="1" applyFill="1" applyAlignment="1">
      <alignment horizontal="center"/>
    </xf>
    <xf numFmtId="0" fontId="27" fillId="4" borderId="0" xfId="0" applyFont="1" applyFill="1" applyAlignment="1" applyProtection="1">
      <alignment horizontal="center"/>
      <protection locked="0"/>
    </xf>
    <xf numFmtId="0" fontId="18" fillId="4" borderId="0" xfId="0" applyFont="1" applyFill="1" applyAlignment="1">
      <alignment horizontal="center"/>
    </xf>
    <xf numFmtId="0" fontId="0" fillId="4" borderId="0" xfId="0" applyFill="1" applyAlignment="1" applyProtection="1">
      <alignment horizontal="center"/>
      <protection locked="0"/>
    </xf>
    <xf numFmtId="0" fontId="27" fillId="4" borderId="0" xfId="0" applyFont="1" applyFill="1"/>
    <xf numFmtId="0" fontId="13" fillId="4" borderId="0" xfId="0" applyFont="1" applyFill="1" applyAlignment="1">
      <alignment horizontal="right"/>
    </xf>
    <xf numFmtId="0" fontId="27" fillId="4" borderId="0" xfId="0" applyFont="1" applyFill="1" applyAlignment="1">
      <alignment horizontal="right"/>
    </xf>
    <xf numFmtId="0" fontId="28" fillId="4" borderId="0" xfId="0" applyFont="1" applyFill="1"/>
    <xf numFmtId="0" fontId="3" fillId="4" borderId="0" xfId="0" applyFont="1" applyFill="1"/>
    <xf numFmtId="0" fontId="2" fillId="4" borderId="0" xfId="0" applyFont="1" applyFill="1"/>
    <xf numFmtId="0" fontId="0" fillId="4" borderId="0" xfId="0" applyFill="1" applyAlignment="1">
      <alignment horizontal="left"/>
    </xf>
    <xf numFmtId="0" fontId="4" fillId="4" borderId="0" xfId="0" applyFont="1" applyFill="1"/>
    <xf numFmtId="0" fontId="7" fillId="4" borderId="0" xfId="0" applyFont="1" applyFill="1"/>
    <xf numFmtId="0" fontId="2" fillId="4" borderId="0" xfId="0" applyFont="1" applyFill="1" applyAlignment="1">
      <alignment horizontal="left"/>
    </xf>
    <xf numFmtId="0" fontId="17" fillId="5" borderId="0" xfId="1" applyFill="1" applyAlignment="1" applyProtection="1">
      <protection locked="0"/>
    </xf>
    <xf numFmtId="0" fontId="29" fillId="5" borderId="0" xfId="1" applyFont="1" applyFill="1" applyAlignment="1" applyProtection="1">
      <alignment horizontal="left"/>
      <protection locked="0"/>
    </xf>
    <xf numFmtId="0" fontId="19" fillId="4" borderId="0" xfId="0" applyFont="1" applyFill="1" applyAlignment="1">
      <alignment horizontal="center"/>
    </xf>
    <xf numFmtId="0" fontId="2" fillId="4" borderId="0" xfId="0" applyFont="1" applyFill="1" applyAlignment="1">
      <alignment horizontal="right"/>
    </xf>
    <xf numFmtId="0" fontId="9" fillId="4" borderId="0" xfId="0" applyFont="1" applyFill="1" applyAlignment="1">
      <alignment horizontal="right"/>
    </xf>
    <xf numFmtId="49" fontId="7" fillId="4" borderId="0" xfId="0" applyNumberFormat="1" applyFont="1" applyFill="1"/>
    <xf numFmtId="0" fontId="9" fillId="4" borderId="0" xfId="0" applyFont="1" applyFill="1"/>
    <xf numFmtId="0" fontId="17" fillId="5" borderId="0" xfId="1" applyFill="1" applyBorder="1" applyAlignment="1" applyProtection="1">
      <protection locked="0"/>
    </xf>
    <xf numFmtId="0" fontId="1" fillId="4" borderId="0" xfId="0" applyFont="1" applyFill="1"/>
    <xf numFmtId="0" fontId="22" fillId="4" borderId="0" xfId="0" applyFont="1" applyFill="1"/>
    <xf numFmtId="0" fontId="22" fillId="4" borderId="0" xfId="0" applyFont="1" applyFill="1" applyAlignment="1">
      <alignment horizontal="center"/>
    </xf>
    <xf numFmtId="0" fontId="22" fillId="4" borderId="0" xfId="0" applyFont="1" applyFill="1" applyAlignment="1">
      <alignment horizontal="right"/>
    </xf>
    <xf numFmtId="0" fontId="26" fillId="4" borderId="0" xfId="0" applyFont="1" applyFill="1" applyAlignment="1">
      <alignment horizontal="center"/>
    </xf>
    <xf numFmtId="0" fontId="14" fillId="4" borderId="8" xfId="0" applyFont="1" applyFill="1" applyBorder="1"/>
    <xf numFmtId="0" fontId="14" fillId="4" borderId="9" xfId="0" applyFont="1" applyFill="1" applyBorder="1"/>
    <xf numFmtId="0" fontId="14" fillId="4" borderId="10" xfId="0" applyFont="1" applyFill="1" applyBorder="1"/>
    <xf numFmtId="0" fontId="14" fillId="4" borderId="11" xfId="0" applyFont="1" applyFill="1" applyBorder="1"/>
    <xf numFmtId="0" fontId="14" fillId="4" borderId="12" xfId="0" applyFont="1" applyFill="1" applyBorder="1"/>
    <xf numFmtId="0" fontId="14" fillId="4" borderId="13" xfId="0" applyFont="1" applyFill="1" applyBorder="1"/>
    <xf numFmtId="0" fontId="14" fillId="4" borderId="14" xfId="0" applyFont="1" applyFill="1" applyBorder="1"/>
    <xf numFmtId="0" fontId="14" fillId="4" borderId="15" xfId="0" applyFont="1" applyFill="1" applyBorder="1"/>
    <xf numFmtId="0" fontId="14" fillId="4" borderId="16" xfId="0" applyFont="1" applyFill="1" applyBorder="1"/>
    <xf numFmtId="0" fontId="14" fillId="4" borderId="2" xfId="0" applyFont="1" applyFill="1" applyBorder="1"/>
    <xf numFmtId="0" fontId="14" fillId="4" borderId="3" xfId="0" applyFont="1" applyFill="1" applyBorder="1"/>
    <xf numFmtId="0" fontId="14" fillId="4" borderId="17" xfId="0" applyFont="1" applyFill="1" applyBorder="1"/>
    <xf numFmtId="0" fontId="14" fillId="4" borderId="1" xfId="0" applyFont="1" applyFill="1" applyBorder="1"/>
    <xf numFmtId="0" fontId="14" fillId="4" borderId="18" xfId="0" applyFont="1" applyFill="1" applyBorder="1"/>
    <xf numFmtId="0" fontId="14" fillId="4" borderId="19" xfId="0" applyFont="1" applyFill="1" applyBorder="1"/>
    <xf numFmtId="0" fontId="14" fillId="4" borderId="20" xfId="0" applyFont="1" applyFill="1" applyBorder="1"/>
    <xf numFmtId="0" fontId="14" fillId="4" borderId="21" xfId="0" applyFont="1" applyFill="1" applyBorder="1"/>
    <xf numFmtId="0" fontId="9" fillId="4" borderId="0" xfId="0" applyFont="1" applyFill="1" applyAlignment="1">
      <alignment horizontal="center"/>
    </xf>
    <xf numFmtId="0" fontId="14" fillId="4" borderId="0" xfId="0" applyFont="1" applyFill="1" applyProtection="1">
      <protection locked="0"/>
    </xf>
    <xf numFmtId="0" fontId="14" fillId="4" borderId="21" xfId="0" applyFont="1" applyFill="1" applyBorder="1" applyProtection="1">
      <protection locked="0"/>
    </xf>
    <xf numFmtId="0" fontId="14" fillId="4" borderId="22" xfId="0" applyFont="1" applyFill="1" applyBorder="1"/>
    <xf numFmtId="0" fontId="14" fillId="4" borderId="23" xfId="0" applyFont="1" applyFill="1" applyBorder="1"/>
    <xf numFmtId="0" fontId="14" fillId="4" borderId="24" xfId="0" applyFont="1" applyFill="1" applyBorder="1"/>
    <xf numFmtId="0" fontId="14" fillId="4" borderId="25" xfId="0" applyFont="1" applyFill="1" applyBorder="1"/>
    <xf numFmtId="0" fontId="14" fillId="4" borderId="23" xfId="0" applyFont="1" applyFill="1" applyBorder="1" applyProtection="1">
      <protection locked="0"/>
    </xf>
    <xf numFmtId="0" fontId="14" fillId="4" borderId="26" xfId="0" applyFont="1" applyFill="1" applyBorder="1"/>
    <xf numFmtId="0" fontId="14" fillId="4" borderId="26" xfId="0" applyFont="1" applyFill="1" applyBorder="1" applyProtection="1">
      <protection locked="0"/>
    </xf>
    <xf numFmtId="0" fontId="7" fillId="4" borderId="0" xfId="0" applyFont="1" applyFill="1" applyAlignment="1">
      <alignment horizontal="left"/>
    </xf>
    <xf numFmtId="0" fontId="17" fillId="5" borderId="0" xfId="1" applyFill="1" applyAlignment="1" applyProtection="1">
      <alignment horizontal="left"/>
      <protection locked="0"/>
    </xf>
    <xf numFmtId="0" fontId="30" fillId="4" borderId="0" xfId="0" applyFont="1" applyFill="1"/>
    <xf numFmtId="0" fontId="0" fillId="5" borderId="0" xfId="0" applyFill="1" applyProtection="1">
      <protection locked="0"/>
    </xf>
    <xf numFmtId="0" fontId="14" fillId="4" borderId="0" xfId="0" applyFont="1" applyFill="1" applyAlignment="1">
      <alignment horizontal="left"/>
    </xf>
    <xf numFmtId="0" fontId="17" fillId="3" borderId="0" xfId="1" applyFill="1" applyAlignment="1" applyProtection="1">
      <protection locked="0"/>
    </xf>
    <xf numFmtId="0" fontId="0" fillId="2" borderId="0" xfId="0" applyFill="1" applyProtection="1">
      <protection locked="0"/>
    </xf>
    <xf numFmtId="0" fontId="26" fillId="4" borderId="0" xfId="0" applyFont="1" applyFill="1" applyAlignment="1">
      <alignment horizontal="right"/>
    </xf>
    <xf numFmtId="0" fontId="0" fillId="3" borderId="0" xfId="0" applyFill="1" applyProtection="1">
      <protection locked="0"/>
    </xf>
    <xf numFmtId="0" fontId="34" fillId="3" borderId="27" xfId="0" applyFont="1" applyFill="1" applyBorder="1"/>
    <xf numFmtId="0" fontId="34" fillId="3" borderId="28" xfId="0" applyFont="1" applyFill="1" applyBorder="1"/>
    <xf numFmtId="0" fontId="34" fillId="3" borderId="29" xfId="0" applyFont="1" applyFill="1" applyBorder="1"/>
    <xf numFmtId="0" fontId="35" fillId="3" borderId="30" xfId="0" applyFont="1" applyFill="1" applyBorder="1"/>
    <xf numFmtId="0" fontId="35" fillId="3" borderId="0" xfId="0" applyFont="1" applyFill="1"/>
    <xf numFmtId="0" fontId="35" fillId="3" borderId="0" xfId="0" applyFont="1" applyFill="1" applyAlignment="1">
      <alignment horizontal="left"/>
    </xf>
    <xf numFmtId="0" fontId="35" fillId="3" borderId="31" xfId="0" applyFont="1" applyFill="1" applyBorder="1"/>
    <xf numFmtId="0" fontId="0" fillId="7" borderId="0" xfId="0" applyFill="1"/>
    <xf numFmtId="0" fontId="13" fillId="7" borderId="0" xfId="0" applyFont="1" applyFill="1"/>
    <xf numFmtId="0" fontId="3" fillId="7" borderId="0" xfId="0" applyFont="1" applyFill="1"/>
    <xf numFmtId="0" fontId="2" fillId="7" borderId="0" xfId="0" applyFont="1" applyFill="1"/>
    <xf numFmtId="0" fontId="13" fillId="7" borderId="0" xfId="0" applyFont="1" applyFill="1" applyAlignment="1">
      <alignment horizontal="center"/>
    </xf>
    <xf numFmtId="0" fontId="26" fillId="7" borderId="0" xfId="0" applyFont="1" applyFill="1"/>
    <xf numFmtId="0" fontId="27" fillId="7" borderId="0" xfId="0" applyFont="1" applyFill="1" applyAlignment="1">
      <alignment horizontal="center"/>
    </xf>
    <xf numFmtId="0" fontId="0" fillId="7" borderId="0" xfId="0" applyFill="1" applyAlignment="1">
      <alignment horizontal="right"/>
    </xf>
    <xf numFmtId="0" fontId="0" fillId="7" borderId="0" xfId="0" applyFill="1" applyAlignment="1">
      <alignment horizontal="center"/>
    </xf>
    <xf numFmtId="0" fontId="0" fillId="7" borderId="0" xfId="0" applyFill="1" applyAlignment="1">
      <alignment horizontal="left"/>
    </xf>
    <xf numFmtId="0" fontId="13" fillId="7" borderId="0" xfId="0" applyFont="1" applyFill="1" applyAlignment="1">
      <alignment horizontal="left"/>
    </xf>
    <xf numFmtId="0" fontId="4" fillId="7" borderId="0" xfId="0" applyFont="1" applyFill="1"/>
    <xf numFmtId="0" fontId="7" fillId="7" borderId="0" xfId="0" applyFont="1" applyFill="1"/>
    <xf numFmtId="0" fontId="0" fillId="7" borderId="32" xfId="0" applyFill="1" applyBorder="1"/>
    <xf numFmtId="0" fontId="2" fillId="7" borderId="0" xfId="0" applyFont="1" applyFill="1" applyAlignment="1">
      <alignment horizontal="left"/>
    </xf>
    <xf numFmtId="0" fontId="0" fillId="8" borderId="0" xfId="0" applyFill="1"/>
    <xf numFmtId="0" fontId="13" fillId="8" borderId="0" xfId="0" applyFont="1" applyFill="1"/>
    <xf numFmtId="0" fontId="0" fillId="8" borderId="0" xfId="0" applyFill="1" applyAlignment="1">
      <alignment horizontal="right"/>
    </xf>
    <xf numFmtId="0" fontId="2" fillId="8" borderId="0" xfId="0" applyFont="1" applyFill="1"/>
    <xf numFmtId="0" fontId="13" fillId="8" borderId="0" xfId="0" applyFont="1" applyFill="1" applyAlignment="1">
      <alignment horizontal="left"/>
    </xf>
    <xf numFmtId="0" fontId="13" fillId="8" borderId="0" xfId="0" applyFont="1" applyFill="1" applyAlignment="1">
      <alignment horizontal="right"/>
    </xf>
    <xf numFmtId="0" fontId="33" fillId="8" borderId="0" xfId="0" applyFont="1" applyFill="1" applyAlignment="1">
      <alignment horizontal="center"/>
    </xf>
    <xf numFmtId="49" fontId="22" fillId="8" borderId="0" xfId="0" applyNumberFormat="1" applyFont="1" applyFill="1" applyAlignment="1">
      <alignment horizontal="left"/>
    </xf>
    <xf numFmtId="0" fontId="17" fillId="8" borderId="0" xfId="1" applyFill="1" applyBorder="1" applyAlignment="1" applyProtection="1">
      <protection locked="0"/>
    </xf>
    <xf numFmtId="0" fontId="4" fillId="0" borderId="33" xfId="0" applyFont="1" applyBorder="1" applyAlignment="1">
      <alignment horizontal="center"/>
    </xf>
    <xf numFmtId="0" fontId="4" fillId="0" borderId="34" xfId="0" applyFont="1" applyBorder="1" applyAlignment="1">
      <alignment horizontal="center"/>
    </xf>
    <xf numFmtId="165" fontId="4" fillId="0" borderId="34" xfId="0" applyNumberFormat="1" applyFont="1" applyBorder="1" applyAlignment="1">
      <alignment horizontal="center"/>
    </xf>
    <xf numFmtId="14" fontId="4" fillId="0" borderId="33" xfId="0" applyNumberFormat="1" applyFont="1" applyBorder="1" applyAlignment="1">
      <alignment horizontal="center"/>
    </xf>
    <xf numFmtId="0" fontId="9" fillId="2" borderId="1" xfId="0" applyFont="1" applyFill="1" applyBorder="1" applyAlignment="1" applyProtection="1">
      <alignment horizontal="center"/>
      <protection locked="0"/>
    </xf>
    <xf numFmtId="0" fontId="9" fillId="9" borderId="34" xfId="0" applyFont="1" applyFill="1" applyBorder="1" applyAlignment="1">
      <alignment horizontal="center"/>
    </xf>
    <xf numFmtId="164" fontId="9" fillId="9" borderId="34" xfId="0" applyNumberFormat="1" applyFont="1" applyFill="1" applyBorder="1" applyAlignment="1">
      <alignment horizontal="center"/>
    </xf>
    <xf numFmtId="166" fontId="7" fillId="0" borderId="44" xfId="0" applyNumberFormat="1" applyFont="1" applyBorder="1" applyAlignment="1" applyProtection="1">
      <alignment horizontal="center"/>
      <protection locked="0"/>
    </xf>
    <xf numFmtId="166" fontId="7" fillId="0" borderId="45" xfId="0" applyNumberFormat="1" applyFont="1" applyBorder="1" applyAlignment="1" applyProtection="1">
      <alignment horizontal="center"/>
      <protection locked="0"/>
    </xf>
    <xf numFmtId="166" fontId="7" fillId="0" borderId="46" xfId="0" applyNumberFormat="1" applyFont="1" applyBorder="1" applyAlignment="1" applyProtection="1">
      <alignment horizontal="center"/>
      <protection locked="0"/>
    </xf>
    <xf numFmtId="49" fontId="0" fillId="0" borderId="47" xfId="0" applyNumberFormat="1" applyBorder="1" applyProtection="1">
      <protection locked="0"/>
    </xf>
    <xf numFmtId="49" fontId="0" fillId="0" borderId="48" xfId="0" applyNumberFormat="1" applyBorder="1" applyProtection="1">
      <protection locked="0"/>
    </xf>
    <xf numFmtId="49" fontId="0" fillId="0" borderId="49" xfId="0" applyNumberFormat="1" applyBorder="1" applyProtection="1">
      <protection locked="0"/>
    </xf>
    <xf numFmtId="0" fontId="0" fillId="0" borderId="44" xfId="0" applyBorder="1" applyAlignment="1" applyProtection="1">
      <alignment horizontal="center"/>
      <protection locked="0"/>
    </xf>
    <xf numFmtId="0" fontId="0" fillId="0" borderId="45" xfId="0" applyBorder="1" applyAlignment="1" applyProtection="1">
      <alignment horizontal="center"/>
      <protection locked="0"/>
    </xf>
    <xf numFmtId="0" fontId="0" fillId="0" borderId="46" xfId="0" applyBorder="1" applyAlignment="1" applyProtection="1">
      <alignment horizontal="center"/>
      <protection locked="0"/>
    </xf>
    <xf numFmtId="0" fontId="0" fillId="0" borderId="47" xfId="0" applyBorder="1" applyAlignment="1" applyProtection="1">
      <alignment horizontal="center"/>
      <protection locked="0"/>
    </xf>
    <xf numFmtId="0" fontId="0" fillId="0" borderId="48" xfId="0" applyBorder="1" applyAlignment="1" applyProtection="1">
      <alignment horizontal="center"/>
      <protection locked="0"/>
    </xf>
    <xf numFmtId="0" fontId="0" fillId="0" borderId="49" xfId="0" applyBorder="1" applyAlignment="1" applyProtection="1">
      <alignment horizontal="center"/>
      <protection locked="0"/>
    </xf>
    <xf numFmtId="0" fontId="45" fillId="4" borderId="0" xfId="0" applyFont="1" applyFill="1"/>
    <xf numFmtId="0" fontId="36" fillId="9" borderId="1" xfId="0" applyFont="1" applyFill="1" applyBorder="1" applyAlignment="1">
      <alignment horizontal="center"/>
    </xf>
    <xf numFmtId="0" fontId="7" fillId="9" borderId="1" xfId="0" applyFont="1" applyFill="1" applyBorder="1" applyAlignment="1">
      <alignment horizontal="center"/>
    </xf>
    <xf numFmtId="0" fontId="9" fillId="9" borderId="1" xfId="0" applyFont="1" applyFill="1" applyBorder="1" applyAlignment="1">
      <alignment horizontal="center"/>
    </xf>
    <xf numFmtId="0" fontId="40" fillId="9" borderId="1" xfId="0" applyFont="1" applyFill="1" applyBorder="1" applyAlignment="1">
      <alignment horizontal="center"/>
    </xf>
    <xf numFmtId="164" fontId="7" fillId="9" borderId="1" xfId="0" applyNumberFormat="1" applyFont="1" applyFill="1" applyBorder="1" applyAlignment="1">
      <alignment horizontal="left" indent="1"/>
    </xf>
    <xf numFmtId="164" fontId="7" fillId="9" borderId="1" xfId="0" applyNumberFormat="1" applyFont="1" applyFill="1" applyBorder="1" applyAlignment="1">
      <alignment horizontal="center"/>
    </xf>
    <xf numFmtId="0" fontId="13" fillId="10" borderId="0" xfId="0" applyFont="1" applyFill="1"/>
    <xf numFmtId="0" fontId="0" fillId="10" borderId="32" xfId="0" applyFill="1" applyBorder="1"/>
    <xf numFmtId="164" fontId="13" fillId="4" borderId="0" xfId="0" applyNumberFormat="1" applyFont="1" applyFill="1"/>
    <xf numFmtId="0" fontId="7" fillId="10" borderId="0" xfId="0" applyFont="1" applyFill="1"/>
    <xf numFmtId="0" fontId="7" fillId="2" borderId="51" xfId="0" applyFont="1" applyFill="1" applyBorder="1" applyAlignment="1" applyProtection="1">
      <alignment horizontal="center"/>
      <protection locked="0"/>
    </xf>
    <xf numFmtId="0" fontId="47" fillId="10" borderId="0" xfId="0" applyFont="1" applyFill="1"/>
    <xf numFmtId="0" fontId="48" fillId="4" borderId="0" xfId="0" applyFont="1" applyFill="1"/>
    <xf numFmtId="0" fontId="47" fillId="4" borderId="0" xfId="0" applyFont="1" applyFill="1"/>
    <xf numFmtId="0" fontId="49" fillId="5" borderId="0" xfId="1" applyFont="1" applyFill="1" applyBorder="1" applyAlignment="1" applyProtection="1">
      <protection locked="0"/>
    </xf>
    <xf numFmtId="0" fontId="50" fillId="10" borderId="0" xfId="0" applyFont="1" applyFill="1"/>
    <xf numFmtId="0" fontId="50" fillId="4" borderId="0" xfId="0" applyFont="1" applyFill="1"/>
    <xf numFmtId="0" fontId="2" fillId="2" borderId="50" xfId="0" applyFont="1" applyFill="1" applyBorder="1" applyAlignment="1" applyProtection="1">
      <alignment horizontal="center"/>
      <protection locked="0"/>
    </xf>
    <xf numFmtId="0" fontId="2" fillId="2" borderId="51" xfId="0" applyFont="1" applyFill="1" applyBorder="1" applyAlignment="1" applyProtection="1">
      <alignment horizontal="center"/>
      <protection locked="0"/>
    </xf>
    <xf numFmtId="0" fontId="13" fillId="10" borderId="0" xfId="0" applyFont="1" applyFill="1" applyAlignment="1">
      <alignment horizontal="left"/>
    </xf>
    <xf numFmtId="0" fontId="13" fillId="10" borderId="0" xfId="0" applyFont="1" applyFill="1" applyAlignment="1">
      <alignment horizontal="right"/>
    </xf>
    <xf numFmtId="0" fontId="0" fillId="12" borderId="50" xfId="0" applyFill="1" applyBorder="1"/>
    <xf numFmtId="0" fontId="23" fillId="12" borderId="0" xfId="1" applyFont="1" applyFill="1" applyBorder="1" applyAlignment="1" applyProtection="1"/>
    <xf numFmtId="0" fontId="7" fillId="12" borderId="1" xfId="0" applyFont="1" applyFill="1" applyBorder="1"/>
    <xf numFmtId="0" fontId="0" fillId="12" borderId="0" xfId="0" applyFill="1"/>
    <xf numFmtId="0" fontId="3" fillId="12" borderId="0" xfId="0" applyFont="1" applyFill="1"/>
    <xf numFmtId="0" fontId="7" fillId="12" borderId="0" xfId="0" applyFont="1" applyFill="1"/>
    <xf numFmtId="0" fontId="7" fillId="12" borderId="0" xfId="0" applyFont="1" applyFill="1" applyAlignment="1">
      <alignment horizontal="left"/>
    </xf>
    <xf numFmtId="0" fontId="0" fillId="12" borderId="0" xfId="0" applyFill="1" applyAlignment="1">
      <alignment horizontal="left"/>
    </xf>
    <xf numFmtId="0" fontId="9" fillId="12" borderId="0" xfId="0" applyFont="1" applyFill="1" applyAlignment="1">
      <alignment horizontal="center"/>
    </xf>
    <xf numFmtId="0" fontId="0" fillId="12" borderId="0" xfId="0" applyFill="1" applyAlignment="1">
      <alignment horizontal="right"/>
    </xf>
    <xf numFmtId="49" fontId="9" fillId="12" borderId="0" xfId="0" applyNumberFormat="1" applyFont="1" applyFill="1" applyAlignment="1">
      <alignment horizontal="left"/>
    </xf>
    <xf numFmtId="0" fontId="29" fillId="5" borderId="0" xfId="1" applyFont="1" applyFill="1" applyBorder="1" applyAlignment="1" applyProtection="1">
      <alignment horizontal="left"/>
      <protection locked="0"/>
    </xf>
    <xf numFmtId="0" fontId="0" fillId="12" borderId="0" xfId="0" applyFill="1" applyAlignment="1">
      <alignment horizontal="center"/>
    </xf>
    <xf numFmtId="0" fontId="19" fillId="4" borderId="0" xfId="0" applyFont="1" applyFill="1"/>
    <xf numFmtId="0" fontId="13" fillId="4" borderId="0" xfId="0" applyFont="1" applyFill="1" applyAlignment="1">
      <alignment horizontal="center"/>
    </xf>
    <xf numFmtId="0" fontId="0" fillId="10" borderId="0" xfId="0" applyFill="1" applyAlignment="1">
      <alignment horizontal="center"/>
    </xf>
    <xf numFmtId="0" fontId="0" fillId="10" borderId="0" xfId="0" applyFill="1"/>
    <xf numFmtId="0" fontId="0" fillId="10" borderId="0" xfId="0" applyFill="1" applyAlignment="1">
      <alignment horizontal="right"/>
    </xf>
    <xf numFmtId="0" fontId="13" fillId="10" borderId="0" xfId="0" applyFont="1" applyFill="1" applyAlignment="1">
      <alignment horizontal="center"/>
    </xf>
    <xf numFmtId="0" fontId="4" fillId="12" borderId="0" xfId="0" applyFont="1" applyFill="1"/>
    <xf numFmtId="0" fontId="46" fillId="11" borderId="0" xfId="1" applyFont="1" applyFill="1" applyBorder="1" applyAlignment="1" applyProtection="1">
      <protection locked="0"/>
    </xf>
    <xf numFmtId="0" fontId="3" fillId="12" borderId="60" xfId="0" applyFont="1" applyFill="1" applyBorder="1"/>
    <xf numFmtId="0" fontId="3" fillId="12" borderId="61" xfId="0" applyFont="1" applyFill="1" applyBorder="1"/>
    <xf numFmtId="0" fontId="3" fillId="12" borderId="62" xfId="0" applyFont="1" applyFill="1" applyBorder="1"/>
    <xf numFmtId="0" fontId="0" fillId="12" borderId="61" xfId="0" applyFill="1" applyBorder="1"/>
    <xf numFmtId="0" fontId="0" fillId="12" borderId="62" xfId="0" applyFill="1" applyBorder="1"/>
    <xf numFmtId="0" fontId="0" fillId="12" borderId="63" xfId="0" applyFill="1" applyBorder="1"/>
    <xf numFmtId="0" fontId="0" fillId="12" borderId="64" xfId="0" applyFill="1" applyBorder="1"/>
    <xf numFmtId="0" fontId="0" fillId="12" borderId="65" xfId="0" applyFill="1" applyBorder="1"/>
    <xf numFmtId="0" fontId="3" fillId="12" borderId="65" xfId="0" applyFont="1" applyFill="1" applyBorder="1"/>
    <xf numFmtId="0" fontId="7" fillId="12" borderId="65" xfId="0" applyFont="1" applyFill="1" applyBorder="1"/>
    <xf numFmtId="0" fontId="7" fillId="12" borderId="65" xfId="0" applyFont="1" applyFill="1" applyBorder="1" applyAlignment="1">
      <alignment horizontal="left"/>
    </xf>
    <xf numFmtId="0" fontId="0" fillId="2" borderId="65" xfId="0" applyFill="1" applyBorder="1"/>
    <xf numFmtId="0" fontId="0" fillId="12" borderId="66" xfId="0" applyFill="1" applyBorder="1"/>
    <xf numFmtId="0" fontId="0" fillId="12" borderId="67" xfId="0" applyFill="1" applyBorder="1"/>
    <xf numFmtId="0" fontId="0" fillId="12" borderId="68" xfId="0" applyFill="1" applyBorder="1"/>
    <xf numFmtId="0" fontId="0" fillId="12" borderId="69" xfId="0" applyFill="1" applyBorder="1"/>
    <xf numFmtId="49" fontId="9" fillId="12" borderId="69" xfId="0" applyNumberFormat="1" applyFont="1" applyFill="1" applyBorder="1" applyAlignment="1">
      <alignment horizontal="left"/>
    </xf>
    <xf numFmtId="0" fontId="0" fillId="2" borderId="69" xfId="0" applyFill="1" applyBorder="1"/>
    <xf numFmtId="0" fontId="7" fillId="12" borderId="69" xfId="0" applyFont="1" applyFill="1" applyBorder="1"/>
    <xf numFmtId="0" fontId="0" fillId="12" borderId="70" xfId="0" applyFill="1" applyBorder="1"/>
    <xf numFmtId="0" fontId="2" fillId="12" borderId="0" xfId="0" applyFont="1" applyFill="1"/>
    <xf numFmtId="0" fontId="2" fillId="12" borderId="0" xfId="0" applyFont="1" applyFill="1" applyAlignment="1">
      <alignment horizontal="center"/>
    </xf>
    <xf numFmtId="0" fontId="2" fillId="12" borderId="0" xfId="0" applyFont="1" applyFill="1" applyAlignment="1">
      <alignment horizontal="left"/>
    </xf>
    <xf numFmtId="49" fontId="2" fillId="12" borderId="0" xfId="0" applyNumberFormat="1" applyFont="1" applyFill="1" applyAlignment="1">
      <alignment horizontal="center"/>
    </xf>
    <xf numFmtId="0" fontId="3" fillId="12" borderId="0" xfId="0" applyFont="1" applyFill="1" applyAlignment="1">
      <alignment horizontal="center"/>
    </xf>
    <xf numFmtId="0" fontId="1" fillId="12" borderId="0" xfId="0" applyFont="1" applyFill="1" applyAlignment="1">
      <alignment horizontal="center"/>
    </xf>
    <xf numFmtId="0" fontId="0" fillId="12" borderId="0" xfId="0" applyFill="1" applyProtection="1">
      <protection locked="0"/>
    </xf>
    <xf numFmtId="0" fontId="2" fillId="12" borderId="65" xfId="0" applyFont="1" applyFill="1" applyBorder="1"/>
    <xf numFmtId="49" fontId="2" fillId="2" borderId="71" xfId="0" applyNumberFormat="1" applyFont="1" applyFill="1" applyBorder="1" applyAlignment="1" applyProtection="1">
      <alignment horizontal="center"/>
      <protection locked="0"/>
    </xf>
    <xf numFmtId="0" fontId="0" fillId="12" borderId="65" xfId="0" applyFill="1" applyBorder="1" applyAlignment="1">
      <alignment horizontal="center"/>
    </xf>
    <xf numFmtId="0" fontId="3" fillId="12" borderId="65" xfId="0" applyFont="1" applyFill="1" applyBorder="1" applyAlignment="1">
      <alignment horizontal="center"/>
    </xf>
    <xf numFmtId="0" fontId="2" fillId="12" borderId="0" xfId="0" applyFont="1" applyFill="1" applyAlignment="1">
      <alignment horizontal="right"/>
    </xf>
    <xf numFmtId="0" fontId="9" fillId="12" borderId="0" xfId="0" applyFont="1" applyFill="1" applyAlignment="1">
      <alignment horizontal="right"/>
    </xf>
    <xf numFmtId="49" fontId="7" fillId="12" borderId="0" xfId="0" applyNumberFormat="1" applyFont="1" applyFill="1"/>
    <xf numFmtId="0" fontId="9" fillId="12" borderId="0" xfId="0" applyFont="1" applyFill="1"/>
    <xf numFmtId="0" fontId="0" fillId="12" borderId="69" xfId="0" applyFill="1" applyBorder="1" applyAlignment="1">
      <alignment horizontal="center"/>
    </xf>
    <xf numFmtId="0" fontId="2" fillId="12" borderId="69" xfId="0" applyFont="1" applyFill="1" applyBorder="1"/>
    <xf numFmtId="0" fontId="9" fillId="12" borderId="0" xfId="0" applyFont="1" applyFill="1" applyAlignment="1">
      <alignment horizontal="left"/>
    </xf>
    <xf numFmtId="0" fontId="0" fillId="12" borderId="67" xfId="0" applyFill="1" applyBorder="1" applyAlignment="1">
      <alignment horizontal="left"/>
    </xf>
    <xf numFmtId="0" fontId="2" fillId="12" borderId="67" xfId="0" applyFont="1" applyFill="1" applyBorder="1"/>
    <xf numFmtId="0" fontId="3" fillId="12" borderId="66" xfId="0" applyFont="1" applyFill="1" applyBorder="1"/>
    <xf numFmtId="0" fontId="3" fillId="12" borderId="67" xfId="0" applyFont="1" applyFill="1" applyBorder="1"/>
    <xf numFmtId="0" fontId="0" fillId="12" borderId="69" xfId="0" applyFill="1" applyBorder="1" applyAlignment="1">
      <alignment horizontal="left"/>
    </xf>
    <xf numFmtId="0" fontId="7" fillId="12" borderId="0" xfId="0" applyFont="1" applyFill="1" applyAlignment="1">
      <alignment horizontal="center"/>
    </xf>
    <xf numFmtId="0" fontId="6" fillId="12" borderId="0" xfId="0" applyFont="1" applyFill="1"/>
    <xf numFmtId="0" fontId="2" fillId="12" borderId="59" xfId="0" applyFont="1" applyFill="1" applyBorder="1" applyAlignment="1">
      <alignment horizontal="center"/>
    </xf>
    <xf numFmtId="0" fontId="2" fillId="12" borderId="65" xfId="0" applyFont="1" applyFill="1" applyBorder="1" applyAlignment="1">
      <alignment horizontal="center"/>
    </xf>
    <xf numFmtId="0" fontId="7" fillId="2" borderId="71" xfId="0" applyFont="1" applyFill="1" applyBorder="1" applyProtection="1">
      <protection locked="0"/>
    </xf>
    <xf numFmtId="0" fontId="6" fillId="12" borderId="65" xfId="0" applyFont="1" applyFill="1" applyBorder="1"/>
    <xf numFmtId="0" fontId="4" fillId="12" borderId="65" xfId="0" applyFont="1" applyFill="1" applyBorder="1"/>
    <xf numFmtId="0" fontId="2" fillId="12" borderId="65" xfId="0" applyFont="1" applyFill="1" applyBorder="1" applyAlignment="1">
      <alignment horizontal="left"/>
    </xf>
    <xf numFmtId="0" fontId="2" fillId="2" borderId="72" xfId="0" applyFont="1" applyFill="1" applyBorder="1" applyProtection="1">
      <protection locked="0"/>
    </xf>
    <xf numFmtId="0" fontId="7" fillId="12" borderId="58" xfId="0" applyFont="1" applyFill="1" applyBorder="1" applyAlignment="1">
      <alignment horizontal="center"/>
    </xf>
    <xf numFmtId="0" fontId="4" fillId="12" borderId="0" xfId="0" applyFont="1" applyFill="1" applyAlignment="1">
      <alignment horizontal="left"/>
    </xf>
    <xf numFmtId="0" fontId="7" fillId="12" borderId="65" xfId="0" applyFont="1" applyFill="1" applyBorder="1" applyAlignment="1">
      <alignment horizontal="center"/>
    </xf>
    <xf numFmtId="0" fontId="4" fillId="12" borderId="65" xfId="0" applyFont="1" applyFill="1" applyBorder="1" applyAlignment="1">
      <alignment horizontal="left"/>
    </xf>
    <xf numFmtId="0" fontId="7" fillId="12" borderId="66" xfId="0" applyFont="1" applyFill="1" applyBorder="1"/>
    <xf numFmtId="0" fontId="7" fillId="12" borderId="67" xfId="0" applyFont="1" applyFill="1" applyBorder="1"/>
    <xf numFmtId="0" fontId="7" fillId="12" borderId="69" xfId="0" applyFont="1" applyFill="1" applyBorder="1" applyAlignment="1">
      <alignment horizontal="center"/>
    </xf>
    <xf numFmtId="0" fontId="7" fillId="12" borderId="70" xfId="0" applyFont="1" applyFill="1" applyBorder="1"/>
    <xf numFmtId="0" fontId="9" fillId="12" borderId="65" xfId="0" applyFont="1" applyFill="1" applyBorder="1" applyAlignment="1">
      <alignment horizontal="left"/>
    </xf>
    <xf numFmtId="0" fontId="7" fillId="12" borderId="66" xfId="0" applyFont="1" applyFill="1" applyBorder="1" applyAlignment="1">
      <alignment horizontal="left"/>
    </xf>
    <xf numFmtId="0" fontId="7" fillId="12" borderId="67" xfId="0" applyFont="1" applyFill="1" applyBorder="1" applyAlignment="1">
      <alignment horizontal="left"/>
    </xf>
    <xf numFmtId="0" fontId="7" fillId="12" borderId="0" xfId="0" applyFont="1" applyFill="1" applyAlignment="1">
      <alignment horizontal="right"/>
    </xf>
    <xf numFmtId="0" fontId="11" fillId="12" borderId="0" xfId="0" applyFont="1" applyFill="1"/>
    <xf numFmtId="0" fontId="2" fillId="2" borderId="0" xfId="0" applyFont="1" applyFill="1" applyAlignment="1" applyProtection="1">
      <alignment horizontal="center"/>
      <protection locked="0"/>
    </xf>
    <xf numFmtId="164" fontId="33" fillId="12" borderId="0" xfId="0" applyNumberFormat="1" applyFont="1" applyFill="1" applyAlignment="1">
      <alignment horizontal="center"/>
    </xf>
    <xf numFmtId="0" fontId="33" fillId="12" borderId="0" xfId="0" applyFont="1" applyFill="1" applyAlignment="1">
      <alignment horizontal="center"/>
    </xf>
    <xf numFmtId="0" fontId="44" fillId="12" borderId="0" xfId="0" applyFont="1" applyFill="1" applyAlignment="1">
      <alignment horizontal="left"/>
    </xf>
    <xf numFmtId="0" fontId="43" fillId="12" borderId="0" xfId="0" applyFont="1" applyFill="1"/>
    <xf numFmtId="0" fontId="44" fillId="12" borderId="0" xfId="0" applyFont="1" applyFill="1"/>
    <xf numFmtId="49" fontId="22" fillId="12" borderId="69" xfId="0" applyNumberFormat="1" applyFont="1" applyFill="1" applyBorder="1" applyAlignment="1">
      <alignment horizontal="left"/>
    </xf>
    <xf numFmtId="0" fontId="41" fillId="12" borderId="61" xfId="0" applyFont="1" applyFill="1" applyBorder="1"/>
    <xf numFmtId="0" fontId="51" fillId="12" borderId="65" xfId="0" applyFont="1" applyFill="1" applyBorder="1"/>
    <xf numFmtId="0" fontId="0" fillId="13" borderId="0" xfId="0" applyFill="1"/>
    <xf numFmtId="0" fontId="0" fillId="14" borderId="0" xfId="0" applyFill="1"/>
    <xf numFmtId="0" fontId="54" fillId="14" borderId="0" xfId="0" applyFont="1" applyFill="1" applyAlignment="1">
      <alignment horizontal="left" vertical="center"/>
    </xf>
    <xf numFmtId="0" fontId="53" fillId="14" borderId="0" xfId="0" applyFont="1" applyFill="1"/>
    <xf numFmtId="0" fontId="53" fillId="14" borderId="0" xfId="0" applyFont="1" applyFill="1" applyAlignment="1">
      <alignment horizontal="left" vertical="top"/>
    </xf>
    <xf numFmtId="0" fontId="0" fillId="14" borderId="1" xfId="0" applyFill="1" applyBorder="1"/>
    <xf numFmtId="0" fontId="54" fillId="14" borderId="0" xfId="0" applyFont="1" applyFill="1"/>
    <xf numFmtId="0" fontId="0" fillId="14" borderId="1" xfId="0" applyFill="1" applyBorder="1" applyAlignment="1">
      <alignment horizontal="left" vertical="center"/>
    </xf>
    <xf numFmtId="0" fontId="56" fillId="14" borderId="0" xfId="0" applyFont="1" applyFill="1" applyAlignment="1">
      <alignment horizontal="center" vertical="center" wrapText="1"/>
    </xf>
    <xf numFmtId="0" fontId="0" fillId="14" borderId="0" xfId="0" applyFill="1" applyAlignment="1">
      <alignment horizontal="center" vertical="center" wrapText="1"/>
    </xf>
    <xf numFmtId="0" fontId="53" fillId="14" borderId="0" xfId="0" applyFont="1" applyFill="1" applyAlignment="1">
      <alignment horizontal="left" vertical="center"/>
    </xf>
    <xf numFmtId="0" fontId="2" fillId="14" borderId="0" xfId="0" applyFont="1" applyFill="1" applyAlignment="1">
      <alignment horizontal="left" vertical="center"/>
    </xf>
    <xf numFmtId="0" fontId="0" fillId="15" borderId="0" xfId="0" applyFill="1"/>
    <xf numFmtId="0" fontId="0" fillId="16" borderId="0" xfId="0" applyFill="1"/>
    <xf numFmtId="0" fontId="53" fillId="16" borderId="0" xfId="0" applyFont="1" applyFill="1" applyAlignment="1">
      <alignment horizontal="left" vertical="top"/>
    </xf>
    <xf numFmtId="0" fontId="0" fillId="16" borderId="1" xfId="0" applyFill="1" applyBorder="1"/>
    <xf numFmtId="0" fontId="54" fillId="16" borderId="0" xfId="0" applyFont="1" applyFill="1" applyAlignment="1">
      <alignment horizontal="left" vertical="center"/>
    </xf>
    <xf numFmtId="0" fontId="54" fillId="16" borderId="0" xfId="0" applyFont="1" applyFill="1"/>
    <xf numFmtId="0" fontId="0" fillId="16" borderId="1" xfId="0" applyFill="1" applyBorder="1" applyAlignment="1">
      <alignment horizontal="left" vertical="center"/>
    </xf>
    <xf numFmtId="0" fontId="0" fillId="17" borderId="0" xfId="0" applyFill="1" applyAlignment="1">
      <alignment horizontal="center" vertical="center"/>
    </xf>
    <xf numFmtId="0" fontId="2" fillId="14" borderId="0" xfId="0" applyFont="1" applyFill="1"/>
    <xf numFmtId="0" fontId="0" fillId="12" borderId="0" xfId="0" applyFill="1" applyAlignment="1">
      <alignment horizontal="left" vertical="top"/>
    </xf>
    <xf numFmtId="49" fontId="1" fillId="12" borderId="0" xfId="0" applyNumberFormat="1" applyFont="1" applyFill="1" applyAlignment="1">
      <alignment horizontal="left"/>
    </xf>
    <xf numFmtId="0" fontId="1" fillId="14" borderId="0" xfId="0" applyFont="1" applyFill="1"/>
    <xf numFmtId="0" fontId="54" fillId="14" borderId="0" xfId="0" applyFont="1" applyFill="1" applyAlignment="1">
      <alignment horizontal="center" vertical="top" wrapText="1"/>
    </xf>
    <xf numFmtId="0" fontId="0" fillId="14" borderId="0" xfId="0" applyFill="1" applyAlignment="1">
      <alignment vertical="top"/>
    </xf>
    <xf numFmtId="0" fontId="2" fillId="17" borderId="1" xfId="0" applyFont="1" applyFill="1" applyBorder="1" applyAlignment="1">
      <alignment horizontal="center" vertical="center"/>
    </xf>
    <xf numFmtId="1" fontId="2" fillId="17" borderId="1" xfId="0" applyNumberFormat="1" applyFont="1" applyFill="1" applyBorder="1" applyAlignment="1">
      <alignment horizontal="center" vertical="center"/>
    </xf>
    <xf numFmtId="3" fontId="2" fillId="17" borderId="1" xfId="0" applyNumberFormat="1" applyFont="1" applyFill="1" applyBorder="1" applyAlignment="1">
      <alignment horizontal="center" vertical="center"/>
    </xf>
    <xf numFmtId="164" fontId="2" fillId="17" borderId="1" xfId="0" applyNumberFormat="1" applyFont="1" applyFill="1" applyBorder="1" applyAlignment="1">
      <alignment horizontal="center" vertical="center"/>
    </xf>
    <xf numFmtId="1" fontId="2" fillId="2" borderId="1" xfId="0" applyNumberFormat="1" applyFont="1" applyFill="1" applyBorder="1" applyAlignment="1" applyProtection="1">
      <alignment horizontal="center"/>
      <protection locked="0"/>
    </xf>
    <xf numFmtId="0" fontId="0" fillId="14" borderId="0" xfId="0" applyFill="1" applyAlignment="1">
      <alignment vertical="center"/>
    </xf>
    <xf numFmtId="0" fontId="2" fillId="2" borderId="50" xfId="0" applyFont="1" applyFill="1" applyBorder="1" applyAlignment="1">
      <alignment horizontal="center" vertical="center"/>
    </xf>
    <xf numFmtId="49" fontId="3" fillId="12" borderId="0" xfId="0" applyNumberFormat="1" applyFont="1" applyFill="1" applyAlignment="1">
      <alignment horizontal="left" vertical="center"/>
    </xf>
    <xf numFmtId="0" fontId="4" fillId="14" borderId="0" xfId="0" applyFont="1" applyFill="1" applyAlignment="1">
      <alignment horizontal="center" vertical="center"/>
    </xf>
    <xf numFmtId="0" fontId="2" fillId="2" borderId="50" xfId="0" applyFont="1" applyFill="1" applyBorder="1" applyAlignment="1">
      <alignment horizontal="center"/>
    </xf>
    <xf numFmtId="0" fontId="7" fillId="2" borderId="1" xfId="0" applyFont="1" applyFill="1" applyBorder="1"/>
    <xf numFmtId="0" fontId="58" fillId="10" borderId="0" xfId="0" applyFont="1" applyFill="1"/>
    <xf numFmtId="0" fontId="2" fillId="2" borderId="76" xfId="0" applyFont="1" applyFill="1" applyBorder="1" applyAlignment="1" applyProtection="1">
      <alignment horizontal="center"/>
      <protection locked="0"/>
    </xf>
    <xf numFmtId="0" fontId="59" fillId="12" borderId="0" xfId="0" applyFont="1" applyFill="1" applyAlignment="1">
      <alignment horizontal="left" vertical="center"/>
    </xf>
    <xf numFmtId="0" fontId="59" fillId="12" borderId="0" xfId="0" applyFont="1" applyFill="1"/>
    <xf numFmtId="0" fontId="2" fillId="2" borderId="76" xfId="0" applyFont="1" applyFill="1" applyBorder="1" applyAlignment="1" applyProtection="1">
      <alignment horizontal="center" vertical="center"/>
      <protection locked="0"/>
    </xf>
    <xf numFmtId="167" fontId="2" fillId="2" borderId="76" xfId="0" applyNumberFormat="1" applyFont="1" applyFill="1" applyBorder="1" applyAlignment="1" applyProtection="1">
      <alignment horizontal="center" vertical="center"/>
      <protection locked="0"/>
    </xf>
    <xf numFmtId="168" fontId="2" fillId="2" borderId="76" xfId="0" applyNumberFormat="1" applyFont="1" applyFill="1" applyBorder="1" applyAlignment="1">
      <alignment horizontal="center" vertical="center"/>
    </xf>
    <xf numFmtId="0" fontId="17" fillId="11" borderId="0" xfId="1" applyFill="1" applyAlignment="1" applyProtection="1">
      <alignment horizontal="center" vertical="center"/>
    </xf>
    <xf numFmtId="0" fontId="7" fillId="2" borderId="1" xfId="0" applyFont="1" applyFill="1" applyBorder="1" applyAlignment="1" applyProtection="1">
      <alignment horizontal="center"/>
      <protection locked="0"/>
    </xf>
    <xf numFmtId="0" fontId="37" fillId="9" borderId="1" xfId="0" applyFont="1" applyFill="1" applyBorder="1" applyAlignment="1">
      <alignment horizontal="center"/>
    </xf>
    <xf numFmtId="0" fontId="52" fillId="12" borderId="0" xfId="0" applyFont="1" applyFill="1" applyAlignment="1">
      <alignment horizontal="center" vertical="center" wrapText="1"/>
    </xf>
    <xf numFmtId="0" fontId="3" fillId="12" borderId="0" xfId="0" applyFont="1" applyFill="1" applyAlignment="1">
      <alignment horizontal="center" vertical="center" wrapText="1"/>
    </xf>
    <xf numFmtId="0" fontId="3" fillId="12" borderId="1" xfId="0" applyFont="1" applyFill="1" applyBorder="1" applyAlignment="1">
      <alignment horizontal="center" vertical="center" wrapText="1"/>
    </xf>
    <xf numFmtId="0" fontId="2" fillId="2" borderId="1" xfId="0" applyFont="1" applyFill="1" applyBorder="1" applyAlignment="1">
      <alignment horizontal="left"/>
    </xf>
    <xf numFmtId="15" fontId="7" fillId="2" borderId="1" xfId="0" applyNumberFormat="1" applyFont="1" applyFill="1" applyBorder="1" applyAlignment="1">
      <alignment horizontal="center"/>
    </xf>
    <xf numFmtId="0" fontId="7" fillId="9" borderId="1" xfId="0" applyFont="1" applyFill="1" applyBorder="1" applyAlignment="1">
      <alignment horizontal="center"/>
    </xf>
    <xf numFmtId="0" fontId="21" fillId="3" borderId="0" xfId="0" applyFont="1" applyFill="1" applyAlignment="1">
      <alignment horizontal="center" vertical="center"/>
    </xf>
    <xf numFmtId="0" fontId="3" fillId="3" borderId="0" xfId="0" applyFont="1" applyFill="1" applyAlignment="1">
      <alignment horizontal="center" vertical="center"/>
    </xf>
    <xf numFmtId="0" fontId="17" fillId="3" borderId="0" xfId="1" applyFill="1" applyAlignment="1" applyProtection="1">
      <alignment horizontal="left"/>
      <protection locked="0"/>
    </xf>
    <xf numFmtId="0" fontId="25" fillId="6" borderId="35" xfId="1" applyFont="1" applyFill="1" applyBorder="1" applyAlignment="1" applyProtection="1">
      <alignment horizontal="left" vertical="center"/>
      <protection locked="0"/>
    </xf>
    <xf numFmtId="0" fontId="25" fillId="6" borderId="36" xfId="1" applyFont="1" applyFill="1" applyBorder="1" applyAlignment="1" applyProtection="1">
      <alignment horizontal="left" vertical="center"/>
      <protection locked="0"/>
    </xf>
    <xf numFmtId="0" fontId="25" fillId="6" borderId="37" xfId="1" applyFont="1" applyFill="1" applyBorder="1" applyAlignment="1" applyProtection="1">
      <alignment horizontal="left" vertical="center"/>
      <protection locked="0"/>
    </xf>
    <xf numFmtId="0" fontId="17" fillId="3" borderId="0" xfId="1" applyFill="1" applyAlignment="1" applyProtection="1">
      <alignment horizontal="left" wrapText="1"/>
      <protection locked="0"/>
    </xf>
    <xf numFmtId="0" fontId="53" fillId="14" borderId="73" xfId="0" applyFont="1" applyFill="1" applyBorder="1" applyAlignment="1">
      <alignment horizontal="center" vertical="center" wrapText="1"/>
    </xf>
    <xf numFmtId="0" fontId="2" fillId="2" borderId="60" xfId="0" applyFont="1" applyFill="1" applyBorder="1" applyAlignment="1" applyProtection="1">
      <alignment horizontal="left"/>
      <protection locked="0"/>
    </xf>
    <xf numFmtId="0" fontId="7" fillId="2" borderId="61" xfId="0" applyFont="1" applyFill="1" applyBorder="1" applyAlignment="1" applyProtection="1">
      <alignment horizontal="left"/>
      <protection locked="0"/>
    </xf>
    <xf numFmtId="0" fontId="7" fillId="2" borderId="77" xfId="0" applyFont="1" applyFill="1" applyBorder="1" applyAlignment="1" applyProtection="1">
      <alignment horizontal="left"/>
      <protection locked="0"/>
    </xf>
    <xf numFmtId="0" fontId="2" fillId="2" borderId="60" xfId="0" applyFont="1" applyFill="1" applyBorder="1" applyAlignment="1" applyProtection="1">
      <alignment horizontal="center"/>
      <protection locked="0"/>
    </xf>
    <xf numFmtId="0" fontId="2" fillId="2" borderId="61" xfId="0" applyFont="1" applyFill="1" applyBorder="1" applyAlignment="1" applyProtection="1">
      <alignment horizontal="center"/>
      <protection locked="0"/>
    </xf>
    <xf numFmtId="0" fontId="2" fillId="2" borderId="77" xfId="0" applyFont="1" applyFill="1" applyBorder="1" applyAlignment="1" applyProtection="1">
      <alignment horizontal="center"/>
      <protection locked="0"/>
    </xf>
    <xf numFmtId="0" fontId="7" fillId="2" borderId="62" xfId="0" applyFont="1" applyFill="1" applyBorder="1" applyAlignment="1" applyProtection="1">
      <alignment horizontal="left"/>
      <protection locked="0"/>
    </xf>
    <xf numFmtId="0" fontId="54" fillId="14" borderId="0" xfId="0" applyFont="1" applyFill="1" applyAlignment="1">
      <alignment horizontal="left" vertical="center" wrapText="1"/>
    </xf>
    <xf numFmtId="0" fontId="53" fillId="14" borderId="74" xfId="0" applyFont="1" applyFill="1" applyBorder="1" applyAlignment="1">
      <alignment horizontal="left" vertical="center"/>
    </xf>
    <xf numFmtId="0" fontId="54" fillId="14" borderId="0" xfId="0" applyFont="1" applyFill="1" applyAlignment="1">
      <alignment horizontal="left" vertical="top" wrapText="1"/>
    </xf>
    <xf numFmtId="0" fontId="55" fillId="14" borderId="0" xfId="0" applyFont="1" applyFill="1" applyAlignment="1">
      <alignment horizontal="left" vertical="top" wrapText="1"/>
    </xf>
    <xf numFmtId="0" fontId="2" fillId="14" borderId="0" xfId="0" applyFont="1" applyFill="1" applyAlignment="1">
      <alignment horizontal="left" vertical="center" wrapText="1"/>
    </xf>
    <xf numFmtId="0" fontId="54" fillId="16" borderId="0" xfId="0" applyFont="1" applyFill="1" applyAlignment="1">
      <alignment horizontal="left" vertical="top" wrapText="1"/>
    </xf>
    <xf numFmtId="0" fontId="2" fillId="14" borderId="0" xfId="0" applyFont="1" applyFill="1" applyAlignment="1">
      <alignment horizontal="left" vertical="top" wrapText="1" readingOrder="1"/>
    </xf>
    <xf numFmtId="0" fontId="54" fillId="14" borderId="0" xfId="0" applyFont="1" applyFill="1" applyAlignment="1">
      <alignment horizontal="left" vertical="top" wrapText="1" readingOrder="1"/>
    </xf>
    <xf numFmtId="0" fontId="53" fillId="14" borderId="75" xfId="0" applyFont="1" applyFill="1" applyBorder="1" applyAlignment="1">
      <alignment horizontal="center" vertical="center" wrapText="1"/>
    </xf>
    <xf numFmtId="0" fontId="0" fillId="17" borderId="1" xfId="0" applyFill="1" applyBorder="1"/>
    <xf numFmtId="0" fontId="0" fillId="17" borderId="1" xfId="0" applyFill="1" applyBorder="1" applyAlignment="1">
      <alignment horizontal="center" vertical="center"/>
    </xf>
    <xf numFmtId="0" fontId="0" fillId="17" borderId="1" xfId="0" applyFill="1" applyBorder="1" applyAlignment="1">
      <alignment horizontal="left"/>
    </xf>
    <xf numFmtId="0" fontId="53" fillId="14" borderId="0" xfId="0" applyFont="1" applyFill="1" applyAlignment="1">
      <alignment horizontal="left" vertical="center"/>
    </xf>
    <xf numFmtId="14" fontId="0" fillId="17" borderId="1" xfId="0" applyNumberFormat="1" applyFill="1" applyBorder="1" applyAlignment="1">
      <alignment horizontal="center"/>
    </xf>
    <xf numFmtId="0" fontId="0" fillId="17" borderId="1" xfId="0" applyFill="1" applyBorder="1" applyAlignment="1">
      <alignment horizontal="center"/>
    </xf>
    <xf numFmtId="0" fontId="2" fillId="2" borderId="60" xfId="0" applyFont="1" applyFill="1" applyBorder="1" applyAlignment="1">
      <alignment horizontal="left"/>
    </xf>
    <xf numFmtId="0" fontId="2" fillId="2" borderId="61" xfId="0" applyFont="1" applyFill="1" applyBorder="1" applyAlignment="1">
      <alignment horizontal="left"/>
    </xf>
    <xf numFmtId="0" fontId="56" fillId="14" borderId="0" xfId="0" applyFont="1" applyFill="1" applyAlignment="1">
      <alignment horizontal="center" vertical="center" wrapText="1"/>
    </xf>
    <xf numFmtId="0" fontId="2" fillId="17" borderId="0" xfId="0" applyFont="1" applyFill="1" applyAlignment="1">
      <alignment horizontal="center" vertical="center"/>
    </xf>
    <xf numFmtId="0" fontId="54" fillId="14" borderId="0" xfId="0" applyFont="1" applyFill="1" applyAlignment="1">
      <alignment horizontal="center" vertical="top" wrapText="1"/>
    </xf>
    <xf numFmtId="0" fontId="54" fillId="14" borderId="0" xfId="0" applyFont="1" applyFill="1" applyAlignment="1">
      <alignment horizontal="center" vertical="center" wrapText="1"/>
    </xf>
    <xf numFmtId="0" fontId="24" fillId="10" borderId="0" xfId="0" applyFont="1" applyFill="1" applyAlignment="1">
      <alignment horizontal="center"/>
    </xf>
    <xf numFmtId="0" fontId="0" fillId="10" borderId="0" xfId="0" applyFill="1" applyAlignment="1">
      <alignment horizontal="center"/>
    </xf>
    <xf numFmtId="49" fontId="2" fillId="2" borderId="50" xfId="0" applyNumberFormat="1" applyFont="1" applyFill="1" applyBorder="1" applyAlignment="1" applyProtection="1">
      <alignment horizontal="center"/>
      <protection locked="0"/>
    </xf>
    <xf numFmtId="49" fontId="7" fillId="2" borderId="50" xfId="0" applyNumberFormat="1" applyFont="1" applyFill="1" applyBorder="1" applyAlignment="1" applyProtection="1">
      <alignment horizontal="center"/>
      <protection locked="0"/>
    </xf>
    <xf numFmtId="17" fontId="2" fillId="2" borderId="50" xfId="0" applyNumberFormat="1" applyFont="1" applyFill="1" applyBorder="1" applyAlignment="1" applyProtection="1">
      <alignment horizontal="center"/>
      <protection locked="0"/>
    </xf>
    <xf numFmtId="17" fontId="7" fillId="2" borderId="50" xfId="0" applyNumberFormat="1" applyFont="1" applyFill="1" applyBorder="1" applyAlignment="1" applyProtection="1">
      <alignment horizontal="center"/>
      <protection locked="0"/>
    </xf>
    <xf numFmtId="164" fontId="2" fillId="9" borderId="1" xfId="0" applyNumberFormat="1" applyFont="1" applyFill="1" applyBorder="1" applyAlignment="1">
      <alignment horizontal="center"/>
    </xf>
    <xf numFmtId="15" fontId="2" fillId="2" borderId="60" xfId="0" applyNumberFormat="1" applyFont="1" applyFill="1" applyBorder="1" applyAlignment="1" applyProtection="1">
      <alignment horizontal="center"/>
      <protection locked="0"/>
    </xf>
    <xf numFmtId="15" fontId="7" fillId="2" borderId="61" xfId="0" applyNumberFormat="1" applyFont="1" applyFill="1" applyBorder="1" applyAlignment="1" applyProtection="1">
      <alignment horizontal="center"/>
      <protection locked="0"/>
    </xf>
    <xf numFmtId="15" fontId="7" fillId="2" borderId="77" xfId="0" applyNumberFormat="1" applyFont="1" applyFill="1" applyBorder="1" applyAlignment="1" applyProtection="1">
      <alignment horizontal="center"/>
      <protection locked="0"/>
    </xf>
    <xf numFmtId="49" fontId="2" fillId="2" borderId="60" xfId="0" applyNumberFormat="1" applyFont="1" applyFill="1" applyBorder="1" applyAlignment="1" applyProtection="1">
      <alignment horizontal="center"/>
      <protection locked="0"/>
    </xf>
    <xf numFmtId="49" fontId="7" fillId="2" borderId="77" xfId="0" applyNumberFormat="1" applyFont="1" applyFill="1" applyBorder="1" applyAlignment="1" applyProtection="1">
      <alignment horizontal="center"/>
      <protection locked="0"/>
    </xf>
    <xf numFmtId="0" fontId="7" fillId="2" borderId="77" xfId="0" applyFont="1" applyFill="1" applyBorder="1" applyAlignment="1" applyProtection="1">
      <alignment horizontal="center"/>
      <protection locked="0"/>
    </xf>
    <xf numFmtId="164" fontId="7" fillId="9" borderId="1" xfId="0" applyNumberFormat="1" applyFont="1" applyFill="1" applyBorder="1" applyAlignment="1">
      <alignment horizontal="center"/>
    </xf>
    <xf numFmtId="164" fontId="7" fillId="2" borderId="50" xfId="0" applyNumberFormat="1" applyFont="1" applyFill="1" applyBorder="1" applyAlignment="1" applyProtection="1">
      <alignment horizontal="center"/>
      <protection locked="0"/>
    </xf>
    <xf numFmtId="0" fontId="57" fillId="12" borderId="0" xfId="0" applyFont="1" applyFill="1" applyAlignment="1">
      <alignment horizontal="center" vertical="center" wrapText="1"/>
    </xf>
    <xf numFmtId="0" fontId="2" fillId="2" borderId="1" xfId="0" applyFont="1" applyFill="1" applyBorder="1" applyAlignment="1">
      <alignment horizontal="center"/>
    </xf>
    <xf numFmtId="0" fontId="27" fillId="4" borderId="0" xfId="0" applyFont="1" applyFill="1" applyAlignment="1">
      <alignment horizontal="center"/>
    </xf>
    <xf numFmtId="15" fontId="7" fillId="9" borderId="1" xfId="0" applyNumberFormat="1" applyFont="1" applyFill="1" applyBorder="1" applyAlignment="1">
      <alignment horizontal="center"/>
    </xf>
    <xf numFmtId="0" fontId="51" fillId="12" borderId="65" xfId="0" applyFont="1" applyFill="1" applyBorder="1" applyAlignment="1">
      <alignment horizontal="center"/>
    </xf>
    <xf numFmtId="0" fontId="12" fillId="12" borderId="0" xfId="0" applyFont="1" applyFill="1" applyAlignment="1">
      <alignment horizontal="center"/>
    </xf>
    <xf numFmtId="0" fontId="12" fillId="12" borderId="69" xfId="0" applyFont="1" applyFill="1" applyBorder="1" applyAlignment="1">
      <alignment horizontal="center"/>
    </xf>
    <xf numFmtId="0" fontId="2" fillId="12" borderId="0" xfId="0" applyFont="1" applyFill="1" applyAlignment="1">
      <alignment horizontal="center"/>
    </xf>
    <xf numFmtId="0" fontId="7" fillId="2" borderId="1" xfId="0" applyFont="1" applyFill="1" applyBorder="1" applyAlignment="1">
      <alignment horizontal="left"/>
    </xf>
    <xf numFmtId="0" fontId="0" fillId="4" borderId="0" xfId="0" applyFill="1" applyAlignment="1">
      <alignment horizontal="center"/>
    </xf>
    <xf numFmtId="0" fontId="51" fillId="12" borderId="0" xfId="0" applyFont="1" applyFill="1" applyAlignment="1">
      <alignment horizontal="center" vertical="center" wrapText="1"/>
    </xf>
    <xf numFmtId="0" fontId="12" fillId="12" borderId="0" xfId="0" applyFont="1" applyFill="1" applyAlignment="1">
      <alignment horizontal="center" vertical="center" wrapText="1"/>
    </xf>
    <xf numFmtId="0" fontId="2" fillId="2" borderId="1" xfId="0" applyFont="1" applyFill="1" applyBorder="1" applyAlignment="1" applyProtection="1">
      <alignment horizontal="left"/>
      <protection locked="0"/>
    </xf>
    <xf numFmtId="0" fontId="7" fillId="2" borderId="1" xfId="0" applyFont="1" applyFill="1" applyBorder="1" applyAlignment="1" applyProtection="1">
      <alignment horizontal="left"/>
      <protection locked="0"/>
    </xf>
    <xf numFmtId="15" fontId="2" fillId="2" borderId="1" xfId="0" applyNumberFormat="1" applyFont="1" applyFill="1" applyBorder="1" applyAlignment="1">
      <alignment horizontal="center"/>
    </xf>
    <xf numFmtId="164" fontId="7" fillId="2" borderId="1" xfId="0" applyNumberFormat="1" applyFont="1" applyFill="1" applyBorder="1" applyAlignment="1" applyProtection="1">
      <alignment horizontal="center"/>
      <protection locked="0"/>
    </xf>
    <xf numFmtId="0" fontId="51" fillId="12" borderId="0" xfId="0" applyFont="1" applyFill="1" applyAlignment="1">
      <alignment horizontal="center"/>
    </xf>
    <xf numFmtId="0" fontId="0" fillId="2" borderId="0" xfId="0" applyFill="1" applyAlignment="1" applyProtection="1">
      <alignment horizontal="center"/>
      <protection locked="0"/>
    </xf>
    <xf numFmtId="164" fontId="0" fillId="2" borderId="0" xfId="0" applyNumberFormat="1" applyFill="1" applyAlignment="1">
      <alignment horizontal="center"/>
    </xf>
    <xf numFmtId="0" fontId="0" fillId="2" borderId="0" xfId="0" applyFill="1" applyAlignment="1">
      <alignment horizontal="center"/>
    </xf>
    <xf numFmtId="0" fontId="2" fillId="2" borderId="1" xfId="0" applyFont="1" applyFill="1" applyBorder="1" applyAlignment="1" applyProtection="1">
      <alignment horizontal="center"/>
      <protection locked="0"/>
    </xf>
    <xf numFmtId="0" fontId="22" fillId="4" borderId="0" xfId="0" applyFont="1" applyFill="1" applyAlignment="1">
      <alignment horizontal="center"/>
    </xf>
    <xf numFmtId="0" fontId="2" fillId="2" borderId="0" xfId="0" applyFont="1" applyFill="1" applyAlignment="1">
      <alignment horizontal="center"/>
    </xf>
    <xf numFmtId="0" fontId="14" fillId="4" borderId="13" xfId="0" applyFont="1" applyFill="1" applyBorder="1" applyAlignment="1">
      <alignment horizontal="center" vertical="center" textRotation="90" wrapText="1"/>
    </xf>
    <xf numFmtId="0" fontId="14" fillId="4" borderId="38" xfId="0" applyFont="1" applyFill="1" applyBorder="1" applyAlignment="1">
      <alignment horizontal="center" vertical="center" textRotation="90" wrapText="1"/>
    </xf>
    <xf numFmtId="0" fontId="2" fillId="2" borderId="71" xfId="0" applyFont="1" applyFill="1" applyBorder="1" applyAlignment="1">
      <alignment horizontal="center"/>
    </xf>
    <xf numFmtId="49" fontId="2" fillId="12" borderId="0" xfId="0" applyNumberFormat="1" applyFont="1" applyFill="1" applyAlignment="1">
      <alignment horizontal="center"/>
    </xf>
    <xf numFmtId="49" fontId="2" fillId="2" borderId="1" xfId="0" applyNumberFormat="1" applyFont="1" applyFill="1" applyBorder="1" applyAlignment="1" applyProtection="1">
      <alignment horizontal="center"/>
      <protection locked="0"/>
    </xf>
    <xf numFmtId="0" fontId="51" fillId="12" borderId="65" xfId="0" applyFont="1" applyFill="1" applyBorder="1" applyAlignment="1">
      <alignment horizontal="center" vertical="center" wrapText="1"/>
    </xf>
    <xf numFmtId="0" fontId="12" fillId="12" borderId="69" xfId="0" applyFont="1" applyFill="1" applyBorder="1" applyAlignment="1">
      <alignment horizontal="center" vertical="center" wrapText="1"/>
    </xf>
    <xf numFmtId="0" fontId="12" fillId="12" borderId="65" xfId="0" applyFont="1" applyFill="1" applyBorder="1" applyAlignment="1">
      <alignment horizontal="center" vertical="center" wrapText="1"/>
    </xf>
    <xf numFmtId="15" fontId="0" fillId="2" borderId="0" xfId="0" applyNumberFormat="1" applyFill="1" applyAlignment="1">
      <alignment horizontal="center"/>
    </xf>
    <xf numFmtId="0" fontId="0" fillId="2" borderId="0" xfId="0" applyFill="1" applyAlignment="1">
      <alignment horizontal="left"/>
    </xf>
    <xf numFmtId="0" fontId="2" fillId="2" borderId="0" xfId="0" applyFont="1" applyFill="1" applyAlignment="1">
      <alignment horizontal="left"/>
    </xf>
    <xf numFmtId="0" fontId="7" fillId="12" borderId="58" xfId="0" applyFont="1" applyFill="1" applyBorder="1" applyAlignment="1">
      <alignment horizontal="center"/>
    </xf>
    <xf numFmtId="0" fontId="7" fillId="12" borderId="0" xfId="0" applyFont="1" applyFill="1" applyAlignment="1">
      <alignment horizontal="center"/>
    </xf>
    <xf numFmtId="49" fontId="7" fillId="2" borderId="1" xfId="0" applyNumberFormat="1" applyFont="1" applyFill="1" applyBorder="1" applyAlignment="1">
      <alignment horizontal="center"/>
    </xf>
    <xf numFmtId="0" fontId="17" fillId="5" borderId="0" xfId="1" applyFill="1" applyAlignment="1" applyProtection="1">
      <alignment horizontal="left"/>
      <protection locked="0"/>
    </xf>
    <xf numFmtId="0" fontId="0" fillId="12" borderId="0" xfId="0" applyFill="1" applyAlignment="1">
      <alignment horizontal="center"/>
    </xf>
    <xf numFmtId="2" fontId="7" fillId="9" borderId="1" xfId="0" applyNumberFormat="1" applyFont="1" applyFill="1" applyBorder="1" applyAlignment="1">
      <alignment horizontal="center"/>
    </xf>
    <xf numFmtId="0" fontId="17" fillId="5" borderId="39" xfId="1" applyFill="1" applyBorder="1" applyAlignment="1" applyProtection="1">
      <alignment horizontal="left"/>
      <protection locked="0"/>
    </xf>
    <xf numFmtId="0" fontId="7" fillId="12" borderId="0" xfId="0" applyFont="1" applyFill="1" applyAlignment="1">
      <alignment horizontal="right"/>
    </xf>
    <xf numFmtId="9" fontId="2" fillId="2" borderId="50" xfId="0" applyNumberFormat="1" applyFont="1" applyFill="1" applyBorder="1" applyAlignment="1" applyProtection="1">
      <alignment horizontal="center"/>
      <protection locked="0"/>
    </xf>
    <xf numFmtId="9" fontId="7" fillId="2" borderId="50" xfId="0" applyNumberFormat="1" applyFont="1" applyFill="1" applyBorder="1" applyAlignment="1" applyProtection="1">
      <alignment horizontal="center"/>
      <protection locked="0"/>
    </xf>
    <xf numFmtId="0" fontId="7" fillId="0" borderId="1" xfId="0" applyFont="1" applyBorder="1" applyAlignment="1">
      <alignment horizontal="center"/>
    </xf>
    <xf numFmtId="1" fontId="2" fillId="2" borderId="1" xfId="0" applyNumberFormat="1" applyFont="1" applyFill="1" applyBorder="1" applyAlignment="1">
      <alignment horizontal="center"/>
    </xf>
    <xf numFmtId="0" fontId="0" fillId="4" borderId="40" xfId="0" applyFill="1" applyBorder="1" applyAlignment="1" applyProtection="1">
      <alignment horizontal="center"/>
      <protection locked="0"/>
    </xf>
    <xf numFmtId="0" fontId="0" fillId="4" borderId="41" xfId="0" applyFill="1" applyBorder="1" applyAlignment="1" applyProtection="1">
      <alignment horizontal="center"/>
      <protection locked="0"/>
    </xf>
    <xf numFmtId="0" fontId="2" fillId="0" borderId="1" xfId="0" applyFont="1" applyBorder="1" applyAlignment="1">
      <alignment horizontal="center"/>
    </xf>
    <xf numFmtId="0" fontId="2" fillId="9" borderId="1" xfId="0" applyFont="1" applyFill="1" applyBorder="1" applyAlignment="1">
      <alignment horizontal="center"/>
    </xf>
    <xf numFmtId="0" fontId="0" fillId="4" borderId="4" xfId="0" applyFill="1" applyBorder="1" applyAlignment="1" applyProtection="1">
      <alignment horizontal="center"/>
      <protection locked="0"/>
    </xf>
    <xf numFmtId="1" fontId="7" fillId="2" borderId="1" xfId="0" applyNumberFormat="1" applyFont="1" applyFill="1" applyBorder="1" applyAlignment="1">
      <alignment horizontal="center"/>
    </xf>
    <xf numFmtId="0" fontId="0" fillId="0" borderId="45" xfId="0" applyBorder="1" applyAlignment="1" applyProtection="1">
      <alignment horizontal="center"/>
      <protection locked="0"/>
    </xf>
    <xf numFmtId="0" fontId="0" fillId="0" borderId="52" xfId="0" applyBorder="1" applyAlignment="1" applyProtection="1">
      <alignment horizontal="center"/>
      <protection locked="0"/>
    </xf>
    <xf numFmtId="0" fontId="0" fillId="0" borderId="53" xfId="0" applyBorder="1" applyAlignment="1" applyProtection="1">
      <alignment horizontal="center"/>
      <protection locked="0"/>
    </xf>
    <xf numFmtId="0" fontId="3" fillId="0" borderId="33" xfId="0" applyFont="1" applyBorder="1" applyAlignment="1">
      <alignment horizontal="center"/>
    </xf>
    <xf numFmtId="0" fontId="3" fillId="0" borderId="42" xfId="0" applyFont="1" applyBorder="1" applyAlignment="1">
      <alignment horizontal="center"/>
    </xf>
    <xf numFmtId="0" fontId="3" fillId="0" borderId="43" xfId="0" applyFont="1" applyBorder="1" applyAlignment="1">
      <alignment horizontal="center"/>
    </xf>
    <xf numFmtId="0" fontId="0" fillId="0" borderId="44" xfId="0" applyBorder="1" applyAlignment="1" applyProtection="1">
      <alignment horizontal="center"/>
      <protection locked="0"/>
    </xf>
    <xf numFmtId="0" fontId="0" fillId="0" borderId="56" xfId="0" applyBorder="1" applyAlignment="1" applyProtection="1">
      <alignment horizontal="center"/>
      <protection locked="0"/>
    </xf>
    <xf numFmtId="0" fontId="0" fillId="0" borderId="57" xfId="0" applyBorder="1" applyAlignment="1" applyProtection="1">
      <alignment horizontal="center"/>
      <protection locked="0"/>
    </xf>
    <xf numFmtId="0" fontId="0" fillId="8" borderId="0" xfId="0" applyFill="1" applyAlignment="1">
      <alignment horizontal="center"/>
    </xf>
    <xf numFmtId="0" fontId="33" fillId="8" borderId="0" xfId="0" applyFont="1" applyFill="1" applyAlignment="1">
      <alignment horizontal="center"/>
    </xf>
    <xf numFmtId="164" fontId="33" fillId="8" borderId="0" xfId="0" applyNumberFormat="1" applyFont="1" applyFill="1" applyAlignment="1">
      <alignment horizontal="center"/>
    </xf>
    <xf numFmtId="0" fontId="0" fillId="0" borderId="46" xfId="0" applyBorder="1" applyAlignment="1" applyProtection="1">
      <alignment horizontal="center"/>
      <protection locked="0"/>
    </xf>
    <xf numFmtId="0" fontId="0" fillId="0" borderId="54" xfId="0" applyBorder="1" applyAlignment="1" applyProtection="1">
      <alignment horizontal="center"/>
      <protection locked="0"/>
    </xf>
    <xf numFmtId="0" fontId="0" fillId="0" borderId="55" xfId="0" applyBorder="1" applyAlignment="1" applyProtection="1">
      <alignment horizontal="center"/>
      <protection locked="0"/>
    </xf>
    <xf numFmtId="0" fontId="0" fillId="7" borderId="0" xfId="0" applyFill="1" applyAlignment="1">
      <alignment horizontal="center"/>
    </xf>
    <xf numFmtId="0" fontId="0" fillId="2" borderId="1" xfId="0" applyFill="1" applyBorder="1" applyAlignment="1">
      <alignment horizontal="left"/>
    </xf>
    <xf numFmtId="15" fontId="0" fillId="2" borderId="1" xfId="0" applyNumberFormat="1" applyFill="1" applyBorder="1" applyAlignment="1">
      <alignment horizontal="center"/>
    </xf>
    <xf numFmtId="0" fontId="0" fillId="2" borderId="1" xfId="0" applyFill="1" applyBorder="1" applyAlignment="1">
      <alignment horizontal="center"/>
    </xf>
  </cellXfs>
  <cellStyles count="2">
    <cellStyle name="Hipervínculo" xfId="1" builtinId="8"/>
    <cellStyle name="Normal" xfId="0" builtinId="0"/>
  </cellStyles>
  <dxfs count="199">
    <dxf>
      <font>
        <color rgb="FFFFFFFF"/>
      </font>
    </dxf>
    <dxf>
      <fill>
        <patternFill patternType="gray0625">
          <bgColor indexed="9"/>
        </patternFill>
      </fill>
      <border>
        <left/>
        <right/>
        <top/>
        <bottom style="thin">
          <color indexed="48"/>
        </bottom>
      </border>
    </dxf>
    <dxf>
      <font>
        <color theme="0"/>
      </font>
    </dxf>
    <dxf>
      <fill>
        <patternFill patternType="gray0625">
          <fgColor rgb="FF0070C0"/>
        </patternFill>
      </fill>
    </dxf>
    <dxf>
      <fill>
        <patternFill patternType="gray0625">
          <fgColor theme="3" tint="0.39994506668294322"/>
        </patternFill>
      </fill>
    </dxf>
    <dxf>
      <font>
        <color rgb="FFFFFFFF"/>
      </font>
    </dxf>
    <dxf>
      <fill>
        <patternFill patternType="gray0625">
          <bgColor indexed="9"/>
        </patternFill>
      </fill>
      <border>
        <left style="thin">
          <color indexed="48"/>
        </left>
        <right style="thin">
          <color indexed="48"/>
        </right>
        <top style="thin">
          <color indexed="48"/>
        </top>
        <bottom style="thin">
          <color indexed="48"/>
        </bottom>
      </border>
    </dxf>
    <dxf>
      <font>
        <condense val="0"/>
        <extend val="0"/>
        <color auto="1"/>
      </font>
    </dxf>
    <dxf>
      <fill>
        <patternFill patternType="gray0625">
          <bgColor indexed="9"/>
        </patternFill>
      </fill>
      <border>
        <left/>
        <right/>
        <top/>
        <bottom style="thin">
          <color indexed="48"/>
        </bottom>
      </border>
    </dxf>
    <dxf>
      <font>
        <condense val="0"/>
        <extend val="0"/>
        <color auto="1"/>
      </font>
    </dxf>
    <dxf>
      <font>
        <condense val="0"/>
        <extend val="0"/>
        <color auto="1"/>
      </font>
    </dxf>
    <dxf>
      <font>
        <condense val="0"/>
        <extend val="0"/>
        <color auto="1"/>
      </font>
    </dxf>
    <dxf>
      <font>
        <condense val="0"/>
        <extend val="0"/>
        <color auto="1"/>
      </font>
    </dxf>
    <dxf>
      <font>
        <condense val="0"/>
        <extend val="0"/>
        <color auto="1"/>
      </font>
    </dxf>
    <dxf>
      <font>
        <condense val="0"/>
        <extend val="0"/>
        <color auto="1"/>
      </font>
    </dxf>
    <dxf>
      <font>
        <condense val="0"/>
        <extend val="0"/>
        <color auto="1"/>
      </font>
    </dxf>
    <dxf>
      <font>
        <condense val="0"/>
        <extend val="0"/>
        <color auto="1"/>
      </font>
    </dxf>
    <dxf>
      <font>
        <condense val="0"/>
        <extend val="0"/>
        <color auto="1"/>
      </font>
    </dxf>
    <dxf>
      <font>
        <condense val="0"/>
        <extend val="0"/>
        <color auto="1"/>
      </font>
    </dxf>
    <dxf>
      <font>
        <condense val="0"/>
        <extend val="0"/>
        <color auto="1"/>
      </font>
    </dxf>
    <dxf>
      <font>
        <condense val="0"/>
        <extend val="0"/>
        <color auto="1"/>
      </font>
    </dxf>
    <dxf>
      <fill>
        <patternFill patternType="gray0625">
          <bgColor indexed="9"/>
        </patternFill>
      </fill>
      <border>
        <left/>
        <right/>
        <top/>
        <bottom style="thin">
          <color indexed="48"/>
        </bottom>
      </border>
    </dxf>
    <dxf>
      <fill>
        <patternFill patternType="gray0625">
          <bgColor indexed="9"/>
        </patternFill>
      </fill>
      <border>
        <left/>
        <right/>
        <top/>
        <bottom style="thin">
          <color indexed="48"/>
        </bottom>
      </border>
    </dxf>
    <dxf>
      <font>
        <condense val="0"/>
        <extend val="0"/>
        <color auto="1"/>
      </font>
    </dxf>
    <dxf>
      <font>
        <condense val="0"/>
        <extend val="0"/>
        <color auto="1"/>
      </font>
    </dxf>
    <dxf>
      <font>
        <condense val="0"/>
        <extend val="0"/>
        <color auto="1"/>
      </font>
    </dxf>
    <dxf>
      <font>
        <condense val="0"/>
        <extend val="0"/>
        <color auto="1"/>
      </font>
    </dxf>
    <dxf>
      <font>
        <condense val="0"/>
        <extend val="0"/>
        <color auto="1"/>
      </font>
    </dxf>
    <dxf>
      <fill>
        <patternFill patternType="gray0625">
          <bgColor indexed="9"/>
        </patternFill>
      </fill>
      <border>
        <left/>
        <right/>
        <top/>
        <bottom style="thin">
          <color indexed="48"/>
        </bottom>
      </border>
    </dxf>
    <dxf>
      <font>
        <condense val="0"/>
        <extend val="0"/>
        <color auto="1"/>
      </font>
    </dxf>
    <dxf>
      <font>
        <condense val="0"/>
        <extend val="0"/>
        <color auto="1"/>
      </font>
    </dxf>
    <dxf>
      <font>
        <condense val="0"/>
        <extend val="0"/>
        <color auto="1"/>
      </font>
    </dxf>
    <dxf>
      <font>
        <condense val="0"/>
        <extend val="0"/>
        <color auto="1"/>
      </font>
    </dxf>
    <dxf>
      <font>
        <color rgb="FFFFFFFF"/>
      </font>
    </dxf>
    <dxf>
      <fill>
        <patternFill patternType="gray0625">
          <bgColor indexed="9"/>
        </patternFill>
      </fill>
      <border>
        <left style="thin">
          <color indexed="48"/>
        </left>
        <right style="thin">
          <color indexed="48"/>
        </right>
        <top style="thin">
          <color indexed="48"/>
        </top>
        <bottom style="thin">
          <color indexed="48"/>
        </bottom>
      </border>
    </dxf>
    <dxf>
      <font>
        <condense val="0"/>
        <extend val="0"/>
        <color auto="1"/>
      </font>
    </dxf>
    <dxf>
      <fill>
        <patternFill patternType="gray0625">
          <bgColor indexed="9"/>
        </patternFill>
      </fill>
      <border>
        <left/>
        <right/>
        <top/>
        <bottom style="thin">
          <color indexed="48"/>
        </bottom>
      </border>
    </dxf>
    <dxf>
      <font>
        <condense val="0"/>
        <extend val="0"/>
        <color auto="1"/>
      </font>
    </dxf>
    <dxf>
      <font>
        <condense val="0"/>
        <extend val="0"/>
        <color auto="1"/>
      </font>
    </dxf>
    <dxf>
      <font>
        <condense val="0"/>
        <extend val="0"/>
        <color auto="1"/>
      </font>
    </dxf>
    <dxf>
      <font>
        <condense val="0"/>
        <extend val="0"/>
        <color auto="1"/>
      </font>
    </dxf>
    <dxf>
      <font>
        <condense val="0"/>
        <extend val="0"/>
        <color auto="1"/>
      </font>
    </dxf>
    <dxf>
      <font>
        <condense val="0"/>
        <extend val="0"/>
        <color auto="1"/>
      </font>
    </dxf>
    <dxf>
      <font>
        <condense val="0"/>
        <extend val="0"/>
        <color auto="1"/>
      </font>
    </dxf>
    <dxf>
      <font>
        <condense val="0"/>
        <extend val="0"/>
        <color auto="1"/>
      </font>
    </dxf>
    <dxf>
      <font>
        <condense val="0"/>
        <extend val="0"/>
        <color auto="1"/>
      </font>
    </dxf>
    <dxf>
      <font>
        <condense val="0"/>
        <extend val="0"/>
        <color auto="1"/>
      </font>
    </dxf>
    <dxf>
      <font>
        <condense val="0"/>
        <extend val="0"/>
        <color auto="1"/>
      </font>
    </dxf>
    <dxf>
      <font>
        <condense val="0"/>
        <extend val="0"/>
        <color auto="1"/>
      </font>
    </dxf>
    <dxf>
      <font>
        <condense val="0"/>
        <extend val="0"/>
        <color auto="1"/>
      </font>
    </dxf>
    <dxf>
      <font>
        <condense val="0"/>
        <extend val="0"/>
        <color auto="1"/>
      </font>
    </dxf>
    <dxf>
      <font>
        <condense val="0"/>
        <extend val="0"/>
        <color auto="1"/>
      </font>
    </dxf>
    <dxf>
      <font>
        <condense val="0"/>
        <extend val="0"/>
        <color auto="1"/>
      </font>
    </dxf>
    <dxf>
      <font>
        <condense val="0"/>
        <extend val="0"/>
        <color auto="1"/>
      </font>
    </dxf>
    <dxf>
      <font>
        <condense val="0"/>
        <extend val="0"/>
        <color auto="1"/>
      </font>
    </dxf>
    <dxf>
      <font>
        <condense val="0"/>
        <extend val="0"/>
        <color auto="1"/>
      </font>
    </dxf>
    <dxf>
      <fill>
        <patternFill patternType="gray0625">
          <bgColor indexed="9"/>
        </patternFill>
      </fill>
      <border>
        <left/>
        <right/>
        <top/>
        <bottom style="thin">
          <color indexed="48"/>
        </bottom>
      </border>
    </dxf>
    <dxf>
      <font>
        <condense val="0"/>
        <extend val="0"/>
        <color auto="1"/>
      </font>
    </dxf>
    <dxf>
      <font>
        <condense val="0"/>
        <extend val="0"/>
        <color auto="1"/>
      </font>
    </dxf>
    <dxf>
      <font>
        <condense val="0"/>
        <extend val="0"/>
        <color auto="1"/>
      </font>
    </dxf>
    <dxf>
      <font>
        <condense val="0"/>
        <extend val="0"/>
        <color auto="1"/>
      </font>
    </dxf>
    <dxf>
      <font>
        <color rgb="FFFFFFFF"/>
      </font>
    </dxf>
    <dxf>
      <font>
        <b val="0"/>
        <i val="0"/>
        <condense val="0"/>
        <extend val="0"/>
        <color auto="1"/>
      </font>
      <fill>
        <patternFill>
          <bgColor indexed="9"/>
        </patternFill>
      </fill>
    </dxf>
    <dxf>
      <font>
        <b val="0"/>
        <i val="0"/>
        <condense val="0"/>
        <extend val="0"/>
        <color auto="1"/>
      </font>
      <fill>
        <patternFill>
          <bgColor indexed="9"/>
        </patternFill>
      </fill>
    </dxf>
    <dxf>
      <font>
        <condense val="0"/>
        <extend val="0"/>
        <color auto="1"/>
      </font>
      <fill>
        <patternFill>
          <bgColor indexed="9"/>
        </patternFill>
      </fill>
    </dxf>
    <dxf>
      <fill>
        <patternFill patternType="gray0625">
          <bgColor indexed="9"/>
        </patternFill>
      </fill>
      <border>
        <left/>
        <right/>
        <top/>
        <bottom style="thin">
          <color indexed="48"/>
        </bottom>
      </border>
    </dxf>
    <dxf>
      <font>
        <condense val="0"/>
        <extend val="0"/>
        <color auto="1"/>
      </font>
      <fill>
        <patternFill>
          <bgColor indexed="9"/>
        </patternFill>
      </fill>
    </dxf>
    <dxf>
      <fill>
        <patternFill patternType="gray0625"/>
      </fill>
      <border>
        <bottom style="thin">
          <color indexed="39"/>
        </bottom>
      </border>
    </dxf>
    <dxf>
      <font>
        <b val="0"/>
        <i val="0"/>
        <condense val="0"/>
        <extend val="0"/>
        <color auto="1"/>
      </font>
      <fill>
        <patternFill>
          <bgColor indexed="9"/>
        </patternFill>
      </fill>
    </dxf>
    <dxf>
      <font>
        <b val="0"/>
        <i val="0"/>
        <condense val="0"/>
        <extend val="0"/>
        <color auto="1"/>
      </font>
      <fill>
        <patternFill>
          <bgColor indexed="9"/>
        </patternFill>
      </fill>
    </dxf>
    <dxf>
      <font>
        <b val="0"/>
        <i val="0"/>
        <condense val="0"/>
        <extend val="0"/>
        <color auto="1"/>
      </font>
      <fill>
        <patternFill>
          <bgColor indexed="9"/>
        </patternFill>
      </fill>
    </dxf>
    <dxf>
      <font>
        <b val="0"/>
        <i val="0"/>
        <condense val="0"/>
        <extend val="0"/>
        <color auto="1"/>
      </font>
      <fill>
        <patternFill>
          <bgColor indexed="9"/>
        </patternFill>
      </fill>
    </dxf>
    <dxf>
      <font>
        <b val="0"/>
        <i val="0"/>
        <condense val="0"/>
        <extend val="0"/>
        <color auto="1"/>
      </font>
      <fill>
        <patternFill>
          <bgColor indexed="9"/>
        </patternFill>
      </fill>
    </dxf>
    <dxf>
      <font>
        <b val="0"/>
        <i val="0"/>
        <condense val="0"/>
        <extend val="0"/>
        <color auto="1"/>
      </font>
      <fill>
        <patternFill>
          <bgColor indexed="9"/>
        </patternFill>
      </fill>
    </dxf>
    <dxf>
      <font>
        <color rgb="FFFFFFFF"/>
      </font>
    </dxf>
    <dxf>
      <font>
        <condense val="0"/>
        <extend val="0"/>
        <color auto="1"/>
      </font>
      <fill>
        <patternFill>
          <bgColor indexed="9"/>
        </patternFill>
      </fill>
    </dxf>
    <dxf>
      <font>
        <condense val="0"/>
        <extend val="0"/>
        <color auto="1"/>
      </font>
      <fill>
        <patternFill>
          <bgColor indexed="9"/>
        </patternFill>
      </fill>
    </dxf>
    <dxf>
      <font>
        <condense val="0"/>
        <extend val="0"/>
        <color auto="1"/>
      </font>
      <fill>
        <patternFill>
          <bgColor indexed="9"/>
        </patternFill>
      </fill>
    </dxf>
    <dxf>
      <font>
        <condense val="0"/>
        <extend val="0"/>
        <color auto="1"/>
      </font>
      <fill>
        <patternFill>
          <bgColor indexed="9"/>
        </patternFill>
      </fill>
    </dxf>
    <dxf>
      <font>
        <condense val="0"/>
        <extend val="0"/>
        <color auto="1"/>
      </font>
      <fill>
        <patternFill>
          <bgColor indexed="9"/>
        </patternFill>
      </fill>
    </dxf>
    <dxf>
      <fill>
        <patternFill patternType="gray0625">
          <bgColor indexed="9"/>
        </patternFill>
      </fill>
      <border>
        <left/>
        <right/>
        <top/>
        <bottom style="thin">
          <color indexed="48"/>
        </bottom>
      </border>
    </dxf>
    <dxf>
      <font>
        <condense val="0"/>
        <extend val="0"/>
        <color auto="1"/>
      </font>
      <fill>
        <patternFill>
          <bgColor indexed="9"/>
        </patternFill>
      </fill>
    </dxf>
    <dxf>
      <font>
        <condense val="0"/>
        <extend val="0"/>
        <color auto="1"/>
      </font>
      <fill>
        <patternFill>
          <bgColor indexed="9"/>
        </patternFill>
      </fill>
    </dxf>
    <dxf>
      <font>
        <condense val="0"/>
        <extend val="0"/>
        <color auto="1"/>
      </font>
      <fill>
        <patternFill>
          <bgColor indexed="9"/>
        </patternFill>
      </fill>
    </dxf>
    <dxf>
      <font>
        <condense val="0"/>
        <extend val="0"/>
        <color auto="1"/>
      </font>
      <fill>
        <patternFill>
          <bgColor indexed="9"/>
        </patternFill>
      </fill>
    </dxf>
    <dxf>
      <font>
        <color rgb="FFFFFFFF"/>
      </font>
    </dxf>
    <dxf>
      <fill>
        <patternFill patternType="gray0625">
          <bgColor indexed="9"/>
        </patternFill>
      </fill>
      <border>
        <left/>
        <right/>
        <top/>
        <bottom style="thin">
          <color indexed="48"/>
        </bottom>
      </border>
    </dxf>
    <dxf>
      <font>
        <color rgb="FFFFFFFF"/>
      </font>
    </dxf>
    <dxf>
      <fill>
        <patternFill patternType="gray0625">
          <fgColor indexed="12"/>
          <bgColor indexed="9"/>
        </patternFill>
      </fill>
      <border>
        <left style="thin">
          <color indexed="12"/>
        </left>
        <right/>
        <top/>
        <bottom style="thin">
          <color indexed="12"/>
        </bottom>
      </border>
    </dxf>
    <dxf>
      <fill>
        <patternFill patternType="gray0625">
          <fgColor indexed="48"/>
          <bgColor indexed="9"/>
        </patternFill>
      </fill>
      <border>
        <left style="thin">
          <color indexed="12"/>
        </left>
        <right/>
        <top/>
        <bottom style="thin">
          <color indexed="12"/>
        </bottom>
      </border>
    </dxf>
    <dxf>
      <fill>
        <patternFill patternType="gray0625">
          <fgColor indexed="48"/>
          <bgColor indexed="9"/>
        </patternFill>
      </fill>
      <border>
        <left/>
        <right style="thin">
          <color indexed="12"/>
        </right>
        <top/>
        <bottom style="thin">
          <color indexed="12"/>
        </bottom>
      </border>
    </dxf>
    <dxf>
      <fill>
        <patternFill patternType="gray0625">
          <fgColor indexed="48"/>
          <bgColor indexed="9"/>
        </patternFill>
      </fill>
      <border>
        <left/>
        <right/>
        <top/>
        <bottom style="thin">
          <color indexed="12"/>
        </bottom>
      </border>
    </dxf>
    <dxf>
      <fill>
        <patternFill patternType="gray0625">
          <fgColor indexed="12"/>
          <bgColor indexed="9"/>
        </patternFill>
      </fill>
      <border>
        <left/>
        <right/>
        <top/>
        <bottom style="thin">
          <color indexed="12"/>
        </bottom>
      </border>
    </dxf>
    <dxf>
      <fill>
        <patternFill patternType="gray0625">
          <fgColor indexed="12"/>
        </patternFill>
      </fill>
      <border>
        <left/>
        <right/>
        <top/>
        <bottom style="thin">
          <color indexed="64"/>
        </bottom>
      </border>
    </dxf>
    <dxf>
      <fill>
        <patternFill patternType="gray0625">
          <bgColor indexed="9"/>
        </patternFill>
      </fill>
      <border>
        <left/>
        <right/>
        <top/>
        <bottom style="thin">
          <color indexed="48"/>
        </bottom>
      </border>
    </dxf>
    <dxf>
      <font>
        <color rgb="FFFFFFFF"/>
      </font>
    </dxf>
    <dxf>
      <font>
        <condense val="0"/>
        <extend val="0"/>
        <color auto="1"/>
      </font>
      <fill>
        <patternFill>
          <fgColor indexed="64"/>
          <bgColor indexed="9"/>
        </patternFill>
      </fill>
    </dxf>
    <dxf>
      <font>
        <condense val="0"/>
        <extend val="0"/>
        <color auto="1"/>
      </font>
      <fill>
        <patternFill>
          <fgColor indexed="64"/>
          <bgColor indexed="9"/>
        </patternFill>
      </fill>
    </dxf>
    <dxf>
      <font>
        <condense val="0"/>
        <extend val="0"/>
        <color auto="1"/>
      </font>
      <fill>
        <patternFill>
          <fgColor indexed="64"/>
          <bgColor indexed="9"/>
        </patternFill>
      </fill>
    </dxf>
    <dxf>
      <font>
        <condense val="0"/>
        <extend val="0"/>
        <color auto="1"/>
      </font>
      <fill>
        <patternFill>
          <fgColor indexed="64"/>
          <bgColor indexed="9"/>
        </patternFill>
      </fill>
    </dxf>
    <dxf>
      <fill>
        <patternFill patternType="gray0625">
          <bgColor indexed="9"/>
        </patternFill>
      </fill>
      <border>
        <left/>
        <right/>
        <top/>
        <bottom style="thin">
          <color indexed="48"/>
        </bottom>
      </border>
    </dxf>
    <dxf>
      <font>
        <condense val="0"/>
        <extend val="0"/>
        <color auto="1"/>
      </font>
      <fill>
        <patternFill>
          <fgColor indexed="64"/>
          <bgColor indexed="9"/>
        </patternFill>
      </fill>
    </dxf>
    <dxf>
      <font>
        <condense val="0"/>
        <extend val="0"/>
        <color auto="1"/>
      </font>
      <fill>
        <patternFill>
          <fgColor indexed="64"/>
          <bgColor indexed="9"/>
        </patternFill>
      </fill>
    </dxf>
    <dxf>
      <font>
        <color rgb="FFFFFFFF"/>
      </font>
    </dxf>
    <dxf>
      <font>
        <color theme="0"/>
      </font>
    </dxf>
    <dxf>
      <font>
        <color theme="0"/>
      </font>
    </dxf>
    <dxf>
      <fill>
        <patternFill patternType="gray0625">
          <bgColor indexed="9"/>
        </patternFill>
      </fill>
      <border>
        <left/>
        <right/>
        <top/>
        <bottom style="thin">
          <color indexed="48"/>
        </bottom>
      </border>
    </dxf>
    <dxf>
      <font>
        <color theme="0"/>
      </font>
    </dxf>
    <dxf>
      <font>
        <color theme="0"/>
      </font>
    </dxf>
    <dxf>
      <font>
        <color theme="0"/>
      </font>
    </dxf>
    <dxf>
      <font>
        <color rgb="FFFFFFFF"/>
      </font>
    </dxf>
    <dxf>
      <font>
        <color theme="0"/>
      </font>
    </dxf>
    <dxf>
      <font>
        <condense val="0"/>
        <extend val="0"/>
        <color auto="1"/>
      </font>
      <fill>
        <patternFill>
          <fgColor indexed="64"/>
          <bgColor indexed="9"/>
        </patternFill>
      </fill>
    </dxf>
    <dxf>
      <font>
        <color theme="0"/>
      </font>
    </dxf>
    <dxf>
      <font>
        <color theme="0"/>
      </font>
    </dxf>
    <dxf>
      <font>
        <condense val="0"/>
        <extend val="0"/>
        <color auto="1"/>
      </font>
      <fill>
        <patternFill>
          <fgColor indexed="64"/>
          <bgColor indexed="9"/>
        </patternFill>
      </fill>
    </dxf>
    <dxf>
      <font>
        <condense val="0"/>
        <extend val="0"/>
        <color auto="1"/>
      </font>
      <fill>
        <patternFill>
          <fgColor indexed="64"/>
          <bgColor indexed="9"/>
        </patternFill>
      </fill>
    </dxf>
    <dxf>
      <font>
        <condense val="0"/>
        <extend val="0"/>
        <color auto="1"/>
      </font>
      <fill>
        <patternFill>
          <fgColor indexed="64"/>
          <bgColor indexed="9"/>
        </patternFill>
      </fill>
    </dxf>
    <dxf>
      <font>
        <condense val="0"/>
        <extend val="0"/>
        <color auto="1"/>
      </font>
      <fill>
        <patternFill>
          <fgColor indexed="64"/>
          <bgColor indexed="9"/>
        </patternFill>
      </fill>
    </dxf>
    <dxf>
      <font>
        <condense val="0"/>
        <extend val="0"/>
        <color auto="1"/>
      </font>
      <fill>
        <patternFill>
          <fgColor indexed="64"/>
          <bgColor indexed="9"/>
        </patternFill>
      </fill>
    </dxf>
    <dxf>
      <fill>
        <patternFill>
          <bgColor theme="0"/>
        </patternFill>
      </fill>
    </dxf>
    <dxf>
      <fill>
        <patternFill patternType="gray0625">
          <bgColor indexed="9"/>
        </patternFill>
      </fill>
      <border>
        <left/>
        <right/>
        <top/>
        <bottom style="thin">
          <color indexed="48"/>
        </bottom>
      </border>
    </dxf>
    <dxf>
      <font>
        <color theme="0"/>
      </font>
    </dxf>
    <dxf>
      <font>
        <color theme="0"/>
      </font>
    </dxf>
    <dxf>
      <font>
        <color theme="0"/>
      </font>
    </dxf>
    <dxf>
      <font>
        <color theme="0"/>
      </font>
    </dxf>
    <dxf>
      <font>
        <color theme="0"/>
      </font>
    </dxf>
    <dxf>
      <font>
        <condense val="0"/>
        <extend val="0"/>
        <color auto="1"/>
      </font>
      <fill>
        <patternFill>
          <fgColor indexed="64"/>
          <bgColor indexed="9"/>
        </patternFill>
      </fill>
    </dxf>
    <dxf>
      <font>
        <condense val="0"/>
        <extend val="0"/>
        <color auto="1"/>
      </font>
      <fill>
        <patternFill>
          <fgColor indexed="64"/>
          <bgColor indexed="9"/>
        </patternFill>
      </fill>
    </dxf>
    <dxf>
      <font>
        <condense val="0"/>
        <extend val="0"/>
        <color auto="1"/>
      </font>
      <fill>
        <patternFill>
          <fgColor indexed="64"/>
          <bgColor indexed="9"/>
        </patternFill>
      </fill>
    </dxf>
    <dxf>
      <font>
        <color theme="0"/>
      </font>
    </dxf>
    <dxf>
      <font>
        <color theme="0"/>
      </font>
    </dxf>
    <dxf>
      <font>
        <color rgb="FFFFFFFF"/>
      </font>
    </dxf>
    <dxf>
      <fill>
        <patternFill>
          <bgColor theme="0"/>
        </patternFill>
      </fill>
    </dxf>
    <dxf>
      <fill>
        <patternFill>
          <bgColor theme="0"/>
        </patternFill>
      </fill>
    </dxf>
    <dxf>
      <fill>
        <patternFill>
          <bgColor theme="0"/>
        </patternFill>
      </fill>
    </dxf>
    <dxf>
      <fill>
        <patternFill patternType="gray0625">
          <fgColor theme="3" tint="0.39994506668294322"/>
        </patternFill>
      </fill>
    </dxf>
    <dxf>
      <font>
        <color rgb="FFFFFFFF"/>
      </font>
    </dxf>
    <dxf>
      <fill>
        <patternFill patternType="gray0625">
          <fgColor theme="3" tint="0.39994506668294322"/>
        </patternFill>
      </fill>
    </dxf>
    <dxf>
      <font>
        <color rgb="FFFFFFFF"/>
      </font>
    </dxf>
    <dxf>
      <fill>
        <patternFill patternType="gray0625">
          <fgColor theme="3" tint="0.39994506668294322"/>
        </patternFill>
      </fill>
    </dxf>
    <dxf>
      <font>
        <color rgb="FFFFFFFF"/>
      </font>
      <numFmt numFmtId="169" formatCode=";;;"/>
      <fill>
        <patternFill patternType="solid">
          <fgColor indexed="64"/>
          <bgColor rgb="FFFFFFFF"/>
        </patternFill>
      </fill>
    </dxf>
    <dxf>
      <font>
        <color rgb="FFFFFFFF"/>
      </font>
      <numFmt numFmtId="169" formatCode=";;;"/>
      <fill>
        <patternFill patternType="solid">
          <fgColor indexed="64"/>
          <bgColor rgb="FFFFFFFF"/>
        </patternFill>
      </fill>
    </dxf>
    <dxf>
      <font>
        <color rgb="FFFFFFFF"/>
      </font>
      <numFmt numFmtId="169" formatCode=";;;"/>
      <fill>
        <patternFill patternType="solid">
          <fgColor indexed="64"/>
          <bgColor rgb="FFFFFFFF"/>
        </patternFill>
      </fill>
    </dxf>
    <dxf>
      <font>
        <color rgb="FFFFFFFF"/>
      </font>
      <numFmt numFmtId="169" formatCode=";;;"/>
      <fill>
        <patternFill patternType="solid">
          <fgColor indexed="64"/>
          <bgColor rgb="FFFFFFFF"/>
        </patternFill>
      </fill>
    </dxf>
    <dxf>
      <font>
        <color rgb="FFFFFFFF"/>
      </font>
      <numFmt numFmtId="169" formatCode=";;;"/>
      <fill>
        <patternFill patternType="solid">
          <fgColor indexed="64"/>
          <bgColor rgb="FFFFFFFF"/>
        </patternFill>
      </fill>
    </dxf>
    <dxf>
      <font>
        <color rgb="FFFFFFFF"/>
      </font>
      <numFmt numFmtId="169" formatCode=";;;"/>
      <fill>
        <patternFill patternType="solid">
          <fgColor indexed="64"/>
          <bgColor rgb="FFFFFFFF"/>
        </patternFill>
      </fill>
    </dxf>
    <dxf>
      <font>
        <color rgb="FFFFFFFF"/>
      </font>
      <numFmt numFmtId="169" formatCode=";;;"/>
      <fill>
        <patternFill patternType="solid">
          <fgColor indexed="64"/>
          <bgColor rgb="FFFFFFFF"/>
        </patternFill>
      </fill>
    </dxf>
    <dxf>
      <font>
        <color rgb="FFFFFFFF"/>
      </font>
    </dxf>
    <dxf>
      <fill>
        <patternFill patternType="gray0625">
          <fgColor theme="3" tint="0.39994506668294322"/>
        </patternFill>
      </fill>
    </dxf>
    <dxf>
      <font>
        <color rgb="FFFFFFFF"/>
      </font>
    </dxf>
    <dxf>
      <fill>
        <patternFill patternType="gray0625">
          <fgColor theme="3" tint="0.39994506668294322"/>
        </patternFill>
      </fill>
    </dxf>
    <dxf>
      <fill>
        <patternFill patternType="gray0625">
          <fgColor theme="3" tint="0.39994506668294322"/>
        </patternFill>
      </fill>
    </dxf>
    <dxf>
      <font>
        <color theme="0"/>
      </font>
    </dxf>
    <dxf>
      <font>
        <color rgb="FFFFFFFF"/>
      </font>
    </dxf>
    <dxf>
      <fill>
        <patternFill patternType="gray0625">
          <fgColor theme="3" tint="0.39994506668294322"/>
        </patternFill>
      </fill>
    </dxf>
    <dxf>
      <font>
        <color rgb="FFFFFFFF"/>
      </font>
    </dxf>
    <dxf>
      <fill>
        <patternFill patternType="gray0625">
          <fgColor theme="3" tint="0.39994506668294322"/>
        </patternFill>
      </fill>
    </dxf>
    <dxf>
      <font>
        <color rgb="FFFFFFFF"/>
      </font>
    </dxf>
    <dxf>
      <fill>
        <patternFill patternType="gray0625">
          <fgColor theme="3" tint="0.39994506668294322"/>
        </patternFill>
      </fill>
    </dxf>
    <dxf>
      <font>
        <color rgb="FFFFFFFF"/>
      </font>
    </dxf>
    <dxf>
      <fill>
        <patternFill patternType="gray0625">
          <fgColor theme="3" tint="0.39994506668294322"/>
        </patternFill>
      </fill>
    </dxf>
    <dxf>
      <font>
        <color rgb="FFFFFFFF"/>
      </font>
    </dxf>
    <dxf>
      <fill>
        <patternFill patternType="gray0625">
          <fgColor theme="3" tint="0.39994506668294322"/>
        </patternFill>
      </fill>
    </dxf>
    <dxf>
      <font>
        <color rgb="FFFFFFFF"/>
      </font>
    </dxf>
    <dxf>
      <fill>
        <patternFill patternType="gray0625">
          <fgColor theme="3" tint="0.39994506668294322"/>
        </patternFill>
      </fill>
    </dxf>
    <dxf>
      <font>
        <color rgb="FFFFFFFF"/>
      </font>
    </dxf>
    <dxf>
      <fill>
        <patternFill patternType="gray0625">
          <fgColor theme="3" tint="0.39994506668294322"/>
        </patternFill>
      </fill>
    </dxf>
    <dxf>
      <font>
        <color rgb="FFFFFFFF"/>
      </font>
    </dxf>
    <dxf>
      <fill>
        <patternFill patternType="gray0625">
          <fgColor theme="3" tint="0.39994506668294322"/>
        </patternFill>
      </fill>
    </dxf>
    <dxf>
      <font>
        <color rgb="FFFFFFFF"/>
      </font>
    </dxf>
    <dxf>
      <fill>
        <patternFill patternType="gray0625">
          <fgColor theme="3" tint="0.39994506668294322"/>
        </patternFill>
      </fill>
    </dxf>
    <dxf>
      <font>
        <color rgb="FFFFFFFF"/>
      </font>
    </dxf>
    <dxf>
      <fill>
        <patternFill patternType="gray0625">
          <fgColor theme="3" tint="0.39994506668294322"/>
        </patternFill>
      </fill>
    </dxf>
    <dxf>
      <font>
        <color rgb="FFFFFFFF"/>
      </font>
    </dxf>
    <dxf>
      <fill>
        <patternFill patternType="gray0625">
          <fgColor theme="3" tint="0.39994506668294322"/>
        </patternFill>
      </fill>
    </dxf>
    <dxf>
      <font>
        <color rgb="FFFFFFFF"/>
      </font>
    </dxf>
    <dxf>
      <fill>
        <patternFill patternType="gray0625">
          <fgColor theme="3" tint="0.39994506668294322"/>
        </patternFill>
      </fill>
    </dxf>
    <dxf>
      <font>
        <color rgb="FFFFFFFF"/>
      </font>
    </dxf>
    <dxf>
      <fill>
        <patternFill patternType="gray0625">
          <fgColor theme="3" tint="0.39994506668294322"/>
        </patternFill>
      </fill>
    </dxf>
    <dxf>
      <font>
        <color rgb="FFFFFFFF"/>
      </font>
    </dxf>
    <dxf>
      <fill>
        <patternFill patternType="gray0625">
          <fgColor theme="3" tint="0.39994506668294322"/>
        </patternFill>
      </fill>
    </dxf>
    <dxf>
      <font>
        <color rgb="FFFFFFFF"/>
      </font>
    </dxf>
    <dxf>
      <fill>
        <patternFill patternType="gray0625">
          <fgColor theme="3" tint="0.39994506668294322"/>
        </patternFill>
      </fill>
    </dxf>
    <dxf>
      <font>
        <color rgb="FFFFFFFF"/>
      </font>
    </dxf>
    <dxf>
      <fill>
        <patternFill patternType="gray0625">
          <fgColor theme="3" tint="0.39994506668294322"/>
        </patternFill>
      </fill>
    </dxf>
    <dxf>
      <font>
        <color rgb="FFFFFFFF"/>
      </font>
    </dxf>
    <dxf>
      <fill>
        <patternFill patternType="gray0625">
          <fgColor theme="3" tint="0.39994506668294322"/>
        </patternFill>
      </fill>
    </dxf>
    <dxf>
      <font>
        <color rgb="FF969696"/>
      </font>
    </dxf>
    <dxf>
      <font>
        <color rgb="FF87CEEB"/>
      </font>
    </dxf>
    <dxf>
      <font>
        <color rgb="FFFFFFFF"/>
      </font>
    </dxf>
    <dxf>
      <font>
        <color rgb="FFFFFFFF"/>
      </font>
    </dxf>
    <dxf>
      <font>
        <color rgb="FFFFFFFF"/>
      </font>
    </dxf>
    <dxf>
      <font>
        <color rgb="FFFFFFFF"/>
      </font>
    </dxf>
    <dxf>
      <fill>
        <patternFill patternType="gray0625">
          <bgColor indexed="9"/>
        </patternFill>
      </fill>
      <border>
        <left/>
        <right/>
        <top/>
        <bottom style="thin">
          <color indexed="48"/>
        </bottom>
      </border>
    </dxf>
    <dxf>
      <font>
        <condense val="0"/>
        <extend val="0"/>
        <color auto="1"/>
      </font>
      <fill>
        <patternFill>
          <fgColor indexed="64"/>
          <bgColor indexed="9"/>
        </patternFill>
      </fill>
    </dxf>
    <dxf>
      <font>
        <condense val="0"/>
        <extend val="0"/>
        <color auto="1"/>
      </font>
      <fill>
        <patternFill>
          <fgColor indexed="64"/>
          <bgColor indexed="9"/>
        </patternFill>
      </fill>
    </dxf>
    <dxf>
      <font>
        <condense val="0"/>
        <extend val="0"/>
        <color auto="1"/>
      </font>
      <fill>
        <patternFill>
          <fgColor indexed="64"/>
          <bgColor indexed="9"/>
        </patternFill>
      </fill>
    </dxf>
    <dxf>
      <font>
        <condense val="0"/>
        <extend val="0"/>
        <color auto="1"/>
      </font>
      <fill>
        <patternFill>
          <fgColor indexed="64"/>
          <bgColor indexed="9"/>
        </patternFill>
      </fill>
    </dxf>
  </dxfs>
  <tableStyles count="0" defaultTableStyle="TableStyleMedium9" defaultPivotStyle="PivotStyleLight16"/>
  <colors>
    <mruColors>
      <color rgb="FF969696"/>
      <color rgb="FF7ED1E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editAs="oneCell">
    <xdr:from>
      <xdr:col>4</xdr:col>
      <xdr:colOff>762000</xdr:colOff>
      <xdr:row>10</xdr:row>
      <xdr:rowOff>68580</xdr:rowOff>
    </xdr:from>
    <xdr:to>
      <xdr:col>7</xdr:col>
      <xdr:colOff>723900</xdr:colOff>
      <xdr:row>20</xdr:row>
      <xdr:rowOff>137160</xdr:rowOff>
    </xdr:to>
    <xdr:pic>
      <xdr:nvPicPr>
        <xdr:cNvPr id="4257" name="Picture 4" descr="Dsc00037">
          <a:extLst>
            <a:ext uri="{FF2B5EF4-FFF2-40B4-BE49-F238E27FC236}">
              <a16:creationId xmlns:a16="http://schemas.microsoft.com/office/drawing/2014/main" id="{00000000-0008-0000-0100-0000A11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512820" y="1607820"/>
          <a:ext cx="2339340" cy="17449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7620</xdr:colOff>
      <xdr:row>25</xdr:row>
      <xdr:rowOff>68580</xdr:rowOff>
    </xdr:from>
    <xdr:to>
      <xdr:col>7</xdr:col>
      <xdr:colOff>655320</xdr:colOff>
      <xdr:row>35</xdr:row>
      <xdr:rowOff>68580</xdr:rowOff>
    </xdr:to>
    <xdr:pic>
      <xdr:nvPicPr>
        <xdr:cNvPr id="4258" name="Picture 5" descr="Dsc00115-2">
          <a:extLst>
            <a:ext uri="{FF2B5EF4-FFF2-40B4-BE49-F238E27FC236}">
              <a16:creationId xmlns:a16="http://schemas.microsoft.com/office/drawing/2014/main" id="{00000000-0008-0000-0100-0000A21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50920" y="3954780"/>
          <a:ext cx="2232660" cy="16687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xdr:col>
      <xdr:colOff>345440</xdr:colOff>
      <xdr:row>44</xdr:row>
      <xdr:rowOff>101600</xdr:rowOff>
    </xdr:from>
    <xdr:to>
      <xdr:col>3</xdr:col>
      <xdr:colOff>553720</xdr:colOff>
      <xdr:row>46</xdr:row>
      <xdr:rowOff>40640</xdr:rowOff>
    </xdr:to>
    <xdr:sp macro="[0]!ExportarKML" textlink="">
      <xdr:nvSpPr>
        <xdr:cNvPr id="2" name="Rectángulo: esquinas redondeadas 1">
          <a:extLst>
            <a:ext uri="{FF2B5EF4-FFF2-40B4-BE49-F238E27FC236}">
              <a16:creationId xmlns:a16="http://schemas.microsoft.com/office/drawing/2014/main" id="{00000000-0008-0000-0100-000002000000}"/>
            </a:ext>
          </a:extLst>
        </xdr:cNvPr>
        <xdr:cNvSpPr/>
      </xdr:nvSpPr>
      <xdr:spPr>
        <a:xfrm>
          <a:off x="1513840" y="7167880"/>
          <a:ext cx="1000760" cy="27432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AR" sz="1100"/>
            <a:t>GENERAR FIX</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91440</xdr:colOff>
      <xdr:row>76</xdr:row>
      <xdr:rowOff>22860</xdr:rowOff>
    </xdr:from>
    <xdr:to>
      <xdr:col>6</xdr:col>
      <xdr:colOff>304800</xdr:colOff>
      <xdr:row>76</xdr:row>
      <xdr:rowOff>22860</xdr:rowOff>
    </xdr:to>
    <xdr:sp macro="" textlink="">
      <xdr:nvSpPr>
        <xdr:cNvPr id="2152" name="Line 16">
          <a:extLst>
            <a:ext uri="{FF2B5EF4-FFF2-40B4-BE49-F238E27FC236}">
              <a16:creationId xmlns:a16="http://schemas.microsoft.com/office/drawing/2014/main" id="{00000000-0008-0000-0400-000068080000}"/>
            </a:ext>
          </a:extLst>
        </xdr:cNvPr>
        <xdr:cNvSpPr>
          <a:spLocks noChangeShapeType="1"/>
        </xdr:cNvSpPr>
      </xdr:nvSpPr>
      <xdr:spPr bwMode="auto">
        <a:xfrm>
          <a:off x="1257300" y="12755880"/>
          <a:ext cx="132588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12700</xdr:colOff>
      <xdr:row>2</xdr:row>
      <xdr:rowOff>6350</xdr:rowOff>
    </xdr:from>
    <xdr:to>
      <xdr:col>16</xdr:col>
      <xdr:colOff>31750</xdr:colOff>
      <xdr:row>4</xdr:row>
      <xdr:rowOff>11430</xdr:rowOff>
    </xdr:to>
    <xdr:sp macro="" textlink="">
      <xdr:nvSpPr>
        <xdr:cNvPr id="2" name="VMS_t3d_sombra">
          <a:extLst>
            <a:ext uri="{FF2B5EF4-FFF2-40B4-BE49-F238E27FC236}">
              <a16:creationId xmlns:a16="http://schemas.microsoft.com/office/drawing/2014/main" id="{00000000-0008-0000-0500-000002000000}"/>
            </a:ext>
          </a:extLst>
        </xdr:cNvPr>
        <xdr:cNvSpPr txBox="1"/>
      </xdr:nvSpPr>
      <xdr:spPr>
        <a:xfrm>
          <a:off x="12700" y="361950"/>
          <a:ext cx="6057900" cy="335280"/>
        </a:xfrm>
        <a:prstGeom prst="rect">
          <a:avLst/>
        </a:prstGeom>
        <a:noFill/>
        <a:ln>
          <a:noFill/>
        </a:ln>
      </xdr:spPr>
      <xdr:txBody>
        <a:bodyPr vertOverflow="overflow" vert="horz" wrap="square" lIns="0" tIns="0" rIns="0" bIns="0" rtlCol="0" anchor="ctr">
          <a:noAutofit/>
        </a:bodyPr>
        <a:lstStyle/>
        <a:p>
          <a:pPr algn="ctr"/>
          <a:r>
            <a:rPr kumimoji="0" lang="es-AR" sz="1000" b="1" i="0" u="none" strike="noStrike" kern="0" cap="none" spc="0" normalizeH="0" baseline="0" noProof="0">
              <a:ln>
                <a:noFill/>
              </a:ln>
              <a:solidFill>
                <a:srgbClr val="A6A6A6"/>
              </a:solidFill>
              <a:effectLst/>
              <a:uLnTx/>
              <a:uFillTx/>
              <a:latin typeface="Arial"/>
              <a:cs typeface="Arial"/>
            </a:rPr>
            <a:t>HOJA DE TRABAJO SOBRE EL VIENTO MEDIO EN SUPERFICIE</a:t>
          </a:r>
        </a:p>
      </xdr:txBody>
    </xdr:sp>
    <xdr:clientData/>
  </xdr:twoCellAnchor>
  <xdr:twoCellAnchor>
    <xdr:from>
      <xdr:col>0</xdr:col>
      <xdr:colOff>0</xdr:colOff>
      <xdr:row>1</xdr:row>
      <xdr:rowOff>171450</xdr:rowOff>
    </xdr:from>
    <xdr:to>
      <xdr:col>16</xdr:col>
      <xdr:colOff>19050</xdr:colOff>
      <xdr:row>3</xdr:row>
      <xdr:rowOff>163830</xdr:rowOff>
    </xdr:to>
    <xdr:sp macro="" textlink="">
      <xdr:nvSpPr>
        <xdr:cNvPr id="3" name="VMS_t3d_frente">
          <a:extLst>
            <a:ext uri="{FF2B5EF4-FFF2-40B4-BE49-F238E27FC236}">
              <a16:creationId xmlns:a16="http://schemas.microsoft.com/office/drawing/2014/main" id="{00000000-0008-0000-0500-000003000000}"/>
            </a:ext>
          </a:extLst>
        </xdr:cNvPr>
        <xdr:cNvSpPr txBox="1"/>
      </xdr:nvSpPr>
      <xdr:spPr>
        <a:xfrm>
          <a:off x="0" y="349250"/>
          <a:ext cx="6057900" cy="335280"/>
        </a:xfrm>
        <a:prstGeom prst="rect">
          <a:avLst/>
        </a:prstGeom>
        <a:noFill/>
        <a:ln>
          <a:noFill/>
        </a:ln>
      </xdr:spPr>
      <xdr:txBody>
        <a:bodyPr vertOverflow="overflow" vert="horz" wrap="square" lIns="0" tIns="0" rIns="0" bIns="0" rtlCol="0" anchor="ctr">
          <a:noAutofit/>
        </a:bodyPr>
        <a:lstStyle/>
        <a:p>
          <a:pPr algn="ctr"/>
          <a:r>
            <a:rPr kumimoji="0" lang="es-AR" sz="1400" b="1" i="0" u="none" strike="noStrike" kern="0" cap="none" spc="0" normalizeH="0" baseline="0" noProof="0">
              <a:ln>
                <a:noFill/>
              </a:ln>
              <a:solidFill>
                <a:srgbClr val="1F3864"/>
              </a:solidFill>
              <a:effectLst/>
              <a:uLnTx/>
              <a:uFillTx/>
              <a:latin typeface="Arial"/>
              <a:cs typeface="Arial"/>
            </a:rPr>
            <a:t>HOJA DE TRABAJO SOBRE EL VIENTO MEDIO EN SUPERFICIE</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5</xdr:col>
      <xdr:colOff>45720</xdr:colOff>
      <xdr:row>57</xdr:row>
      <xdr:rowOff>30480</xdr:rowOff>
    </xdr:from>
    <xdr:to>
      <xdr:col>8</xdr:col>
      <xdr:colOff>144780</xdr:colOff>
      <xdr:row>57</xdr:row>
      <xdr:rowOff>30480</xdr:rowOff>
    </xdr:to>
    <xdr:sp macro="" textlink="">
      <xdr:nvSpPr>
        <xdr:cNvPr id="11345" name="Line 3">
          <a:extLst>
            <a:ext uri="{FF2B5EF4-FFF2-40B4-BE49-F238E27FC236}">
              <a16:creationId xmlns:a16="http://schemas.microsoft.com/office/drawing/2014/main" id="{00000000-0008-0000-0600-0000512C0000}"/>
            </a:ext>
          </a:extLst>
        </xdr:cNvPr>
        <xdr:cNvSpPr>
          <a:spLocks noChangeShapeType="1"/>
        </xdr:cNvSpPr>
      </xdr:nvSpPr>
      <xdr:spPr bwMode="auto">
        <a:xfrm>
          <a:off x="1935480" y="9585960"/>
          <a:ext cx="124206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12700</xdr:colOff>
      <xdr:row>2</xdr:row>
      <xdr:rowOff>13607</xdr:rowOff>
    </xdr:from>
    <xdr:to>
      <xdr:col>15</xdr:col>
      <xdr:colOff>31206</xdr:colOff>
      <xdr:row>4</xdr:row>
      <xdr:rowOff>11430</xdr:rowOff>
    </xdr:to>
    <xdr:sp macro="" textlink="">
      <xdr:nvSpPr>
        <xdr:cNvPr id="2" name="CTA_t3d_sombra">
          <a:extLst>
            <a:ext uri="{FF2B5EF4-FFF2-40B4-BE49-F238E27FC236}">
              <a16:creationId xmlns:a16="http://schemas.microsoft.com/office/drawing/2014/main" id="{00000000-0008-0000-0600-000002000000}"/>
            </a:ext>
          </a:extLst>
        </xdr:cNvPr>
        <xdr:cNvSpPr txBox="1"/>
      </xdr:nvSpPr>
      <xdr:spPr>
        <a:xfrm>
          <a:off x="12700" y="361950"/>
          <a:ext cx="5494020" cy="335280"/>
        </a:xfrm>
        <a:prstGeom prst="rect">
          <a:avLst/>
        </a:prstGeom>
        <a:noFill/>
        <a:ln>
          <a:noFill/>
        </a:ln>
      </xdr:spPr>
      <xdr:txBody>
        <a:bodyPr vertOverflow="overflow" vert="horz" wrap="square" lIns="0" tIns="0" rIns="0" bIns="0" rtlCol="0" anchor="ctr">
          <a:noAutofit/>
        </a:bodyPr>
        <a:lstStyle/>
        <a:p>
          <a:pPr algn="ctr"/>
          <a:r>
            <a:rPr kumimoji="0" lang="es-AR" sz="1000" b="1" i="0" u="none" strike="noStrike" kern="0" cap="none" spc="0" normalizeH="0" baseline="0" noProof="0">
              <a:ln>
                <a:noFill/>
              </a:ln>
              <a:solidFill>
                <a:srgbClr val="A6A6A6"/>
              </a:solidFill>
              <a:effectLst/>
              <a:uLnTx/>
              <a:uFillTx/>
              <a:latin typeface="Arial"/>
              <a:cs typeface="Arial"/>
            </a:rPr>
            <a:t>HOJA DE TRABAJO SOBRE LA CORRIENTE TOTAL EN EL AGUA (CTA(TWC))</a:t>
          </a:r>
        </a:p>
      </xdr:txBody>
    </xdr:sp>
    <xdr:clientData/>
  </xdr:twoCellAnchor>
  <xdr:twoCellAnchor>
    <xdr:from>
      <xdr:col>0</xdr:col>
      <xdr:colOff>0</xdr:colOff>
      <xdr:row>2</xdr:row>
      <xdr:rowOff>907</xdr:rowOff>
    </xdr:from>
    <xdr:to>
      <xdr:col>15</xdr:col>
      <xdr:colOff>18506</xdr:colOff>
      <xdr:row>3</xdr:row>
      <xdr:rowOff>167459</xdr:rowOff>
    </xdr:to>
    <xdr:sp macro="" textlink="">
      <xdr:nvSpPr>
        <xdr:cNvPr id="3" name="CTA_t3d_frente">
          <a:extLst>
            <a:ext uri="{FF2B5EF4-FFF2-40B4-BE49-F238E27FC236}">
              <a16:creationId xmlns:a16="http://schemas.microsoft.com/office/drawing/2014/main" id="{00000000-0008-0000-0600-000003000000}"/>
            </a:ext>
          </a:extLst>
        </xdr:cNvPr>
        <xdr:cNvSpPr txBox="1"/>
      </xdr:nvSpPr>
      <xdr:spPr>
        <a:xfrm>
          <a:off x="0" y="349250"/>
          <a:ext cx="5494020" cy="335280"/>
        </a:xfrm>
        <a:prstGeom prst="rect">
          <a:avLst/>
        </a:prstGeom>
        <a:noFill/>
        <a:ln>
          <a:noFill/>
        </a:ln>
      </xdr:spPr>
      <xdr:txBody>
        <a:bodyPr vertOverflow="overflow" vert="horz" wrap="square" lIns="0" tIns="0" rIns="0" bIns="0" rtlCol="0" anchor="ctr">
          <a:noAutofit/>
        </a:bodyPr>
        <a:lstStyle/>
        <a:p>
          <a:pPr algn="ctr"/>
          <a:r>
            <a:rPr kumimoji="0" lang="es-AR" sz="1000" b="1" i="0" u="none" strike="noStrike" kern="0" cap="none" spc="0" normalizeH="0" baseline="0" noProof="0">
              <a:ln>
                <a:noFill/>
              </a:ln>
              <a:solidFill>
                <a:srgbClr val="1F3864"/>
              </a:solidFill>
              <a:effectLst/>
              <a:uLnTx/>
              <a:uFillTx/>
              <a:latin typeface="Arial"/>
              <a:cs typeface="Arial"/>
            </a:rPr>
            <a:t>HOJA DE TRABAJO SOBRE LA CORRIENTE TOTAL EN EL AGUA (CTA(TWC))</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12700</xdr:colOff>
      <xdr:row>2</xdr:row>
      <xdr:rowOff>10258</xdr:rowOff>
    </xdr:from>
    <xdr:to>
      <xdr:col>15</xdr:col>
      <xdr:colOff>36146</xdr:colOff>
      <xdr:row>4</xdr:row>
      <xdr:rowOff>5568</xdr:rowOff>
    </xdr:to>
    <xdr:sp macro="" textlink="">
      <xdr:nvSpPr>
        <xdr:cNvPr id="2" name="CA_t3d_sombra">
          <a:extLst>
            <a:ext uri="{FF2B5EF4-FFF2-40B4-BE49-F238E27FC236}">
              <a16:creationId xmlns:a16="http://schemas.microsoft.com/office/drawing/2014/main" id="{00000000-0008-0000-0700-000002000000}"/>
            </a:ext>
          </a:extLst>
        </xdr:cNvPr>
        <xdr:cNvSpPr txBox="1"/>
      </xdr:nvSpPr>
      <xdr:spPr>
        <a:xfrm>
          <a:off x="12700" y="361950"/>
          <a:ext cx="5867400" cy="335280"/>
        </a:xfrm>
        <a:prstGeom prst="rect">
          <a:avLst/>
        </a:prstGeom>
        <a:noFill/>
        <a:ln>
          <a:noFill/>
        </a:ln>
      </xdr:spPr>
      <xdr:txBody>
        <a:bodyPr vertOverflow="overflow" vert="horz" wrap="square" lIns="0" tIns="0" rIns="0" bIns="0" rtlCol="0" anchor="ctr">
          <a:noAutofit/>
        </a:bodyPr>
        <a:lstStyle/>
        <a:p>
          <a:pPr algn="ctr"/>
          <a:r>
            <a:rPr kumimoji="0" lang="es-AR" sz="1000" b="1" i="0" u="none" strike="noStrike" kern="0" cap="none" spc="0" normalizeH="0" baseline="0" noProof="0">
              <a:ln>
                <a:noFill/>
              </a:ln>
              <a:solidFill>
                <a:srgbClr val="A6A6A6"/>
              </a:solidFill>
              <a:effectLst/>
              <a:uLnTx/>
              <a:uFillTx/>
              <a:latin typeface="Arial"/>
              <a:cs typeface="Arial"/>
            </a:rPr>
            <a:t>HOJA DE TRABAJO SOBRE LA CORRIENTE DE ARRASTRE (CA(WC))</a:t>
          </a:r>
        </a:p>
      </xdr:txBody>
    </xdr:sp>
    <xdr:clientData/>
  </xdr:twoCellAnchor>
  <xdr:twoCellAnchor>
    <xdr:from>
      <xdr:col>0</xdr:col>
      <xdr:colOff>0</xdr:colOff>
      <xdr:row>1</xdr:row>
      <xdr:rowOff>173404</xdr:rowOff>
    </xdr:from>
    <xdr:to>
      <xdr:col>15</xdr:col>
      <xdr:colOff>23446</xdr:colOff>
      <xdr:row>3</xdr:row>
      <xdr:rowOff>162853</xdr:rowOff>
    </xdr:to>
    <xdr:sp macro="" textlink="">
      <xdr:nvSpPr>
        <xdr:cNvPr id="3" name="CA_t3d_frente">
          <a:extLst>
            <a:ext uri="{FF2B5EF4-FFF2-40B4-BE49-F238E27FC236}">
              <a16:creationId xmlns:a16="http://schemas.microsoft.com/office/drawing/2014/main" id="{00000000-0008-0000-0700-000003000000}"/>
            </a:ext>
          </a:extLst>
        </xdr:cNvPr>
        <xdr:cNvSpPr txBox="1"/>
      </xdr:nvSpPr>
      <xdr:spPr>
        <a:xfrm>
          <a:off x="0" y="349250"/>
          <a:ext cx="5867400" cy="335280"/>
        </a:xfrm>
        <a:prstGeom prst="rect">
          <a:avLst/>
        </a:prstGeom>
        <a:noFill/>
        <a:ln>
          <a:noFill/>
        </a:ln>
      </xdr:spPr>
      <xdr:txBody>
        <a:bodyPr vertOverflow="overflow" vert="horz" wrap="square" lIns="0" tIns="0" rIns="0" bIns="0" rtlCol="0" anchor="ctr">
          <a:noAutofit/>
        </a:bodyPr>
        <a:lstStyle/>
        <a:p>
          <a:pPr algn="ctr"/>
          <a:r>
            <a:rPr kumimoji="0" lang="es-AR" sz="1000" b="1" i="0" u="none" strike="noStrike" kern="0" cap="none" spc="0" normalizeH="0" baseline="0" noProof="0">
              <a:ln>
                <a:noFill/>
              </a:ln>
              <a:solidFill>
                <a:srgbClr val="1F3864"/>
              </a:solidFill>
              <a:effectLst/>
              <a:uLnTx/>
              <a:uFillTx/>
              <a:latin typeface="Arial"/>
              <a:cs typeface="Arial"/>
            </a:rPr>
            <a:t>HOJA DE TRABAJO SOBRE LA CORRIENTE DE ARRASTRE (CA(WC))</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12700</xdr:colOff>
      <xdr:row>2</xdr:row>
      <xdr:rowOff>10258</xdr:rowOff>
    </xdr:from>
    <xdr:to>
      <xdr:col>15</xdr:col>
      <xdr:colOff>30285</xdr:colOff>
      <xdr:row>4</xdr:row>
      <xdr:rowOff>5568</xdr:rowOff>
    </xdr:to>
    <xdr:sp macro="" textlink="">
      <xdr:nvSpPr>
        <xdr:cNvPr id="2" name="AB_t3d_sombra">
          <a:extLst>
            <a:ext uri="{FF2B5EF4-FFF2-40B4-BE49-F238E27FC236}">
              <a16:creationId xmlns:a16="http://schemas.microsoft.com/office/drawing/2014/main" id="{00000000-0008-0000-0800-000002000000}"/>
            </a:ext>
          </a:extLst>
        </xdr:cNvPr>
        <xdr:cNvSpPr txBox="1"/>
      </xdr:nvSpPr>
      <xdr:spPr>
        <a:xfrm>
          <a:off x="12700" y="361950"/>
          <a:ext cx="5486400" cy="335280"/>
        </a:xfrm>
        <a:prstGeom prst="rect">
          <a:avLst/>
        </a:prstGeom>
        <a:noFill/>
        <a:ln>
          <a:noFill/>
        </a:ln>
      </xdr:spPr>
      <xdr:txBody>
        <a:bodyPr vertOverflow="overflow" vert="horz" wrap="square" lIns="0" tIns="0" rIns="0" bIns="0" rtlCol="0" anchor="ctr">
          <a:noAutofit/>
        </a:bodyPr>
        <a:lstStyle/>
        <a:p>
          <a:pPr algn="ctr"/>
          <a:r>
            <a:rPr kumimoji="0" lang="es-AR" sz="1000" b="1" i="0" u="none" strike="noStrike" kern="0" cap="none" spc="0" normalizeH="0" baseline="0" noProof="0">
              <a:ln>
                <a:noFill/>
              </a:ln>
              <a:solidFill>
                <a:srgbClr val="A6A6A6"/>
              </a:solidFill>
              <a:effectLst/>
              <a:uLnTx/>
              <a:uFillTx/>
              <a:latin typeface="Arial"/>
              <a:cs typeface="Arial"/>
            </a:rPr>
            <a:t>HOJA DE TRABAJO SOBRE EL ABATIMIENTO (AB(LW))</a:t>
          </a:r>
        </a:p>
      </xdr:txBody>
    </xdr:sp>
    <xdr:clientData/>
  </xdr:twoCellAnchor>
  <xdr:twoCellAnchor>
    <xdr:from>
      <xdr:col>0</xdr:col>
      <xdr:colOff>0</xdr:colOff>
      <xdr:row>1</xdr:row>
      <xdr:rowOff>173404</xdr:rowOff>
    </xdr:from>
    <xdr:to>
      <xdr:col>15</xdr:col>
      <xdr:colOff>17585</xdr:colOff>
      <xdr:row>3</xdr:row>
      <xdr:rowOff>162853</xdr:rowOff>
    </xdr:to>
    <xdr:sp macro="" textlink="">
      <xdr:nvSpPr>
        <xdr:cNvPr id="3" name="AB_t3d_frente">
          <a:extLst>
            <a:ext uri="{FF2B5EF4-FFF2-40B4-BE49-F238E27FC236}">
              <a16:creationId xmlns:a16="http://schemas.microsoft.com/office/drawing/2014/main" id="{00000000-0008-0000-0800-000003000000}"/>
            </a:ext>
          </a:extLst>
        </xdr:cNvPr>
        <xdr:cNvSpPr txBox="1"/>
      </xdr:nvSpPr>
      <xdr:spPr>
        <a:xfrm>
          <a:off x="0" y="349250"/>
          <a:ext cx="5486400" cy="335280"/>
        </a:xfrm>
        <a:prstGeom prst="rect">
          <a:avLst/>
        </a:prstGeom>
        <a:noFill/>
        <a:ln>
          <a:noFill/>
        </a:ln>
      </xdr:spPr>
      <xdr:txBody>
        <a:bodyPr vertOverflow="overflow" vert="horz" wrap="square" lIns="0" tIns="0" rIns="0" bIns="0" rtlCol="0" anchor="ctr">
          <a:noAutofit/>
        </a:bodyPr>
        <a:lstStyle/>
        <a:p>
          <a:pPr algn="ctr"/>
          <a:r>
            <a:rPr kumimoji="0" lang="es-AR" sz="1400" b="1" i="0" u="none" strike="noStrike" kern="0" cap="none" spc="0" normalizeH="0" baseline="0" noProof="0">
              <a:ln>
                <a:noFill/>
              </a:ln>
              <a:solidFill>
                <a:srgbClr val="1F3864"/>
              </a:solidFill>
              <a:effectLst/>
              <a:uLnTx/>
              <a:uFillTx/>
              <a:latin typeface="Arial"/>
              <a:cs typeface="Arial"/>
            </a:rPr>
            <a:t>HOJA DE TRABAJO SOBRE EL ABATIMIENTO (AB(</a:t>
          </a:r>
          <a:r>
            <a:rPr kumimoji="0" lang="es-AR" sz="1600" b="1" i="0" u="none" strike="noStrike" kern="0" cap="none" spc="0" normalizeH="0" baseline="0" noProof="0">
              <a:ln>
                <a:noFill/>
              </a:ln>
              <a:solidFill>
                <a:srgbClr val="1F3864"/>
              </a:solidFill>
              <a:effectLst/>
              <a:uLnTx/>
              <a:uFillTx/>
              <a:latin typeface="Arial"/>
              <a:cs typeface="Arial"/>
            </a:rPr>
            <a:t>LW</a:t>
          </a:r>
          <a:r>
            <a:rPr kumimoji="0" lang="es-AR" sz="1400" b="1" i="0" u="none" strike="noStrike" kern="0" cap="none" spc="0" normalizeH="0" baseline="0" noProof="0">
              <a:ln>
                <a:noFill/>
              </a:ln>
              <a:solidFill>
                <a:srgbClr val="1F3864"/>
              </a:solidFill>
              <a:effectLst/>
              <a:uLnTx/>
              <a:uFillTx/>
              <a:latin typeface="Arial"/>
              <a:cs typeface="Arial"/>
            </a:rPr>
            <a:t>))</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16</xdr:col>
      <xdr:colOff>22860</xdr:colOff>
      <xdr:row>32</xdr:row>
      <xdr:rowOff>76200</xdr:rowOff>
    </xdr:from>
    <xdr:to>
      <xdr:col>18</xdr:col>
      <xdr:colOff>30480</xdr:colOff>
      <xdr:row>37</xdr:row>
      <xdr:rowOff>76200</xdr:rowOff>
    </xdr:to>
    <xdr:sp macro="" textlink="">
      <xdr:nvSpPr>
        <xdr:cNvPr id="10404" name="Line 2">
          <a:extLst>
            <a:ext uri="{FF2B5EF4-FFF2-40B4-BE49-F238E27FC236}">
              <a16:creationId xmlns:a16="http://schemas.microsoft.com/office/drawing/2014/main" id="{00000000-0008-0000-0900-0000A4280000}"/>
            </a:ext>
          </a:extLst>
        </xdr:cNvPr>
        <xdr:cNvSpPr>
          <a:spLocks noChangeShapeType="1"/>
        </xdr:cNvSpPr>
      </xdr:nvSpPr>
      <xdr:spPr bwMode="auto">
        <a:xfrm flipH="1" flipV="1">
          <a:off x="3802380" y="5433060"/>
          <a:ext cx="480060" cy="83820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6</xdr:col>
      <xdr:colOff>76200</xdr:colOff>
      <xdr:row>32</xdr:row>
      <xdr:rowOff>60960</xdr:rowOff>
    </xdr:from>
    <xdr:to>
      <xdr:col>9</xdr:col>
      <xdr:colOff>137160</xdr:colOff>
      <xdr:row>38</xdr:row>
      <xdr:rowOff>76200</xdr:rowOff>
    </xdr:to>
    <xdr:sp macro="" textlink="">
      <xdr:nvSpPr>
        <xdr:cNvPr id="10405" name="Line 3">
          <a:extLst>
            <a:ext uri="{FF2B5EF4-FFF2-40B4-BE49-F238E27FC236}">
              <a16:creationId xmlns:a16="http://schemas.microsoft.com/office/drawing/2014/main" id="{00000000-0008-0000-0900-0000A5280000}"/>
            </a:ext>
          </a:extLst>
        </xdr:cNvPr>
        <xdr:cNvSpPr>
          <a:spLocks noChangeShapeType="1"/>
        </xdr:cNvSpPr>
      </xdr:nvSpPr>
      <xdr:spPr bwMode="auto">
        <a:xfrm flipV="1">
          <a:off x="1493520" y="5417820"/>
          <a:ext cx="769620" cy="102108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mc:AlternateContent xmlns:mc="http://schemas.openxmlformats.org/markup-compatibility/2006">
    <mc:Choice xmlns:a14="http://schemas.microsoft.com/office/drawing/2010/main" Requires="a14">
      <xdr:twoCellAnchor editAs="oneCell">
        <xdr:from>
          <xdr:col>3</xdr:col>
          <xdr:colOff>121920</xdr:colOff>
          <xdr:row>27</xdr:row>
          <xdr:rowOff>144780</xdr:rowOff>
        </xdr:from>
        <xdr:to>
          <xdr:col>22</xdr:col>
          <xdr:colOff>213360</xdr:colOff>
          <xdr:row>36</xdr:row>
          <xdr:rowOff>99060</xdr:rowOff>
        </xdr:to>
        <xdr:sp macro="" textlink="">
          <xdr:nvSpPr>
            <xdr:cNvPr id="10241" name="Object 1" hidden="1">
              <a:extLst>
                <a:ext uri="{63B3BB69-23CF-44E3-9099-C40C66FF867C}">
                  <a14:compatExt spid="_x0000_s10241"/>
                </a:ext>
                <a:ext uri="{FF2B5EF4-FFF2-40B4-BE49-F238E27FC236}">
                  <a16:creationId xmlns:a16="http://schemas.microsoft.com/office/drawing/2014/main" id="{00000000-0008-0000-0900-0000012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0</xdr:col>
      <xdr:colOff>12700</xdr:colOff>
      <xdr:row>2</xdr:row>
      <xdr:rowOff>6350</xdr:rowOff>
    </xdr:from>
    <xdr:to>
      <xdr:col>26</xdr:col>
      <xdr:colOff>39370</xdr:colOff>
      <xdr:row>4</xdr:row>
      <xdr:rowOff>10160</xdr:rowOff>
    </xdr:to>
    <xdr:sp macro="" textlink="">
      <xdr:nvSpPr>
        <xdr:cNvPr id="2" name="CM_t3d_sombra">
          <a:extLst>
            <a:ext uri="{FF2B5EF4-FFF2-40B4-BE49-F238E27FC236}">
              <a16:creationId xmlns:a16="http://schemas.microsoft.com/office/drawing/2014/main" id="{00000000-0008-0000-0900-000002000000}"/>
            </a:ext>
          </a:extLst>
        </xdr:cNvPr>
        <xdr:cNvSpPr txBox="1"/>
      </xdr:nvSpPr>
      <xdr:spPr>
        <a:xfrm>
          <a:off x="12700" y="361950"/>
          <a:ext cx="6560820" cy="327660"/>
        </a:xfrm>
        <a:prstGeom prst="rect">
          <a:avLst/>
        </a:prstGeom>
        <a:noFill/>
        <a:ln>
          <a:noFill/>
        </a:ln>
      </xdr:spPr>
      <xdr:txBody>
        <a:bodyPr vertOverflow="overflow" vert="horz" wrap="square" lIns="0" tIns="0" rIns="0" bIns="0" rtlCol="0" anchor="ctr">
          <a:noAutofit/>
        </a:bodyPr>
        <a:lstStyle/>
        <a:p>
          <a:pPr algn="ctr"/>
          <a:r>
            <a:rPr kumimoji="0" lang="es-AR" sz="1000" b="1" i="0" u="none" strike="noStrike" kern="0" cap="none" spc="0" normalizeH="0" baseline="0" noProof="0">
              <a:ln>
                <a:noFill/>
              </a:ln>
              <a:solidFill>
                <a:srgbClr val="A6A6A6"/>
              </a:solidFill>
              <a:effectLst/>
              <a:uLnTx/>
              <a:uFillTx/>
              <a:latin typeface="Arial"/>
              <a:cs typeface="Arial"/>
            </a:rPr>
            <a:t>HOJA DE TRABAJO SOBRE LA CORRIENTE DE MAREA PARA LA PUBLICACION H-610</a:t>
          </a:r>
        </a:p>
      </xdr:txBody>
    </xdr:sp>
    <xdr:clientData/>
  </xdr:twoCellAnchor>
  <xdr:twoCellAnchor>
    <xdr:from>
      <xdr:col>0</xdr:col>
      <xdr:colOff>0</xdr:colOff>
      <xdr:row>1</xdr:row>
      <xdr:rowOff>171450</xdr:rowOff>
    </xdr:from>
    <xdr:to>
      <xdr:col>26</xdr:col>
      <xdr:colOff>26670</xdr:colOff>
      <xdr:row>3</xdr:row>
      <xdr:rowOff>162560</xdr:rowOff>
    </xdr:to>
    <xdr:sp macro="" textlink="">
      <xdr:nvSpPr>
        <xdr:cNvPr id="3" name="CM_t3d_frente">
          <a:extLst>
            <a:ext uri="{FF2B5EF4-FFF2-40B4-BE49-F238E27FC236}">
              <a16:creationId xmlns:a16="http://schemas.microsoft.com/office/drawing/2014/main" id="{00000000-0008-0000-0900-000003000000}"/>
            </a:ext>
          </a:extLst>
        </xdr:cNvPr>
        <xdr:cNvSpPr txBox="1"/>
      </xdr:nvSpPr>
      <xdr:spPr>
        <a:xfrm>
          <a:off x="0" y="349250"/>
          <a:ext cx="6560820" cy="327660"/>
        </a:xfrm>
        <a:prstGeom prst="rect">
          <a:avLst/>
        </a:prstGeom>
        <a:noFill/>
        <a:ln>
          <a:noFill/>
        </a:ln>
      </xdr:spPr>
      <xdr:txBody>
        <a:bodyPr vertOverflow="overflow" vert="horz" wrap="square" lIns="0" tIns="0" rIns="0" bIns="0" rtlCol="0" anchor="ctr">
          <a:noAutofit/>
        </a:bodyPr>
        <a:lstStyle/>
        <a:p>
          <a:pPr algn="ctr"/>
          <a:r>
            <a:rPr kumimoji="0" lang="es-AR" sz="1000" b="1" i="0" u="none" strike="noStrike" kern="0" cap="none" spc="0" normalizeH="0" baseline="0" noProof="0">
              <a:ln>
                <a:noFill/>
              </a:ln>
              <a:solidFill>
                <a:srgbClr val="1F3864"/>
              </a:solidFill>
              <a:effectLst/>
              <a:uLnTx/>
              <a:uFillTx/>
              <a:latin typeface="Arial"/>
              <a:cs typeface="Arial"/>
            </a:rPr>
            <a:t>HOJA DE TRABAJO SOBRE LA CORRIENTE DE MAREA PARA LA PUBLICACION H-610</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1</xdr:col>
      <xdr:colOff>101210</xdr:colOff>
      <xdr:row>1</xdr:row>
      <xdr:rowOff>108146</xdr:rowOff>
    </xdr:from>
    <xdr:to>
      <xdr:col>13</xdr:col>
      <xdr:colOff>334695</xdr:colOff>
      <xdr:row>4</xdr:row>
      <xdr:rowOff>95250</xdr:rowOff>
    </xdr:to>
    <xdr:sp macro="" textlink="">
      <xdr:nvSpPr>
        <xdr:cNvPr id="2" name="E_t3d_sombra">
          <a:extLst>
            <a:ext uri="{FF2B5EF4-FFF2-40B4-BE49-F238E27FC236}">
              <a16:creationId xmlns:a16="http://schemas.microsoft.com/office/drawing/2014/main" id="{00000000-0008-0000-0A00-000002000000}"/>
            </a:ext>
          </a:extLst>
        </xdr:cNvPr>
        <xdr:cNvSpPr txBox="1"/>
      </xdr:nvSpPr>
      <xdr:spPr>
        <a:xfrm>
          <a:off x="488072" y="283992"/>
          <a:ext cx="4940300" cy="502920"/>
        </a:xfrm>
        <a:prstGeom prst="rect">
          <a:avLst/>
        </a:prstGeom>
        <a:noFill/>
        <a:ln>
          <a:noFill/>
        </a:ln>
      </xdr:spPr>
      <xdr:txBody>
        <a:bodyPr vertOverflow="overflow" vert="horz" wrap="square" lIns="0" tIns="0" rIns="0" bIns="0" rtlCol="0" anchor="ctr">
          <a:noAutofit/>
        </a:bodyPr>
        <a:lstStyle/>
        <a:p>
          <a:pPr algn="ctr"/>
          <a:r>
            <a:rPr kumimoji="0" lang="es-AR" sz="1200" b="1" i="0" u="none" strike="noStrike" kern="0" cap="none" spc="0" normalizeH="0" baseline="0" noProof="0">
              <a:ln>
                <a:noFill/>
              </a:ln>
              <a:solidFill>
                <a:srgbClr val="A6A6A6"/>
              </a:solidFill>
              <a:effectLst/>
              <a:uLnTx/>
              <a:uFillTx/>
              <a:latin typeface="Arial"/>
              <a:cs typeface="Arial"/>
            </a:rPr>
            <a:t>HOJA DE TRABAJO SOBRE EL ERROR TOTAL PROBABLE DE LA POSICION (E) PARA ENTORNOS TERRESTRES Y MARINOS</a:t>
          </a:r>
        </a:p>
      </xdr:txBody>
    </xdr:sp>
    <xdr:clientData/>
  </xdr:twoCellAnchor>
  <xdr:twoCellAnchor>
    <xdr:from>
      <xdr:col>0</xdr:col>
      <xdr:colOff>288388</xdr:colOff>
      <xdr:row>1</xdr:row>
      <xdr:rowOff>120651</xdr:rowOff>
    </xdr:from>
    <xdr:to>
      <xdr:col>14</xdr:col>
      <xdr:colOff>195190</xdr:colOff>
      <xdr:row>4</xdr:row>
      <xdr:rowOff>107755</xdr:rowOff>
    </xdr:to>
    <xdr:sp macro="" textlink="">
      <xdr:nvSpPr>
        <xdr:cNvPr id="3" name="E_t3d_frente">
          <a:extLst>
            <a:ext uri="{FF2B5EF4-FFF2-40B4-BE49-F238E27FC236}">
              <a16:creationId xmlns:a16="http://schemas.microsoft.com/office/drawing/2014/main" id="{00000000-0008-0000-0A00-000003000000}"/>
            </a:ext>
          </a:extLst>
        </xdr:cNvPr>
        <xdr:cNvSpPr txBox="1"/>
      </xdr:nvSpPr>
      <xdr:spPr>
        <a:xfrm>
          <a:off x="288388" y="296497"/>
          <a:ext cx="5387340" cy="502920"/>
        </a:xfrm>
        <a:prstGeom prst="rect">
          <a:avLst/>
        </a:prstGeom>
        <a:noFill/>
        <a:ln>
          <a:noFill/>
        </a:ln>
      </xdr:spPr>
      <xdr:txBody>
        <a:bodyPr vertOverflow="overflow" vert="horz" wrap="square" lIns="0" tIns="0" rIns="0" bIns="0" rtlCol="0" anchor="ctr">
          <a:noAutofit/>
        </a:bodyPr>
        <a:lstStyle/>
        <a:p>
          <a:pPr algn="ctr"/>
          <a:r>
            <a:rPr kumimoji="0" lang="es-AR" sz="1200" b="1" i="0" u="none" strike="noStrike" kern="0" cap="none" spc="0" normalizeH="0" baseline="0" noProof="0">
              <a:ln>
                <a:noFill/>
              </a:ln>
              <a:solidFill>
                <a:srgbClr val="1F3864"/>
              </a:solidFill>
              <a:effectLst/>
              <a:uLnTx/>
              <a:uFillTx/>
              <a:latin typeface="Arial"/>
              <a:cs typeface="Arial"/>
            </a:rPr>
            <a:t>HOJA DE TRABAJO SOBRE EL ERROR TOTAL PROBABLE DE LA POSICION (E) PARA ENTORNOS TERRESTRES Y MARINOS</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0</xdr:colOff>
      <xdr:row>1</xdr:row>
      <xdr:rowOff>173404</xdr:rowOff>
    </xdr:from>
    <xdr:to>
      <xdr:col>19</xdr:col>
      <xdr:colOff>15826</xdr:colOff>
      <xdr:row>3</xdr:row>
      <xdr:rowOff>162853</xdr:rowOff>
    </xdr:to>
    <xdr:sp macro="" textlink="">
      <xdr:nvSpPr>
        <xdr:cNvPr id="4" name="Ztd_t3d_mask">
          <a:extLst>
            <a:ext uri="{FF2B5EF4-FFF2-40B4-BE49-F238E27FC236}">
              <a16:creationId xmlns:a16="http://schemas.microsoft.com/office/drawing/2014/main" id="{00000000-0008-0000-0B00-000004000000}"/>
            </a:ext>
          </a:extLst>
        </xdr:cNvPr>
        <xdr:cNvSpPr txBox="1"/>
      </xdr:nvSpPr>
      <xdr:spPr>
        <a:xfrm>
          <a:off x="0" y="349250"/>
          <a:ext cx="5478780" cy="335280"/>
        </a:xfrm>
        <a:prstGeom prst="rect">
          <a:avLst/>
        </a:prstGeom>
        <a:solidFill>
          <a:srgbClr val="87CEEB"/>
        </a:solidFill>
        <a:ln>
          <a:noFill/>
        </a:ln>
      </xdr:spPr>
      <xdr:txBody>
        <a:bodyPr vertOverflow="overflow" vert="horz" wrap="square" rtlCol="0" anchor="t">
          <a:spAutoFit/>
        </a:bodyPr>
        <a:lstStyle/>
        <a:p>
          <a:pPr algn="l"/>
          <a:endParaRPr lang="es-AR"/>
        </a:p>
      </xdr:txBody>
    </xdr:sp>
    <xdr:clientData/>
  </xdr:twoCellAnchor>
  <xdr:twoCellAnchor>
    <xdr:from>
      <xdr:col>0</xdr:col>
      <xdr:colOff>165101</xdr:colOff>
      <xdr:row>1</xdr:row>
      <xdr:rowOff>151773</xdr:rowOff>
    </xdr:from>
    <xdr:to>
      <xdr:col>17</xdr:col>
      <xdr:colOff>103415</xdr:colOff>
      <xdr:row>3</xdr:row>
      <xdr:rowOff>141640</xdr:rowOff>
    </xdr:to>
    <xdr:sp macro="" textlink="">
      <xdr:nvSpPr>
        <xdr:cNvPr id="2" name="Ztd_t3d_sombra">
          <a:extLst>
            <a:ext uri="{FF2B5EF4-FFF2-40B4-BE49-F238E27FC236}">
              <a16:creationId xmlns:a16="http://schemas.microsoft.com/office/drawing/2014/main" id="{00000000-0008-0000-0B00-000002000000}"/>
            </a:ext>
          </a:extLst>
        </xdr:cNvPr>
        <xdr:cNvSpPr txBox="1"/>
      </xdr:nvSpPr>
      <xdr:spPr>
        <a:xfrm>
          <a:off x="165101" y="325944"/>
          <a:ext cx="4826000" cy="332767"/>
        </a:xfrm>
        <a:prstGeom prst="rect">
          <a:avLst/>
        </a:prstGeom>
        <a:noFill/>
        <a:ln>
          <a:noFill/>
        </a:ln>
      </xdr:spPr>
      <xdr:txBody>
        <a:bodyPr vertOverflow="overflow" vert="horz" wrap="square" lIns="0" tIns="0" rIns="0" bIns="0" rtlCol="0" anchor="ctr">
          <a:noAutofit/>
        </a:bodyPr>
        <a:lstStyle/>
        <a:p>
          <a:pPr algn="ctr"/>
          <a:r>
            <a:rPr kumimoji="0" lang="es-AR" sz="1200" b="1" i="0" u="none" strike="noStrike" kern="0" cap="none" spc="0" normalizeH="0" baseline="0" noProof="0">
              <a:ln>
                <a:noFill/>
              </a:ln>
              <a:solidFill>
                <a:srgbClr val="A6A6A6"/>
              </a:solidFill>
              <a:effectLst/>
              <a:uLnTx/>
              <a:uFillTx/>
              <a:latin typeface="Arial"/>
              <a:cs typeface="Arial"/>
            </a:rPr>
            <a:t>HOJA DE TRABAJO SOBRE EL ESFUERZO TOTAL DISPONIBLE PARA LA BÚSQUEDA (Ztd)</a:t>
          </a:r>
        </a:p>
      </xdr:txBody>
    </xdr:sp>
    <xdr:clientData/>
  </xdr:twoCellAnchor>
  <xdr:twoCellAnchor>
    <xdr:from>
      <xdr:col>0</xdr:col>
      <xdr:colOff>146957</xdr:colOff>
      <xdr:row>1</xdr:row>
      <xdr:rowOff>134718</xdr:rowOff>
    </xdr:from>
    <xdr:to>
      <xdr:col>17</xdr:col>
      <xdr:colOff>157842</xdr:colOff>
      <xdr:row>3</xdr:row>
      <xdr:rowOff>124585</xdr:rowOff>
    </xdr:to>
    <xdr:sp macro="" textlink="">
      <xdr:nvSpPr>
        <xdr:cNvPr id="3" name="Ztd_t3d_frente">
          <a:extLst>
            <a:ext uri="{FF2B5EF4-FFF2-40B4-BE49-F238E27FC236}">
              <a16:creationId xmlns:a16="http://schemas.microsoft.com/office/drawing/2014/main" id="{00000000-0008-0000-0B00-000003000000}"/>
            </a:ext>
          </a:extLst>
        </xdr:cNvPr>
        <xdr:cNvSpPr txBox="1"/>
      </xdr:nvSpPr>
      <xdr:spPr>
        <a:xfrm>
          <a:off x="146957" y="308889"/>
          <a:ext cx="4898571" cy="332767"/>
        </a:xfrm>
        <a:prstGeom prst="rect">
          <a:avLst/>
        </a:prstGeom>
        <a:noFill/>
        <a:ln>
          <a:noFill/>
        </a:ln>
      </xdr:spPr>
      <xdr:txBody>
        <a:bodyPr vertOverflow="overflow" vert="horz" wrap="square" lIns="0" tIns="0" rIns="0" bIns="0" rtlCol="0" anchor="ctr">
          <a:noAutofit/>
        </a:bodyPr>
        <a:lstStyle/>
        <a:p>
          <a:pPr algn="ctr"/>
          <a:r>
            <a:rPr kumimoji="0" lang="es-AR" sz="1200" b="1" i="0" u="none" strike="noStrike" kern="0" cap="none" spc="0" normalizeH="0" baseline="0" noProof="0">
              <a:ln>
                <a:noFill/>
              </a:ln>
              <a:solidFill>
                <a:srgbClr val="1F3864"/>
              </a:solidFill>
              <a:effectLst/>
              <a:uLnTx/>
              <a:uFillTx/>
              <a:latin typeface="Arial"/>
              <a:cs typeface="Arial"/>
            </a:rPr>
            <a:t>HOJA DE TRABAJO SOBRE EL ESFUERZO TOTAL DISPONIBLE PARA LA BÚSQUEDA (Ztd)</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12700</xdr:colOff>
      <xdr:row>2</xdr:row>
      <xdr:rowOff>15586</xdr:rowOff>
    </xdr:from>
    <xdr:to>
      <xdr:col>21</xdr:col>
      <xdr:colOff>23784</xdr:colOff>
      <xdr:row>4</xdr:row>
      <xdr:rowOff>18357</xdr:rowOff>
    </xdr:to>
    <xdr:sp macro="" textlink="">
      <xdr:nvSpPr>
        <xdr:cNvPr id="2" name="HTDMD_t3d_sombra">
          <a:extLst>
            <a:ext uri="{FF2B5EF4-FFF2-40B4-BE49-F238E27FC236}">
              <a16:creationId xmlns:a16="http://schemas.microsoft.com/office/drawing/2014/main" id="{00000000-0008-0000-0C00-000002000000}"/>
            </a:ext>
          </a:extLst>
        </xdr:cNvPr>
        <xdr:cNvSpPr txBox="1"/>
      </xdr:nvSpPr>
      <xdr:spPr>
        <a:xfrm>
          <a:off x="12700" y="361950"/>
          <a:ext cx="6446520" cy="335280"/>
        </a:xfrm>
        <a:prstGeom prst="rect">
          <a:avLst/>
        </a:prstGeom>
        <a:noFill/>
        <a:ln>
          <a:noFill/>
        </a:ln>
      </xdr:spPr>
      <xdr:txBody>
        <a:bodyPr vertOverflow="overflow" vert="horz" wrap="square" lIns="0" tIns="0" rIns="0" bIns="0" rtlCol="0" anchor="ctr">
          <a:noAutofit/>
        </a:bodyPr>
        <a:lstStyle/>
        <a:p>
          <a:pPr algn="ctr"/>
          <a:r>
            <a:rPr kumimoji="0" lang="es-AR" sz="1400" b="1" i="0" u="none" strike="noStrike" kern="0" cap="none" spc="0" normalizeH="0" baseline="0" noProof="0">
              <a:ln>
                <a:noFill/>
              </a:ln>
              <a:solidFill>
                <a:srgbClr val="A6A6A6"/>
              </a:solidFill>
              <a:effectLst/>
              <a:uLnTx/>
              <a:uFillTx/>
              <a:latin typeface="Arial"/>
              <a:cs typeface="Arial"/>
            </a:rPr>
            <a:t>HOJA DE TRABAJO SOBRE DATUM MUY DIVERGENTES</a:t>
          </a:r>
        </a:p>
      </xdr:txBody>
    </xdr:sp>
    <xdr:clientData/>
  </xdr:twoCellAnchor>
  <xdr:twoCellAnchor>
    <xdr:from>
      <xdr:col>0</xdr:col>
      <xdr:colOff>13855</xdr:colOff>
      <xdr:row>2</xdr:row>
      <xdr:rowOff>51378</xdr:rowOff>
    </xdr:from>
    <xdr:to>
      <xdr:col>21</xdr:col>
      <xdr:colOff>24939</xdr:colOff>
      <xdr:row>4</xdr:row>
      <xdr:rowOff>54149</xdr:rowOff>
    </xdr:to>
    <xdr:sp macro="" textlink="">
      <xdr:nvSpPr>
        <xdr:cNvPr id="3" name="HTDMD_t3d_frente">
          <a:extLst>
            <a:ext uri="{FF2B5EF4-FFF2-40B4-BE49-F238E27FC236}">
              <a16:creationId xmlns:a16="http://schemas.microsoft.com/office/drawing/2014/main" id="{00000000-0008-0000-0C00-000003000000}"/>
            </a:ext>
          </a:extLst>
        </xdr:cNvPr>
        <xdr:cNvSpPr txBox="1"/>
      </xdr:nvSpPr>
      <xdr:spPr>
        <a:xfrm>
          <a:off x="13855" y="397742"/>
          <a:ext cx="6446520" cy="335280"/>
        </a:xfrm>
        <a:prstGeom prst="rect">
          <a:avLst/>
        </a:prstGeom>
        <a:noFill/>
        <a:ln>
          <a:noFill/>
        </a:ln>
      </xdr:spPr>
      <xdr:txBody>
        <a:bodyPr vertOverflow="overflow" vert="horz" wrap="square" lIns="0" tIns="0" rIns="0" bIns="0" rtlCol="0" anchor="ctr">
          <a:noAutofit/>
        </a:bodyPr>
        <a:lstStyle/>
        <a:p>
          <a:pPr algn="ctr"/>
          <a:r>
            <a:rPr kumimoji="0" lang="es-AR" sz="1400" b="1" i="0" u="none" strike="noStrike" kern="0" cap="none" spc="0" normalizeH="0" baseline="0" noProof="0">
              <a:ln>
                <a:noFill/>
              </a:ln>
              <a:solidFill>
                <a:srgbClr val="1F3864"/>
              </a:solidFill>
              <a:effectLst/>
              <a:uLnTx/>
              <a:uFillTx/>
              <a:latin typeface="Arial"/>
              <a:cs typeface="Arial"/>
            </a:rPr>
            <a:t>HOJA DE TRABAJO SOBRE DATUM MUY DIVERGENTES</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1</xdr:col>
      <xdr:colOff>76200</xdr:colOff>
      <xdr:row>1</xdr:row>
      <xdr:rowOff>139700</xdr:rowOff>
    </xdr:from>
    <xdr:to>
      <xdr:col>16</xdr:col>
      <xdr:colOff>69850</xdr:colOff>
      <xdr:row>4</xdr:row>
      <xdr:rowOff>134620</xdr:rowOff>
    </xdr:to>
    <xdr:sp macro="" textlink="">
      <xdr:nvSpPr>
        <xdr:cNvPr id="2" name="HTAE_t3d_sombra">
          <a:extLst>
            <a:ext uri="{FF2B5EF4-FFF2-40B4-BE49-F238E27FC236}">
              <a16:creationId xmlns:a16="http://schemas.microsoft.com/office/drawing/2014/main" id="{00000000-0008-0000-0D00-000002000000}"/>
            </a:ext>
          </a:extLst>
        </xdr:cNvPr>
        <xdr:cNvSpPr txBox="1"/>
      </xdr:nvSpPr>
      <xdr:spPr>
        <a:xfrm>
          <a:off x="463550" y="317500"/>
          <a:ext cx="5060950" cy="502920"/>
        </a:xfrm>
        <a:prstGeom prst="rect">
          <a:avLst/>
        </a:prstGeom>
        <a:noFill/>
        <a:ln>
          <a:noFill/>
        </a:ln>
      </xdr:spPr>
      <xdr:txBody>
        <a:bodyPr vertOverflow="overflow" vert="horz" wrap="square" lIns="0" tIns="0" rIns="0" bIns="0" rtlCol="0" anchor="ctr">
          <a:noAutofit/>
        </a:bodyPr>
        <a:lstStyle/>
        <a:p>
          <a:pPr algn="ctr"/>
          <a:r>
            <a:rPr kumimoji="0" lang="es-AR" sz="1200" b="1" i="0" u="none" strike="noStrike" kern="0" cap="none" spc="0" normalizeH="0" baseline="0" noProof="0">
              <a:ln>
                <a:noFill/>
              </a:ln>
              <a:solidFill>
                <a:srgbClr val="A6A6A6"/>
              </a:solidFill>
              <a:effectLst/>
              <a:uLnTx/>
              <a:uFillTx/>
              <a:latin typeface="Arial"/>
              <a:cs typeface="Arial"/>
            </a:rPr>
            <a:t>HOJA DE TRABAJO SOBRE LA ASIGNACION DE ESFUERZOS PARA LA BUSQUEDA OPTIMA CON UN PUNTO UNICO, DIVERGENCIA DE ABATIMIENTO O LINEAS DE REFERENCIA</a:t>
          </a:r>
        </a:p>
      </xdr:txBody>
    </xdr:sp>
    <xdr:clientData/>
  </xdr:twoCellAnchor>
  <xdr:twoCellAnchor>
    <xdr:from>
      <xdr:col>1</xdr:col>
      <xdr:colOff>38100</xdr:colOff>
      <xdr:row>1</xdr:row>
      <xdr:rowOff>152400</xdr:rowOff>
    </xdr:from>
    <xdr:to>
      <xdr:col>17</xdr:col>
      <xdr:colOff>25400</xdr:colOff>
      <xdr:row>4</xdr:row>
      <xdr:rowOff>147320</xdr:rowOff>
    </xdr:to>
    <xdr:sp macro="" textlink="">
      <xdr:nvSpPr>
        <xdr:cNvPr id="3" name="HTAE_t3d_frente">
          <a:extLst>
            <a:ext uri="{FF2B5EF4-FFF2-40B4-BE49-F238E27FC236}">
              <a16:creationId xmlns:a16="http://schemas.microsoft.com/office/drawing/2014/main" id="{00000000-0008-0000-0D00-000003000000}"/>
            </a:ext>
          </a:extLst>
        </xdr:cNvPr>
        <xdr:cNvSpPr txBox="1"/>
      </xdr:nvSpPr>
      <xdr:spPr>
        <a:xfrm>
          <a:off x="425450" y="330200"/>
          <a:ext cx="5130800" cy="502920"/>
        </a:xfrm>
        <a:prstGeom prst="rect">
          <a:avLst/>
        </a:prstGeom>
        <a:noFill/>
        <a:ln>
          <a:noFill/>
        </a:ln>
      </xdr:spPr>
      <xdr:txBody>
        <a:bodyPr vertOverflow="overflow" vert="horz" wrap="square" lIns="0" tIns="0" rIns="0" bIns="0" rtlCol="0" anchor="ctr">
          <a:noAutofit/>
        </a:bodyPr>
        <a:lstStyle/>
        <a:p>
          <a:pPr algn="ctr"/>
          <a:r>
            <a:rPr kumimoji="0" lang="es-AR" sz="1200" b="1" i="0" u="none" strike="noStrike" kern="0" cap="none" spc="0" normalizeH="0" baseline="0" noProof="0">
              <a:ln>
                <a:noFill/>
              </a:ln>
              <a:solidFill>
                <a:srgbClr val="1F3864"/>
              </a:solidFill>
              <a:effectLst/>
              <a:uLnTx/>
              <a:uFillTx/>
              <a:latin typeface="Arial"/>
              <a:cs typeface="Arial"/>
            </a:rPr>
            <a:t>HOJA DE TRABAJO SOBRE LA ASIGNACION DE ESFUERZOS PARA LA BUSQUEDA OPTIMA CONUN PUNTO UNICO, DIVERGENCIA DE ABATIMIENTO O LINEAS DE REFERENCIA</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1</xdr:col>
      <xdr:colOff>139700</xdr:colOff>
      <xdr:row>2</xdr:row>
      <xdr:rowOff>6350</xdr:rowOff>
    </xdr:from>
    <xdr:to>
      <xdr:col>17</xdr:col>
      <xdr:colOff>19050</xdr:colOff>
      <xdr:row>5</xdr:row>
      <xdr:rowOff>13970</xdr:rowOff>
    </xdr:to>
    <xdr:sp macro="" textlink="">
      <xdr:nvSpPr>
        <xdr:cNvPr id="2" name="HTAE2_t3d_sombra">
          <a:extLst>
            <a:ext uri="{FF2B5EF4-FFF2-40B4-BE49-F238E27FC236}">
              <a16:creationId xmlns:a16="http://schemas.microsoft.com/office/drawing/2014/main" id="{00000000-0008-0000-0E00-000002000000}"/>
            </a:ext>
          </a:extLst>
        </xdr:cNvPr>
        <xdr:cNvSpPr txBox="1"/>
      </xdr:nvSpPr>
      <xdr:spPr>
        <a:xfrm>
          <a:off x="527050" y="361950"/>
          <a:ext cx="5086350" cy="502920"/>
        </a:xfrm>
        <a:prstGeom prst="rect">
          <a:avLst/>
        </a:prstGeom>
        <a:noFill/>
        <a:ln>
          <a:noFill/>
        </a:ln>
      </xdr:spPr>
      <xdr:txBody>
        <a:bodyPr vertOverflow="overflow" vert="horz" wrap="square" lIns="0" tIns="0" rIns="0" bIns="0" rtlCol="0" anchor="ctr">
          <a:noAutofit/>
        </a:bodyPr>
        <a:lstStyle/>
        <a:p>
          <a:pPr algn="ctr"/>
          <a:r>
            <a:rPr kumimoji="0" lang="es-AR" sz="1200" b="1" i="0" u="none" strike="noStrike" kern="0" cap="none" spc="0" normalizeH="0" baseline="0" noProof="0">
              <a:ln>
                <a:noFill/>
              </a:ln>
              <a:solidFill>
                <a:srgbClr val="A6A6A6"/>
              </a:solidFill>
              <a:effectLst/>
              <a:uLnTx/>
              <a:uFillTx/>
              <a:latin typeface="Arial"/>
              <a:cs typeface="Arial"/>
            </a:rPr>
            <a:t>HOJA DE TRABAJO SOBRE LA ASIGNACION DE ESFUERZOS PARA LA BUSQUEDA OPTIMA CON UN PUNTO UNICO, DIVERGENCIA DE ABATIMIENTO O LINEAS DE REFERENCIA</a:t>
          </a:r>
        </a:p>
      </xdr:txBody>
    </xdr:sp>
    <xdr:clientData/>
  </xdr:twoCellAnchor>
  <xdr:twoCellAnchor>
    <xdr:from>
      <xdr:col>1</xdr:col>
      <xdr:colOff>120650</xdr:colOff>
      <xdr:row>2</xdr:row>
      <xdr:rowOff>25400</xdr:rowOff>
    </xdr:from>
    <xdr:to>
      <xdr:col>17</xdr:col>
      <xdr:colOff>50800</xdr:colOff>
      <xdr:row>5</xdr:row>
      <xdr:rowOff>33020</xdr:rowOff>
    </xdr:to>
    <xdr:sp macro="" textlink="">
      <xdr:nvSpPr>
        <xdr:cNvPr id="3" name="HTAE2_t3d_frente">
          <a:extLst>
            <a:ext uri="{FF2B5EF4-FFF2-40B4-BE49-F238E27FC236}">
              <a16:creationId xmlns:a16="http://schemas.microsoft.com/office/drawing/2014/main" id="{00000000-0008-0000-0E00-000003000000}"/>
            </a:ext>
          </a:extLst>
        </xdr:cNvPr>
        <xdr:cNvSpPr txBox="1"/>
      </xdr:nvSpPr>
      <xdr:spPr>
        <a:xfrm>
          <a:off x="508000" y="381000"/>
          <a:ext cx="5137150" cy="502920"/>
        </a:xfrm>
        <a:prstGeom prst="rect">
          <a:avLst/>
        </a:prstGeom>
        <a:noFill/>
        <a:ln>
          <a:noFill/>
        </a:ln>
      </xdr:spPr>
      <xdr:txBody>
        <a:bodyPr vertOverflow="overflow" vert="horz" wrap="square" lIns="0" tIns="0" rIns="0" bIns="0" rtlCol="0" anchor="ctr">
          <a:noAutofit/>
        </a:bodyPr>
        <a:lstStyle/>
        <a:p>
          <a:pPr algn="ctr"/>
          <a:r>
            <a:rPr kumimoji="0" lang="es-AR" sz="1200" b="1" i="0" u="none" strike="noStrike" kern="0" cap="none" spc="0" normalizeH="0" baseline="0" noProof="0">
              <a:ln>
                <a:noFill/>
              </a:ln>
              <a:solidFill>
                <a:srgbClr val="1F3864"/>
              </a:solidFill>
              <a:effectLst/>
              <a:uLnTx/>
              <a:uFillTx/>
              <a:latin typeface="Arial"/>
              <a:cs typeface="Arial"/>
            </a:rPr>
            <a:t>HOJA DE TRABAJO SOBRE LA ASIGNACION DE ESFUERZOS PARA LA BUSQUEDA OPTIMA CON UN PUNTO UNICO, DIVERGENCIA DE ABATIMIENTO O LINEAS DE REFERENCIA</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309880</xdr:colOff>
      <xdr:row>2</xdr:row>
      <xdr:rowOff>33118</xdr:rowOff>
    </xdr:from>
    <xdr:to>
      <xdr:col>17</xdr:col>
      <xdr:colOff>329223</xdr:colOff>
      <xdr:row>4</xdr:row>
      <xdr:rowOff>28428</xdr:rowOff>
    </xdr:to>
    <xdr:sp macro="" textlink="">
      <xdr:nvSpPr>
        <xdr:cNvPr id="2" name="Suma Vect_t3d_sombra">
          <a:extLst>
            <a:ext uri="{FF2B5EF4-FFF2-40B4-BE49-F238E27FC236}">
              <a16:creationId xmlns:a16="http://schemas.microsoft.com/office/drawing/2014/main" id="{00000000-0008-0000-0F00-000002000000}"/>
            </a:ext>
          </a:extLst>
        </xdr:cNvPr>
        <xdr:cNvSpPr txBox="1"/>
      </xdr:nvSpPr>
      <xdr:spPr>
        <a:xfrm>
          <a:off x="309880" y="384810"/>
          <a:ext cx="6332220" cy="335280"/>
        </a:xfrm>
        <a:prstGeom prst="rect">
          <a:avLst/>
        </a:prstGeom>
        <a:noFill/>
        <a:ln>
          <a:noFill/>
        </a:ln>
      </xdr:spPr>
      <xdr:txBody>
        <a:bodyPr vertOverflow="overflow" vert="horz" wrap="square" lIns="0" tIns="0" rIns="0" bIns="0" rtlCol="0" anchor="ctr">
          <a:noAutofit/>
        </a:bodyPr>
        <a:lstStyle/>
        <a:p>
          <a:pPr algn="ctr"/>
          <a:r>
            <a:rPr kumimoji="0" lang="es-AR" sz="1400" b="1" i="0" u="none" strike="noStrike" kern="0" cap="none" spc="0" normalizeH="0" baseline="0" noProof="0">
              <a:ln>
                <a:noFill/>
              </a:ln>
              <a:solidFill>
                <a:srgbClr val="A6A6A6"/>
              </a:solidFill>
              <a:effectLst/>
              <a:uLnTx/>
              <a:uFillTx/>
              <a:latin typeface="Arial"/>
              <a:cs typeface="Arial"/>
            </a:rPr>
            <a:t>HOJA DE HERRAMIENTA PARA SUMA VECTORIAL</a:t>
          </a:r>
        </a:p>
      </xdr:txBody>
    </xdr:sp>
    <xdr:clientData/>
  </xdr:twoCellAnchor>
  <xdr:twoCellAnchor>
    <xdr:from>
      <xdr:col>0</xdr:col>
      <xdr:colOff>320040</xdr:colOff>
      <xdr:row>2</xdr:row>
      <xdr:rowOff>66138</xdr:rowOff>
    </xdr:from>
    <xdr:to>
      <xdr:col>17</xdr:col>
      <xdr:colOff>339383</xdr:colOff>
      <xdr:row>4</xdr:row>
      <xdr:rowOff>61448</xdr:rowOff>
    </xdr:to>
    <xdr:sp macro="" textlink="">
      <xdr:nvSpPr>
        <xdr:cNvPr id="3" name="Suma Vect_t3d_frente">
          <a:extLst>
            <a:ext uri="{FF2B5EF4-FFF2-40B4-BE49-F238E27FC236}">
              <a16:creationId xmlns:a16="http://schemas.microsoft.com/office/drawing/2014/main" id="{00000000-0008-0000-0F00-000003000000}"/>
            </a:ext>
          </a:extLst>
        </xdr:cNvPr>
        <xdr:cNvSpPr txBox="1"/>
      </xdr:nvSpPr>
      <xdr:spPr>
        <a:xfrm>
          <a:off x="320040" y="417830"/>
          <a:ext cx="6332220" cy="335280"/>
        </a:xfrm>
        <a:prstGeom prst="rect">
          <a:avLst/>
        </a:prstGeom>
        <a:noFill/>
        <a:ln>
          <a:noFill/>
        </a:ln>
      </xdr:spPr>
      <xdr:txBody>
        <a:bodyPr vertOverflow="overflow" vert="horz" wrap="square" lIns="0" tIns="0" rIns="0" bIns="0" rtlCol="0" anchor="ctr">
          <a:noAutofit/>
        </a:bodyPr>
        <a:lstStyle/>
        <a:p>
          <a:pPr algn="ctr"/>
          <a:r>
            <a:rPr kumimoji="0" lang="es-AR" sz="1400" b="1" i="0" u="none" strike="noStrike" kern="0" cap="none" spc="0" normalizeH="0" baseline="0" noProof="0">
              <a:ln>
                <a:noFill/>
              </a:ln>
              <a:solidFill>
                <a:srgbClr val="1F3864"/>
              </a:solidFill>
              <a:effectLst/>
              <a:uLnTx/>
              <a:uFillTx/>
              <a:latin typeface="Arial"/>
              <a:cs typeface="Arial"/>
            </a:rPr>
            <a:t>HOJA DE HERRAMIENTA PARA SUMA VECTORIAL</a:t>
          </a:r>
        </a:p>
      </xdr:txBody>
    </xdr:sp>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5">
    <wetp:webextensionref xmlns:r="http://schemas.openxmlformats.org/officeDocument/2006/relationships" r:id="rId1"/>
  </wetp:taskpane>
</wetp:taskpanes>
</file>

<file path=xl/webextensions/webextension1.xml><?xml version="1.0" encoding="utf-8"?>
<we:webextension xmlns:we="http://schemas.microsoft.com/office/webextensions/webextension/2010/11" id="{0D71B9AA-8CDA-424B-B96A-B431A2D79A95}">
  <we:reference id="wa200009404" version="1.0.0.8" store="en-US" storeType="OMEX"/>
  <we:alternateReferences>
    <we:reference id="wa200009404" version="1.0.0.8" store="en-US" storeType="OMEX"/>
  </we:alternateReferences>
  <we:properties>
    <we:property name="claude.fileId" value="&quot;52515930-6c50-47bf-8789-d83959dcf20f&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7.bin"/><Relationship Id="rId4" Type="http://schemas.openxmlformats.org/officeDocument/2006/relationships/comments" Target="../comments3.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7.xml"/><Relationship Id="rId1" Type="http://schemas.openxmlformats.org/officeDocument/2006/relationships/printerSettings" Target="../printerSettings/printerSettings9.bin"/><Relationship Id="rId5" Type="http://schemas.openxmlformats.org/officeDocument/2006/relationships/image" Target="../media/image3.emf"/><Relationship Id="rId4" Type="http://schemas.openxmlformats.org/officeDocument/2006/relationships/oleObject" Target="../embeddings/oleObject1.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0.xml"/><Relationship Id="rId1" Type="http://schemas.openxmlformats.org/officeDocument/2006/relationships/printerSettings" Target="../printerSettings/printerSettings12.bin"/><Relationship Id="rId4" Type="http://schemas.openxmlformats.org/officeDocument/2006/relationships/comments" Target="../comments4.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1.xml"/><Relationship Id="rId1" Type="http://schemas.openxmlformats.org/officeDocument/2006/relationships/printerSettings" Target="../printerSettings/printerSettings13.bin"/><Relationship Id="rId4" Type="http://schemas.openxmlformats.org/officeDocument/2006/relationships/comments" Target="../comments5.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2.xml"/><Relationship Id="rId1" Type="http://schemas.openxmlformats.org/officeDocument/2006/relationships/printerSettings" Target="../printerSettings/printerSettings14.bin"/><Relationship Id="rId4" Type="http://schemas.openxmlformats.org/officeDocument/2006/relationships/comments" Target="../comments6.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7"/>
  <dimension ref="A1:Q212"/>
  <sheetViews>
    <sheetView zoomScale="140" zoomScaleNormal="140" zoomScaleSheetLayoutView="120" workbookViewId="0">
      <selection activeCell="H36" sqref="H36"/>
    </sheetView>
  </sheetViews>
  <sheetFormatPr baseColWidth="10" defaultRowHeight="13.2"/>
  <cols>
    <col min="7" max="7" width="13" customWidth="1"/>
    <col min="8" max="8" width="6.6640625" customWidth="1"/>
  </cols>
  <sheetData>
    <row r="1" spans="1:17" ht="13.8" thickTop="1">
      <c r="A1" s="93"/>
      <c r="B1" s="94"/>
      <c r="C1" s="94"/>
      <c r="D1" s="94"/>
      <c r="E1" s="94"/>
      <c r="F1" s="94"/>
      <c r="G1" s="95"/>
      <c r="H1" s="20"/>
      <c r="I1" s="20"/>
      <c r="J1" s="20"/>
      <c r="K1" s="20"/>
      <c r="L1" s="20"/>
      <c r="M1" s="20"/>
      <c r="N1" s="20"/>
      <c r="O1" s="20"/>
      <c r="P1" s="20"/>
      <c r="Q1" s="20"/>
    </row>
    <row r="2" spans="1:17">
      <c r="A2" s="96"/>
      <c r="B2" s="97"/>
      <c r="C2" s="97"/>
      <c r="D2" s="98" t="s">
        <v>357</v>
      </c>
      <c r="E2" s="97"/>
      <c r="F2" s="97"/>
      <c r="G2" s="99"/>
      <c r="H2" s="20"/>
      <c r="I2" s="20"/>
      <c r="J2" s="20"/>
      <c r="K2" s="20"/>
      <c r="L2" s="20"/>
      <c r="M2" s="20"/>
      <c r="N2" s="20"/>
      <c r="O2" s="20"/>
      <c r="P2" s="20"/>
      <c r="Q2" s="20"/>
    </row>
    <row r="3" spans="1:17">
      <c r="A3" s="96"/>
      <c r="B3" s="97"/>
      <c r="C3" s="97"/>
      <c r="D3" s="97"/>
      <c r="E3" s="97"/>
      <c r="F3" s="97"/>
      <c r="G3" s="99"/>
      <c r="H3" s="20"/>
      <c r="I3" s="20"/>
      <c r="J3" s="20"/>
      <c r="K3" s="20"/>
      <c r="L3" s="20"/>
      <c r="M3" s="20"/>
      <c r="N3" s="20"/>
      <c r="O3" s="20"/>
      <c r="P3" s="20"/>
      <c r="Q3" s="20"/>
    </row>
    <row r="4" spans="1:17">
      <c r="A4" s="96" t="s">
        <v>358</v>
      </c>
      <c r="B4" s="97"/>
      <c r="C4" s="97"/>
      <c r="D4" s="97"/>
      <c r="E4" s="97"/>
      <c r="F4" s="97"/>
      <c r="G4" s="99"/>
      <c r="H4" s="20"/>
      <c r="I4" s="20"/>
      <c r="J4" s="20"/>
      <c r="K4" s="20"/>
      <c r="L4" s="20"/>
      <c r="M4" s="20"/>
      <c r="N4" s="20"/>
      <c r="O4" s="20"/>
      <c r="P4" s="20"/>
      <c r="Q4" s="20"/>
    </row>
    <row r="5" spans="1:17">
      <c r="A5" s="96"/>
      <c r="B5" s="97"/>
      <c r="C5" s="97"/>
      <c r="D5" s="97"/>
      <c r="E5" s="97"/>
      <c r="F5" s="97"/>
      <c r="G5" s="99"/>
      <c r="H5" s="20"/>
      <c r="I5" s="20"/>
      <c r="J5" s="20"/>
      <c r="K5" s="20"/>
      <c r="L5" s="20"/>
      <c r="M5" s="20"/>
      <c r="N5" s="20"/>
      <c r="O5" s="20"/>
      <c r="P5" s="20"/>
      <c r="Q5" s="20"/>
    </row>
    <row r="6" spans="1:17">
      <c r="A6" s="96" t="s">
        <v>472</v>
      </c>
      <c r="B6" s="97"/>
      <c r="C6" s="97"/>
      <c r="D6" s="97"/>
      <c r="E6" s="97"/>
      <c r="F6" s="97"/>
      <c r="G6" s="99"/>
      <c r="H6" s="20"/>
      <c r="I6" s="20"/>
      <c r="J6" s="20"/>
      <c r="K6" s="20"/>
      <c r="L6" s="20"/>
      <c r="M6" s="20"/>
      <c r="N6" s="20"/>
      <c r="O6" s="20"/>
      <c r="P6" s="20"/>
      <c r="Q6" s="20"/>
    </row>
    <row r="7" spans="1:17">
      <c r="A7" s="96" t="s">
        <v>480</v>
      </c>
      <c r="B7" s="97"/>
      <c r="C7" s="97"/>
      <c r="D7" s="97"/>
      <c r="E7" s="97"/>
      <c r="F7" s="97"/>
      <c r="G7" s="99"/>
      <c r="H7" s="20"/>
      <c r="I7" s="20"/>
      <c r="J7" s="20"/>
      <c r="K7" s="20"/>
      <c r="L7" s="20"/>
      <c r="M7" s="20"/>
      <c r="N7" s="20"/>
      <c r="O7" s="20"/>
      <c r="P7" s="20"/>
      <c r="Q7" s="20"/>
    </row>
    <row r="8" spans="1:17">
      <c r="A8" s="96" t="s">
        <v>481</v>
      </c>
      <c r="B8" s="97"/>
      <c r="C8" s="97"/>
      <c r="D8" s="97"/>
      <c r="E8" s="97"/>
      <c r="F8" s="97"/>
      <c r="G8" s="99"/>
      <c r="H8" s="20"/>
      <c r="I8" s="20"/>
      <c r="J8" s="20"/>
      <c r="K8" s="20"/>
      <c r="L8" s="20"/>
      <c r="M8" s="20"/>
      <c r="N8" s="20"/>
      <c r="O8" s="20"/>
      <c r="P8" s="20"/>
      <c r="Q8" s="20"/>
    </row>
    <row r="9" spans="1:17">
      <c r="A9" s="96"/>
      <c r="B9" s="97"/>
      <c r="C9" s="97"/>
      <c r="D9" s="97"/>
      <c r="E9" s="97"/>
      <c r="F9" s="97"/>
      <c r="G9" s="99"/>
      <c r="H9" s="20"/>
      <c r="I9" s="20"/>
      <c r="J9" s="20"/>
      <c r="K9" s="20"/>
      <c r="L9" s="20"/>
      <c r="M9" s="20"/>
      <c r="N9" s="20"/>
      <c r="O9" s="20"/>
      <c r="P9" s="20"/>
      <c r="Q9" s="20"/>
    </row>
    <row r="10" spans="1:17">
      <c r="A10" s="96" t="s">
        <v>479</v>
      </c>
      <c r="B10" s="97"/>
      <c r="C10" s="97"/>
      <c r="D10" s="97"/>
      <c r="E10" s="97"/>
      <c r="F10" s="97"/>
      <c r="G10" s="99"/>
      <c r="H10" s="20"/>
      <c r="I10" s="20"/>
      <c r="J10" s="20"/>
      <c r="K10" s="20"/>
      <c r="L10" s="20"/>
      <c r="M10" s="20"/>
      <c r="N10" s="20"/>
      <c r="O10" s="20"/>
      <c r="P10" s="20"/>
      <c r="Q10" s="20"/>
    </row>
    <row r="11" spans="1:17">
      <c r="A11" s="96" t="s">
        <v>474</v>
      </c>
      <c r="B11" s="97"/>
      <c r="C11" s="97"/>
      <c r="D11" s="97"/>
      <c r="E11" s="97"/>
      <c r="F11" s="97"/>
      <c r="G11" s="99"/>
      <c r="H11" s="20"/>
      <c r="I11" s="20"/>
      <c r="J11" s="20"/>
      <c r="K11" s="20"/>
      <c r="L11" s="20"/>
      <c r="M11" s="20"/>
      <c r="N11" s="20"/>
      <c r="O11" s="20"/>
      <c r="P11" s="20"/>
      <c r="Q11" s="20"/>
    </row>
    <row r="12" spans="1:17">
      <c r="A12" s="96" t="s">
        <v>475</v>
      </c>
      <c r="B12" s="97"/>
      <c r="C12" s="97"/>
      <c r="D12" s="97"/>
      <c r="E12" s="97"/>
      <c r="F12" s="97"/>
      <c r="G12" s="99"/>
      <c r="H12" s="20"/>
      <c r="I12" s="20"/>
      <c r="J12" s="20"/>
      <c r="K12" s="20"/>
      <c r="L12" s="20"/>
      <c r="M12" s="20"/>
      <c r="N12" s="20"/>
      <c r="O12" s="20"/>
      <c r="P12" s="20"/>
      <c r="Q12" s="20"/>
    </row>
    <row r="13" spans="1:17">
      <c r="A13" s="96"/>
      <c r="B13" s="97"/>
      <c r="C13" s="97"/>
      <c r="D13" s="97"/>
      <c r="E13" s="97"/>
      <c r="F13" s="97"/>
      <c r="G13" s="99"/>
      <c r="H13" s="20"/>
      <c r="I13" s="20"/>
      <c r="J13" s="20"/>
      <c r="K13" s="20"/>
      <c r="L13" s="20"/>
      <c r="M13" s="20"/>
      <c r="N13" s="20"/>
      <c r="O13" s="20"/>
      <c r="P13" s="20"/>
      <c r="Q13" s="20"/>
    </row>
    <row r="14" spans="1:17">
      <c r="A14" s="96" t="s">
        <v>485</v>
      </c>
      <c r="B14" s="97"/>
      <c r="C14" s="97"/>
      <c r="D14" s="97"/>
      <c r="E14" s="97"/>
      <c r="F14" s="97"/>
      <c r="G14" s="99"/>
      <c r="H14" s="20"/>
      <c r="I14" s="20"/>
      <c r="J14" s="20"/>
      <c r="K14" s="20"/>
      <c r="L14" s="20"/>
      <c r="M14" s="20"/>
      <c r="N14" s="20"/>
      <c r="O14" s="20"/>
      <c r="P14" s="20"/>
      <c r="Q14" s="20"/>
    </row>
    <row r="15" spans="1:17">
      <c r="A15" s="96" t="s">
        <v>598</v>
      </c>
      <c r="B15" s="97"/>
      <c r="C15" s="97"/>
      <c r="D15" s="97"/>
      <c r="E15" s="97"/>
      <c r="F15" s="97"/>
      <c r="G15" s="99"/>
      <c r="H15" s="20"/>
      <c r="I15" s="20"/>
      <c r="J15" s="20"/>
      <c r="K15" s="20"/>
      <c r="L15" s="20"/>
      <c r="M15" s="20"/>
      <c r="N15" s="20"/>
      <c r="O15" s="20"/>
      <c r="P15" s="20"/>
      <c r="Q15" s="20"/>
    </row>
    <row r="16" spans="1:17">
      <c r="A16" s="96" t="s">
        <v>482</v>
      </c>
      <c r="B16" s="97"/>
      <c r="C16" s="97"/>
      <c r="D16" s="97"/>
      <c r="E16" s="97"/>
      <c r="F16" s="97"/>
      <c r="G16" s="99"/>
      <c r="H16" s="20"/>
      <c r="I16" s="20"/>
      <c r="J16" s="20"/>
      <c r="K16" s="20"/>
      <c r="L16" s="20"/>
      <c r="M16" s="20"/>
      <c r="N16" s="20"/>
      <c r="O16" s="20"/>
      <c r="P16" s="20"/>
      <c r="Q16" s="20"/>
    </row>
    <row r="17" spans="1:17">
      <c r="A17" s="96"/>
      <c r="B17" s="97"/>
      <c r="C17" s="97"/>
      <c r="D17" s="97"/>
      <c r="E17" s="97"/>
      <c r="F17" s="97"/>
      <c r="G17" s="99"/>
      <c r="H17" s="20"/>
      <c r="I17" s="20"/>
      <c r="J17" s="20"/>
      <c r="K17" s="20"/>
      <c r="L17" s="20"/>
      <c r="M17" s="20"/>
      <c r="N17" s="20"/>
      <c r="O17" s="20"/>
      <c r="P17" s="20"/>
      <c r="Q17" s="20"/>
    </row>
    <row r="18" spans="1:17">
      <c r="A18" s="96" t="s">
        <v>483</v>
      </c>
      <c r="B18" s="97"/>
      <c r="C18" s="97"/>
      <c r="D18" s="97"/>
      <c r="E18" s="97"/>
      <c r="F18" s="97"/>
      <c r="G18" s="99"/>
      <c r="H18" s="20"/>
      <c r="I18" s="20"/>
      <c r="J18" s="20"/>
      <c r="K18" s="20"/>
      <c r="L18" s="20"/>
      <c r="M18" s="20"/>
      <c r="N18" s="20"/>
      <c r="O18" s="20"/>
      <c r="P18" s="20"/>
      <c r="Q18" s="20"/>
    </row>
    <row r="19" spans="1:17">
      <c r="A19" s="96" t="s">
        <v>599</v>
      </c>
      <c r="B19" s="97"/>
      <c r="C19" s="97"/>
      <c r="D19" s="97"/>
      <c r="E19" s="97"/>
      <c r="F19" s="97"/>
      <c r="G19" s="99"/>
      <c r="H19" s="20"/>
      <c r="I19" s="20"/>
      <c r="J19" s="20"/>
      <c r="K19" s="20"/>
      <c r="L19" s="20"/>
      <c r="M19" s="20"/>
      <c r="N19" s="20"/>
      <c r="O19" s="20"/>
      <c r="P19" s="20"/>
      <c r="Q19" s="20"/>
    </row>
    <row r="20" spans="1:17">
      <c r="A20" s="96"/>
      <c r="B20" s="97"/>
      <c r="C20" s="97"/>
      <c r="D20" s="97"/>
      <c r="E20" s="97"/>
      <c r="F20" s="97"/>
      <c r="G20" s="99"/>
      <c r="H20" s="20"/>
      <c r="I20" s="20"/>
      <c r="J20" s="20"/>
      <c r="K20" s="20"/>
      <c r="L20" s="20"/>
      <c r="M20" s="20"/>
      <c r="N20" s="20"/>
      <c r="O20" s="20"/>
      <c r="P20" s="20"/>
      <c r="Q20" s="20"/>
    </row>
    <row r="21" spans="1:17">
      <c r="A21" s="96" t="s">
        <v>594</v>
      </c>
      <c r="B21" s="97"/>
      <c r="C21" s="97"/>
      <c r="D21" s="97"/>
      <c r="E21" s="97"/>
      <c r="F21" s="97"/>
      <c r="G21" s="99"/>
      <c r="H21" s="20"/>
      <c r="I21" s="20"/>
      <c r="J21" s="20"/>
      <c r="K21" s="20"/>
      <c r="L21" s="20"/>
      <c r="M21" s="20"/>
      <c r="N21" s="20"/>
      <c r="O21" s="20"/>
      <c r="P21" s="20"/>
      <c r="Q21" s="20"/>
    </row>
    <row r="22" spans="1:17">
      <c r="A22" s="96" t="s">
        <v>595</v>
      </c>
      <c r="B22" s="97"/>
      <c r="C22" s="97"/>
      <c r="D22" s="97"/>
      <c r="E22" s="97"/>
      <c r="F22" s="97"/>
      <c r="G22" s="99"/>
      <c r="H22" s="20"/>
      <c r="I22" s="20"/>
      <c r="J22" s="20"/>
      <c r="K22" s="20"/>
      <c r="L22" s="20"/>
      <c r="M22" s="20"/>
      <c r="N22" s="20"/>
      <c r="O22" s="20"/>
      <c r="P22" s="20"/>
      <c r="Q22" s="20"/>
    </row>
    <row r="23" spans="1:17">
      <c r="A23" s="96"/>
      <c r="B23" s="97"/>
      <c r="C23" s="97"/>
      <c r="D23" s="97"/>
      <c r="E23" s="97"/>
      <c r="F23" s="97"/>
      <c r="G23" s="99"/>
      <c r="H23" s="20"/>
      <c r="I23" s="20"/>
      <c r="J23" s="20"/>
      <c r="K23" s="20"/>
      <c r="L23" s="20"/>
      <c r="M23" s="20"/>
      <c r="N23" s="20"/>
      <c r="O23" s="20"/>
      <c r="P23" s="20"/>
      <c r="Q23" s="20"/>
    </row>
    <row r="24" spans="1:17">
      <c r="A24" s="96" t="s">
        <v>601</v>
      </c>
      <c r="B24" s="97"/>
      <c r="C24" s="97"/>
      <c r="D24" s="97"/>
      <c r="E24" s="97"/>
      <c r="F24" s="97"/>
      <c r="G24" s="99"/>
      <c r="H24" s="20"/>
      <c r="I24" s="20"/>
      <c r="J24" s="20"/>
      <c r="K24" s="20"/>
      <c r="L24" s="20"/>
      <c r="M24" s="20"/>
      <c r="N24" s="20"/>
      <c r="O24" s="20"/>
      <c r="P24" s="20"/>
      <c r="Q24" s="20"/>
    </row>
    <row r="25" spans="1:17">
      <c r="A25" s="96" t="s">
        <v>596</v>
      </c>
      <c r="B25" s="97"/>
      <c r="C25" s="97"/>
      <c r="D25" s="97"/>
      <c r="E25" s="97"/>
      <c r="F25" s="97"/>
      <c r="G25" s="99"/>
      <c r="H25" s="20"/>
      <c r="I25" s="20"/>
      <c r="J25" s="20"/>
      <c r="K25" s="20"/>
      <c r="L25" s="20"/>
      <c r="M25" s="20"/>
      <c r="N25" s="20"/>
      <c r="O25" s="20"/>
      <c r="P25" s="20"/>
      <c r="Q25" s="20"/>
    </row>
    <row r="26" spans="1:17">
      <c r="A26" s="96" t="s">
        <v>597</v>
      </c>
      <c r="B26" s="97"/>
      <c r="C26" s="97"/>
      <c r="D26" s="97"/>
      <c r="E26" s="97"/>
      <c r="F26" s="97"/>
      <c r="G26" s="99"/>
      <c r="H26" s="20"/>
      <c r="I26" s="20"/>
      <c r="J26" s="20"/>
      <c r="K26" s="20"/>
      <c r="L26" s="20"/>
      <c r="M26" s="20"/>
      <c r="N26" s="20"/>
      <c r="O26" s="20"/>
      <c r="P26" s="20"/>
      <c r="Q26" s="20"/>
    </row>
    <row r="27" spans="1:17">
      <c r="A27" s="96" t="s">
        <v>600</v>
      </c>
      <c r="B27" s="97"/>
      <c r="C27" s="97"/>
      <c r="D27" s="97"/>
      <c r="E27" s="97"/>
      <c r="F27" s="97"/>
      <c r="G27" s="99"/>
      <c r="H27" s="20"/>
      <c r="I27" s="20"/>
      <c r="J27" s="20"/>
      <c r="K27" s="20"/>
      <c r="L27" s="20"/>
      <c r="M27" s="20"/>
      <c r="N27" s="20"/>
      <c r="O27" s="20"/>
      <c r="P27" s="20"/>
      <c r="Q27" s="20"/>
    </row>
    <row r="28" spans="1:17">
      <c r="A28" s="96"/>
      <c r="B28" s="97"/>
      <c r="C28" s="97"/>
      <c r="D28" s="97"/>
      <c r="E28" s="97"/>
      <c r="F28" s="97"/>
      <c r="G28" s="99"/>
      <c r="H28" s="20"/>
      <c r="I28" s="20"/>
      <c r="J28" s="20"/>
      <c r="K28" s="20"/>
      <c r="L28" s="20"/>
      <c r="M28" s="20"/>
      <c r="N28" s="20"/>
      <c r="O28" s="20"/>
      <c r="P28" s="20"/>
      <c r="Q28" s="20"/>
    </row>
    <row r="29" spans="1:17">
      <c r="A29" s="96" t="s">
        <v>476</v>
      </c>
      <c r="B29" s="97"/>
      <c r="C29" s="97"/>
      <c r="D29" s="97"/>
      <c r="E29" s="97"/>
      <c r="F29" s="97"/>
      <c r="G29" s="99"/>
      <c r="H29" s="20"/>
      <c r="I29" s="20"/>
      <c r="J29" s="20"/>
      <c r="K29" s="20"/>
      <c r="L29" s="20"/>
      <c r="M29" s="20"/>
      <c r="N29" s="20"/>
      <c r="O29" s="20"/>
      <c r="P29" s="20"/>
      <c r="Q29" s="20"/>
    </row>
    <row r="30" spans="1:17">
      <c r="A30" s="96" t="s">
        <v>477</v>
      </c>
      <c r="B30" s="97"/>
      <c r="C30" s="97"/>
      <c r="D30" s="97"/>
      <c r="E30" s="97"/>
      <c r="F30" s="97"/>
      <c r="G30" s="99"/>
      <c r="H30" s="20"/>
      <c r="I30" s="20"/>
      <c r="J30" s="20"/>
      <c r="K30" s="20"/>
      <c r="L30" s="20"/>
      <c r="M30" s="20"/>
      <c r="N30" s="20"/>
      <c r="O30" s="20"/>
      <c r="P30" s="20"/>
      <c r="Q30" s="20"/>
    </row>
    <row r="31" spans="1:17">
      <c r="A31" s="96" t="s">
        <v>484</v>
      </c>
      <c r="B31" s="97"/>
      <c r="C31" s="97"/>
      <c r="D31" s="97"/>
      <c r="E31" s="97"/>
      <c r="F31" s="97"/>
      <c r="G31" s="99"/>
      <c r="H31" s="20"/>
      <c r="I31" s="20"/>
      <c r="J31" s="20"/>
      <c r="K31" s="20"/>
      <c r="L31" s="20"/>
      <c r="M31" s="20"/>
      <c r="N31" s="20"/>
      <c r="O31" s="20"/>
      <c r="P31" s="20"/>
      <c r="Q31" s="20"/>
    </row>
    <row r="32" spans="1:17">
      <c r="A32" s="96" t="s">
        <v>467</v>
      </c>
      <c r="B32" s="97"/>
      <c r="C32" s="97"/>
      <c r="D32" s="97"/>
      <c r="E32" s="97"/>
      <c r="F32" s="97"/>
      <c r="G32" s="99"/>
      <c r="H32" s="20"/>
      <c r="I32" s="20"/>
      <c r="J32" s="20"/>
      <c r="K32" s="20"/>
      <c r="L32" s="20"/>
      <c r="M32" s="20"/>
      <c r="N32" s="20"/>
      <c r="O32" s="20"/>
      <c r="P32" s="20"/>
      <c r="Q32" s="20"/>
    </row>
    <row r="33" spans="1:17">
      <c r="A33" s="96"/>
      <c r="B33" s="97"/>
      <c r="C33" s="97"/>
      <c r="D33" s="97"/>
      <c r="E33" s="97"/>
      <c r="F33" s="97"/>
      <c r="G33" s="99"/>
      <c r="H33" s="20"/>
      <c r="I33" s="20"/>
      <c r="J33" s="20"/>
      <c r="K33" s="20"/>
      <c r="L33" s="20"/>
      <c r="M33" s="20"/>
      <c r="N33" s="20"/>
      <c r="O33" s="20"/>
      <c r="P33" s="20"/>
      <c r="Q33" s="20"/>
    </row>
    <row r="34" spans="1:17">
      <c r="A34" s="96"/>
      <c r="B34" s="97"/>
      <c r="C34" s="97"/>
      <c r="D34" s="97"/>
      <c r="E34" s="97"/>
      <c r="F34" s="97"/>
      <c r="G34" s="99"/>
      <c r="H34" s="20"/>
      <c r="I34" s="20"/>
      <c r="J34" s="20"/>
      <c r="K34" s="20"/>
      <c r="L34" s="20"/>
      <c r="M34" s="20"/>
      <c r="N34" s="20"/>
      <c r="O34" s="20"/>
      <c r="P34" s="20"/>
      <c r="Q34" s="20"/>
    </row>
    <row r="35" spans="1:17">
      <c r="A35" s="96"/>
      <c r="B35" s="97"/>
      <c r="C35" s="97"/>
      <c r="D35" s="97"/>
      <c r="E35" s="97"/>
      <c r="F35" s="97"/>
      <c r="G35" s="99"/>
      <c r="H35" s="20"/>
      <c r="I35" s="20"/>
      <c r="J35" s="20"/>
      <c r="K35" s="20"/>
      <c r="L35" s="20"/>
      <c r="M35" s="20"/>
      <c r="N35" s="20"/>
      <c r="O35" s="20"/>
      <c r="P35" s="20"/>
      <c r="Q35" s="20"/>
    </row>
    <row r="36" spans="1:17" ht="13.8" thickBot="1">
      <c r="A36" s="21"/>
      <c r="B36" s="22"/>
      <c r="C36" s="22"/>
      <c r="D36" s="22"/>
      <c r="E36" s="22"/>
      <c r="F36" s="22"/>
      <c r="G36" s="23"/>
      <c r="H36" s="44" t="s">
        <v>337</v>
      </c>
      <c r="I36" s="20"/>
      <c r="J36" s="20"/>
      <c r="K36" s="20"/>
      <c r="L36" s="20"/>
      <c r="M36" s="20"/>
      <c r="N36" s="20"/>
      <c r="O36" s="20"/>
      <c r="P36" s="20"/>
      <c r="Q36" s="20"/>
    </row>
    <row r="37" spans="1:17" ht="13.8" thickTop="1">
      <c r="A37" s="20"/>
      <c r="B37" s="20"/>
      <c r="C37" s="20"/>
      <c r="D37" s="20"/>
      <c r="E37" s="20"/>
      <c r="F37" s="20"/>
      <c r="G37" s="20"/>
      <c r="H37" s="20"/>
      <c r="I37" s="20"/>
      <c r="J37" s="20"/>
      <c r="K37" s="20"/>
      <c r="L37" s="20"/>
      <c r="M37" s="20"/>
      <c r="N37" s="20"/>
      <c r="O37" s="20"/>
      <c r="P37" s="20"/>
      <c r="Q37" s="20"/>
    </row>
    <row r="38" spans="1:17">
      <c r="A38" s="20"/>
      <c r="B38" s="20"/>
      <c r="C38" s="20"/>
      <c r="D38" s="20"/>
      <c r="E38" s="20"/>
      <c r="F38" s="20"/>
      <c r="G38" s="20"/>
      <c r="H38" s="20"/>
      <c r="I38" s="20"/>
      <c r="J38" s="20"/>
      <c r="K38" s="20"/>
      <c r="L38" s="20"/>
      <c r="M38" s="20"/>
      <c r="N38" s="20"/>
      <c r="O38" s="20"/>
      <c r="P38" s="20"/>
      <c r="Q38" s="20"/>
    </row>
    <row r="39" spans="1:17">
      <c r="A39" s="20"/>
      <c r="B39" s="20"/>
      <c r="C39" s="20"/>
      <c r="D39" s="20"/>
      <c r="E39" s="20"/>
      <c r="F39" s="20"/>
      <c r="G39" s="20"/>
      <c r="H39" s="20"/>
      <c r="I39" s="20"/>
      <c r="J39" s="20"/>
      <c r="K39" s="20"/>
      <c r="L39" s="20"/>
      <c r="M39" s="20"/>
      <c r="N39" s="20"/>
      <c r="O39" s="20"/>
      <c r="P39" s="20"/>
      <c r="Q39" s="20"/>
    </row>
    <row r="40" spans="1:17">
      <c r="A40" s="20"/>
      <c r="B40" s="20"/>
      <c r="C40" s="20"/>
      <c r="D40" s="20"/>
      <c r="E40" s="20"/>
      <c r="F40" s="20"/>
      <c r="G40" s="20"/>
      <c r="H40" s="20"/>
      <c r="I40" s="20"/>
      <c r="J40" s="20"/>
      <c r="K40" s="20"/>
      <c r="L40" s="20"/>
      <c r="M40" s="20"/>
      <c r="N40" s="20"/>
      <c r="O40" s="20"/>
      <c r="P40" s="20"/>
      <c r="Q40" s="20"/>
    </row>
    <row r="41" spans="1:17">
      <c r="A41" s="20"/>
      <c r="B41" s="20"/>
      <c r="C41" s="20"/>
      <c r="D41" s="20"/>
      <c r="E41" s="20"/>
      <c r="F41" s="20"/>
      <c r="G41" s="20"/>
      <c r="H41" s="20"/>
      <c r="I41" s="20"/>
      <c r="J41" s="20"/>
      <c r="K41" s="20"/>
      <c r="L41" s="20"/>
      <c r="M41" s="20"/>
      <c r="N41" s="20"/>
      <c r="O41" s="20"/>
      <c r="P41" s="20"/>
      <c r="Q41" s="20"/>
    </row>
    <row r="42" spans="1:17">
      <c r="A42" s="20"/>
      <c r="B42" s="20"/>
      <c r="C42" s="20"/>
      <c r="D42" s="20"/>
      <c r="E42" s="20"/>
      <c r="F42" s="20"/>
      <c r="G42" s="20"/>
      <c r="H42" s="20"/>
      <c r="I42" s="20"/>
      <c r="J42" s="20"/>
      <c r="K42" s="20"/>
      <c r="L42" s="20"/>
      <c r="M42" s="20"/>
      <c r="N42" s="20"/>
      <c r="O42" s="20"/>
      <c r="P42" s="20"/>
      <c r="Q42" s="20"/>
    </row>
    <row r="43" spans="1:17">
      <c r="A43" s="20"/>
      <c r="B43" s="20"/>
      <c r="C43" s="20"/>
      <c r="D43" s="20"/>
      <c r="E43" s="20"/>
      <c r="F43" s="20"/>
      <c r="G43" s="20"/>
      <c r="H43" s="20"/>
      <c r="I43" s="20"/>
      <c r="J43" s="20"/>
      <c r="K43" s="20"/>
      <c r="L43" s="20"/>
      <c r="M43" s="20"/>
      <c r="N43" s="20"/>
      <c r="O43" s="20"/>
      <c r="P43" s="20"/>
      <c r="Q43" s="20"/>
    </row>
    <row r="44" spans="1:17">
      <c r="A44" s="20"/>
      <c r="B44" s="20"/>
      <c r="C44" s="20"/>
      <c r="D44" s="20"/>
      <c r="E44" s="20"/>
      <c r="F44" s="20"/>
      <c r="G44" s="20"/>
      <c r="H44" s="20"/>
      <c r="I44" s="20"/>
      <c r="J44" s="20"/>
      <c r="K44" s="20"/>
      <c r="L44" s="20"/>
      <c r="M44" s="20"/>
      <c r="N44" s="20"/>
      <c r="O44" s="20"/>
      <c r="P44" s="20"/>
      <c r="Q44" s="20"/>
    </row>
    <row r="45" spans="1:17">
      <c r="A45" s="20"/>
      <c r="B45" s="20"/>
      <c r="C45" s="20"/>
      <c r="D45" s="20"/>
      <c r="E45" s="20"/>
      <c r="F45" s="20"/>
      <c r="G45" s="20"/>
      <c r="H45" s="20"/>
      <c r="I45" s="20"/>
      <c r="J45" s="20"/>
      <c r="K45" s="20"/>
      <c r="L45" s="20"/>
      <c r="M45" s="20"/>
      <c r="N45" s="20"/>
      <c r="O45" s="20"/>
      <c r="P45" s="20"/>
      <c r="Q45" s="20"/>
    </row>
    <row r="46" spans="1:17">
      <c r="A46" s="20"/>
      <c r="B46" s="20"/>
      <c r="C46" s="20"/>
      <c r="D46" s="20"/>
      <c r="E46" s="20"/>
      <c r="F46" s="20"/>
      <c r="G46" s="20"/>
      <c r="H46" s="20"/>
      <c r="I46" s="20"/>
      <c r="J46" s="20"/>
      <c r="K46" s="20"/>
      <c r="L46" s="20"/>
      <c r="M46" s="20"/>
      <c r="N46" s="20"/>
      <c r="O46" s="20"/>
      <c r="P46" s="20"/>
      <c r="Q46" s="20"/>
    </row>
    <row r="47" spans="1:17">
      <c r="A47" s="20"/>
      <c r="B47" s="20"/>
      <c r="C47" s="20"/>
      <c r="D47" s="20"/>
      <c r="E47" s="20"/>
      <c r="F47" s="20"/>
      <c r="G47" s="20"/>
      <c r="H47" s="20"/>
      <c r="I47" s="20"/>
      <c r="J47" s="20"/>
      <c r="K47" s="20"/>
      <c r="L47" s="20"/>
      <c r="M47" s="20"/>
      <c r="N47" s="20"/>
      <c r="O47" s="20"/>
      <c r="P47" s="20"/>
      <c r="Q47" s="20"/>
    </row>
    <row r="48" spans="1:17">
      <c r="A48" s="20"/>
      <c r="B48" s="20"/>
      <c r="C48" s="20"/>
      <c r="D48" s="20"/>
      <c r="E48" s="20"/>
      <c r="F48" s="20"/>
      <c r="G48" s="20"/>
      <c r="H48" s="20"/>
      <c r="I48" s="20"/>
      <c r="J48" s="20"/>
      <c r="K48" s="20"/>
      <c r="L48" s="20"/>
      <c r="M48" s="20"/>
      <c r="N48" s="20"/>
      <c r="O48" s="20"/>
      <c r="P48" s="20"/>
      <c r="Q48" s="20"/>
    </row>
    <row r="49" spans="1:17">
      <c r="A49" s="20"/>
      <c r="B49" s="20"/>
      <c r="C49" s="20"/>
      <c r="D49" s="20"/>
      <c r="E49" s="20"/>
      <c r="F49" s="20"/>
      <c r="G49" s="20"/>
      <c r="H49" s="20"/>
      <c r="I49" s="20"/>
      <c r="J49" s="20"/>
      <c r="K49" s="20"/>
      <c r="L49" s="20"/>
      <c r="M49" s="20"/>
      <c r="N49" s="20"/>
      <c r="O49" s="20"/>
      <c r="P49" s="20"/>
      <c r="Q49" s="20"/>
    </row>
    <row r="50" spans="1:17">
      <c r="A50" s="20"/>
      <c r="B50" s="20"/>
      <c r="C50" s="20"/>
      <c r="D50" s="20"/>
      <c r="E50" s="20"/>
      <c r="F50" s="20"/>
      <c r="G50" s="20"/>
      <c r="H50" s="20"/>
      <c r="I50" s="20"/>
      <c r="J50" s="20"/>
      <c r="K50" s="20"/>
      <c r="L50" s="20"/>
      <c r="M50" s="20"/>
      <c r="N50" s="20"/>
      <c r="O50" s="20"/>
      <c r="P50" s="20"/>
      <c r="Q50" s="20"/>
    </row>
    <row r="51" spans="1:17">
      <c r="A51" s="20"/>
      <c r="B51" s="20"/>
      <c r="C51" s="20"/>
      <c r="D51" s="20"/>
      <c r="E51" s="20"/>
      <c r="F51" s="20"/>
      <c r="G51" s="20"/>
      <c r="H51" s="20"/>
      <c r="I51" s="20"/>
      <c r="J51" s="20"/>
      <c r="K51" s="20"/>
      <c r="L51" s="20"/>
      <c r="M51" s="20"/>
      <c r="N51" s="20"/>
      <c r="O51" s="20"/>
      <c r="P51" s="20"/>
      <c r="Q51" s="20"/>
    </row>
    <row r="52" spans="1:17">
      <c r="A52" s="20"/>
      <c r="B52" s="20"/>
      <c r="C52" s="20"/>
      <c r="D52" s="20"/>
      <c r="E52" s="20"/>
      <c r="F52" s="20"/>
      <c r="G52" s="20"/>
      <c r="H52" s="20"/>
      <c r="I52" s="20"/>
      <c r="J52" s="20"/>
      <c r="K52" s="20"/>
      <c r="L52" s="20"/>
      <c r="M52" s="20"/>
      <c r="N52" s="20"/>
      <c r="O52" s="20"/>
      <c r="P52" s="20"/>
      <c r="Q52" s="20"/>
    </row>
    <row r="53" spans="1:17">
      <c r="A53" s="20"/>
      <c r="B53" s="20"/>
      <c r="C53" s="20"/>
      <c r="D53" s="20"/>
      <c r="E53" s="20"/>
      <c r="F53" s="20"/>
      <c r="G53" s="20"/>
      <c r="H53" s="20"/>
      <c r="I53" s="20"/>
      <c r="J53" s="20"/>
      <c r="K53" s="20"/>
      <c r="L53" s="20"/>
      <c r="M53" s="20"/>
      <c r="N53" s="20"/>
      <c r="O53" s="20"/>
      <c r="P53" s="20"/>
      <c r="Q53" s="20"/>
    </row>
    <row r="54" spans="1:17">
      <c r="A54" s="20"/>
      <c r="B54" s="20"/>
      <c r="C54" s="20"/>
      <c r="D54" s="20"/>
      <c r="E54" s="20"/>
      <c r="F54" s="20"/>
      <c r="G54" s="20"/>
      <c r="H54" s="20"/>
      <c r="I54" s="20"/>
      <c r="J54" s="20"/>
      <c r="K54" s="20"/>
      <c r="L54" s="20"/>
      <c r="M54" s="20"/>
      <c r="N54" s="20"/>
      <c r="O54" s="20"/>
      <c r="P54" s="20"/>
      <c r="Q54" s="20"/>
    </row>
    <row r="55" spans="1:17">
      <c r="A55" s="20"/>
      <c r="B55" s="20"/>
      <c r="C55" s="20"/>
      <c r="D55" s="20"/>
      <c r="E55" s="20"/>
      <c r="F55" s="20"/>
      <c r="G55" s="20"/>
      <c r="H55" s="20"/>
      <c r="I55" s="20"/>
      <c r="J55" s="20"/>
      <c r="K55" s="20"/>
      <c r="L55" s="20"/>
      <c r="M55" s="20"/>
      <c r="N55" s="20"/>
      <c r="O55" s="20"/>
      <c r="P55" s="20"/>
      <c r="Q55" s="20"/>
    </row>
    <row r="56" spans="1:17">
      <c r="A56" s="20"/>
      <c r="B56" s="20"/>
      <c r="C56" s="20"/>
      <c r="D56" s="20"/>
      <c r="E56" s="20"/>
      <c r="F56" s="20"/>
      <c r="G56" s="20"/>
      <c r="H56" s="20"/>
      <c r="I56" s="20"/>
      <c r="J56" s="20"/>
      <c r="K56" s="20"/>
      <c r="L56" s="20"/>
      <c r="M56" s="20"/>
      <c r="N56" s="20"/>
      <c r="O56" s="20"/>
      <c r="P56" s="20"/>
      <c r="Q56" s="20"/>
    </row>
    <row r="57" spans="1:17">
      <c r="A57" s="20"/>
      <c r="B57" s="20"/>
      <c r="C57" s="20"/>
      <c r="D57" s="20"/>
      <c r="E57" s="20"/>
      <c r="F57" s="20"/>
      <c r="G57" s="20"/>
      <c r="H57" s="20"/>
      <c r="I57" s="20"/>
      <c r="J57" s="20"/>
      <c r="K57" s="20"/>
      <c r="L57" s="20"/>
      <c r="M57" s="20"/>
      <c r="N57" s="20"/>
      <c r="O57" s="20"/>
      <c r="P57" s="20"/>
      <c r="Q57" s="20"/>
    </row>
    <row r="58" spans="1:17">
      <c r="A58" s="20"/>
      <c r="B58" s="20"/>
      <c r="C58" s="20"/>
      <c r="D58" s="20"/>
      <c r="E58" s="20"/>
      <c r="F58" s="20"/>
      <c r="G58" s="20"/>
      <c r="H58" s="20"/>
      <c r="I58" s="20"/>
      <c r="J58" s="20"/>
      <c r="K58" s="20"/>
      <c r="L58" s="20"/>
      <c r="M58" s="20"/>
      <c r="N58" s="20"/>
      <c r="O58" s="20"/>
      <c r="P58" s="20"/>
      <c r="Q58" s="20"/>
    </row>
    <row r="59" spans="1:17">
      <c r="A59" s="20"/>
      <c r="B59" s="20"/>
      <c r="C59" s="20"/>
      <c r="D59" s="20"/>
      <c r="E59" s="20"/>
      <c r="F59" s="20"/>
      <c r="G59" s="20"/>
      <c r="H59" s="20"/>
      <c r="I59" s="20"/>
      <c r="J59" s="20"/>
      <c r="K59" s="20"/>
      <c r="L59" s="20"/>
      <c r="M59" s="20"/>
      <c r="N59" s="20"/>
      <c r="O59" s="20"/>
      <c r="P59" s="20"/>
      <c r="Q59" s="20"/>
    </row>
    <row r="60" spans="1:17">
      <c r="A60" s="20"/>
      <c r="B60" s="20"/>
      <c r="C60" s="20"/>
      <c r="D60" s="20"/>
      <c r="E60" s="20"/>
      <c r="F60" s="20"/>
      <c r="G60" s="20"/>
      <c r="H60" s="20"/>
      <c r="I60" s="20"/>
      <c r="J60" s="20"/>
      <c r="K60" s="20"/>
      <c r="L60" s="20"/>
      <c r="M60" s="20"/>
      <c r="N60" s="20"/>
      <c r="O60" s="20"/>
      <c r="P60" s="20"/>
      <c r="Q60" s="20"/>
    </row>
    <row r="61" spans="1:17">
      <c r="A61" s="20"/>
      <c r="B61" s="20"/>
      <c r="C61" s="20"/>
      <c r="D61" s="20"/>
      <c r="E61" s="20"/>
      <c r="F61" s="20"/>
      <c r="G61" s="20"/>
      <c r="H61" s="20"/>
      <c r="I61" s="20"/>
      <c r="J61" s="20"/>
      <c r="K61" s="20"/>
      <c r="L61" s="20"/>
      <c r="M61" s="20"/>
      <c r="N61" s="20"/>
      <c r="O61" s="20"/>
      <c r="P61" s="20"/>
      <c r="Q61" s="20"/>
    </row>
    <row r="62" spans="1:17">
      <c r="A62" s="20"/>
      <c r="B62" s="20"/>
      <c r="C62" s="20"/>
      <c r="D62" s="20"/>
      <c r="E62" s="20"/>
      <c r="F62" s="20"/>
      <c r="G62" s="20"/>
      <c r="H62" s="20"/>
      <c r="I62" s="20"/>
      <c r="J62" s="20"/>
      <c r="K62" s="20"/>
      <c r="L62" s="20"/>
      <c r="M62" s="20"/>
      <c r="N62" s="20"/>
      <c r="O62" s="20"/>
      <c r="P62" s="20"/>
      <c r="Q62" s="20"/>
    </row>
    <row r="63" spans="1:17">
      <c r="A63" s="20"/>
      <c r="B63" s="20"/>
      <c r="C63" s="20"/>
      <c r="D63" s="20"/>
      <c r="E63" s="20"/>
      <c r="F63" s="20"/>
      <c r="G63" s="20"/>
      <c r="H63" s="20"/>
      <c r="I63" s="20"/>
      <c r="J63" s="20"/>
      <c r="K63" s="20"/>
      <c r="L63" s="20"/>
      <c r="M63" s="20"/>
      <c r="N63" s="20"/>
      <c r="O63" s="20"/>
      <c r="P63" s="20"/>
      <c r="Q63" s="20"/>
    </row>
    <row r="64" spans="1:17">
      <c r="A64" s="20"/>
      <c r="B64" s="20"/>
      <c r="C64" s="20"/>
      <c r="D64" s="20"/>
      <c r="E64" s="20"/>
      <c r="F64" s="20"/>
      <c r="G64" s="20"/>
      <c r="H64" s="20"/>
      <c r="I64" s="20"/>
      <c r="J64" s="20"/>
      <c r="K64" s="20"/>
      <c r="L64" s="20"/>
      <c r="M64" s="20"/>
      <c r="N64" s="20"/>
      <c r="O64" s="20"/>
      <c r="P64" s="20"/>
      <c r="Q64" s="20"/>
    </row>
    <row r="65" spans="1:17">
      <c r="A65" s="20"/>
      <c r="B65" s="20"/>
      <c r="C65" s="20"/>
      <c r="D65" s="20"/>
      <c r="E65" s="20"/>
      <c r="F65" s="20"/>
      <c r="G65" s="20"/>
      <c r="H65" s="20"/>
      <c r="I65" s="20"/>
      <c r="J65" s="20"/>
      <c r="K65" s="20"/>
      <c r="L65" s="20"/>
      <c r="M65" s="20"/>
      <c r="N65" s="20"/>
      <c r="O65" s="20"/>
      <c r="P65" s="20"/>
      <c r="Q65" s="20"/>
    </row>
    <row r="66" spans="1:17">
      <c r="A66" s="20"/>
      <c r="B66" s="20"/>
      <c r="C66" s="20"/>
      <c r="D66" s="20"/>
      <c r="E66" s="20"/>
      <c r="F66" s="20"/>
      <c r="G66" s="20"/>
      <c r="H66" s="20"/>
      <c r="I66" s="20"/>
      <c r="J66" s="20"/>
      <c r="K66" s="20"/>
      <c r="L66" s="20"/>
      <c r="M66" s="20"/>
      <c r="N66" s="20"/>
      <c r="O66" s="20"/>
      <c r="P66" s="20"/>
      <c r="Q66" s="20"/>
    </row>
    <row r="67" spans="1:17">
      <c r="A67" s="20"/>
      <c r="B67" s="20"/>
      <c r="C67" s="20"/>
      <c r="D67" s="20"/>
      <c r="E67" s="20"/>
      <c r="F67" s="20"/>
      <c r="G67" s="20"/>
      <c r="H67" s="20"/>
      <c r="I67" s="20"/>
      <c r="J67" s="20"/>
      <c r="K67" s="20"/>
      <c r="L67" s="20"/>
      <c r="M67" s="20"/>
      <c r="N67" s="20"/>
      <c r="O67" s="20"/>
      <c r="P67" s="20"/>
      <c r="Q67" s="20"/>
    </row>
    <row r="68" spans="1:17">
      <c r="A68" s="20"/>
      <c r="B68" s="20"/>
      <c r="C68" s="20"/>
      <c r="D68" s="20"/>
      <c r="E68" s="20"/>
      <c r="F68" s="20"/>
      <c r="G68" s="20"/>
      <c r="H68" s="20"/>
      <c r="I68" s="20"/>
      <c r="J68" s="20"/>
      <c r="K68" s="20"/>
      <c r="L68" s="20"/>
      <c r="M68" s="20"/>
      <c r="N68" s="20"/>
      <c r="O68" s="20"/>
      <c r="P68" s="20"/>
      <c r="Q68" s="20"/>
    </row>
    <row r="69" spans="1:17">
      <c r="A69" s="20"/>
      <c r="B69" s="20"/>
      <c r="C69" s="20"/>
      <c r="D69" s="20"/>
      <c r="E69" s="20"/>
      <c r="F69" s="20"/>
      <c r="G69" s="20"/>
      <c r="H69" s="20"/>
      <c r="I69" s="20"/>
      <c r="J69" s="20"/>
      <c r="K69" s="20"/>
      <c r="L69" s="20"/>
      <c r="M69" s="20"/>
      <c r="N69" s="20"/>
      <c r="O69" s="20"/>
      <c r="P69" s="20"/>
      <c r="Q69" s="20"/>
    </row>
    <row r="70" spans="1:17">
      <c r="A70" s="20"/>
      <c r="B70" s="20"/>
      <c r="C70" s="20"/>
      <c r="D70" s="20"/>
      <c r="E70" s="20"/>
      <c r="F70" s="20"/>
      <c r="G70" s="20"/>
      <c r="H70" s="20"/>
      <c r="I70" s="20"/>
      <c r="J70" s="20"/>
      <c r="K70" s="20"/>
      <c r="L70" s="20"/>
      <c r="M70" s="20"/>
      <c r="N70" s="20"/>
      <c r="O70" s="20"/>
      <c r="P70" s="20"/>
      <c r="Q70" s="20"/>
    </row>
    <row r="71" spans="1:17">
      <c r="A71" s="20"/>
      <c r="B71" s="20"/>
      <c r="C71" s="20"/>
      <c r="D71" s="20"/>
      <c r="E71" s="20"/>
      <c r="F71" s="20"/>
      <c r="G71" s="20"/>
      <c r="H71" s="20"/>
      <c r="I71" s="20"/>
      <c r="J71" s="20"/>
      <c r="K71" s="20"/>
      <c r="L71" s="20"/>
      <c r="M71" s="20"/>
      <c r="N71" s="20"/>
      <c r="O71" s="20"/>
      <c r="P71" s="20"/>
      <c r="Q71" s="20"/>
    </row>
    <row r="72" spans="1:17">
      <c r="A72" s="20"/>
      <c r="B72" s="20"/>
      <c r="C72" s="20"/>
      <c r="D72" s="20"/>
      <c r="E72" s="20"/>
      <c r="F72" s="20"/>
      <c r="G72" s="20"/>
      <c r="H72" s="20"/>
      <c r="I72" s="20"/>
      <c r="J72" s="20"/>
      <c r="K72" s="20"/>
      <c r="L72" s="20"/>
      <c r="M72" s="20"/>
      <c r="N72" s="20"/>
      <c r="O72" s="20"/>
      <c r="P72" s="20"/>
      <c r="Q72" s="20"/>
    </row>
    <row r="73" spans="1:17">
      <c r="A73" s="20"/>
      <c r="B73" s="20"/>
      <c r="C73" s="20"/>
      <c r="D73" s="20"/>
      <c r="E73" s="20"/>
      <c r="F73" s="20"/>
      <c r="G73" s="20"/>
      <c r="H73" s="20"/>
      <c r="I73" s="20"/>
      <c r="J73" s="20"/>
      <c r="K73" s="20"/>
      <c r="L73" s="20"/>
      <c r="M73" s="20"/>
      <c r="N73" s="20"/>
      <c r="O73" s="20"/>
      <c r="P73" s="20"/>
      <c r="Q73" s="20"/>
    </row>
    <row r="74" spans="1:17">
      <c r="A74" s="20"/>
      <c r="B74" s="20"/>
      <c r="C74" s="20"/>
      <c r="D74" s="20"/>
      <c r="E74" s="20"/>
      <c r="F74" s="20"/>
      <c r="G74" s="20"/>
      <c r="H74" s="20"/>
      <c r="I74" s="20"/>
      <c r="J74" s="20"/>
      <c r="K74" s="20"/>
      <c r="L74" s="20"/>
      <c r="M74" s="20"/>
      <c r="N74" s="20"/>
      <c r="O74" s="20"/>
      <c r="P74" s="20"/>
      <c r="Q74" s="20"/>
    </row>
    <row r="75" spans="1:17">
      <c r="A75" s="20"/>
      <c r="B75" s="20"/>
      <c r="C75" s="20"/>
      <c r="D75" s="20"/>
      <c r="E75" s="20"/>
      <c r="F75" s="20"/>
      <c r="G75" s="20"/>
      <c r="H75" s="20"/>
      <c r="I75" s="20"/>
      <c r="J75" s="20"/>
      <c r="K75" s="20"/>
      <c r="L75" s="20"/>
      <c r="M75" s="20"/>
      <c r="N75" s="20"/>
      <c r="O75" s="20"/>
      <c r="P75" s="20"/>
      <c r="Q75" s="20"/>
    </row>
    <row r="76" spans="1:17">
      <c r="A76" s="20"/>
      <c r="B76" s="20"/>
      <c r="C76" s="20"/>
      <c r="D76" s="20"/>
      <c r="E76" s="20"/>
      <c r="F76" s="20"/>
      <c r="G76" s="20"/>
      <c r="H76" s="20"/>
      <c r="I76" s="20"/>
      <c r="J76" s="20"/>
      <c r="K76" s="20"/>
      <c r="L76" s="20"/>
      <c r="M76" s="20"/>
      <c r="N76" s="20"/>
      <c r="O76" s="20"/>
      <c r="P76" s="20"/>
      <c r="Q76" s="20"/>
    </row>
    <row r="77" spans="1:17">
      <c r="A77" s="20"/>
      <c r="B77" s="20"/>
      <c r="C77" s="20"/>
      <c r="D77" s="20"/>
      <c r="E77" s="20"/>
      <c r="F77" s="20"/>
      <c r="G77" s="20"/>
      <c r="H77" s="20"/>
      <c r="I77" s="20"/>
      <c r="J77" s="20"/>
      <c r="K77" s="20"/>
      <c r="L77" s="20"/>
      <c r="M77" s="20"/>
      <c r="N77" s="20"/>
      <c r="O77" s="20"/>
      <c r="P77" s="20"/>
      <c r="Q77" s="20"/>
    </row>
    <row r="78" spans="1:17">
      <c r="A78" s="20"/>
      <c r="B78" s="20"/>
      <c r="C78" s="20"/>
      <c r="D78" s="20"/>
      <c r="E78" s="20"/>
      <c r="F78" s="20"/>
      <c r="G78" s="20"/>
      <c r="H78" s="20"/>
      <c r="I78" s="20"/>
      <c r="J78" s="20"/>
      <c r="K78" s="20"/>
      <c r="L78" s="20"/>
      <c r="M78" s="20"/>
      <c r="N78" s="20"/>
      <c r="O78" s="20"/>
      <c r="P78" s="20"/>
      <c r="Q78" s="20"/>
    </row>
    <row r="79" spans="1:17">
      <c r="A79" s="20"/>
      <c r="B79" s="20"/>
      <c r="C79" s="20"/>
      <c r="D79" s="20"/>
      <c r="E79" s="20"/>
      <c r="F79" s="20"/>
      <c r="G79" s="20"/>
      <c r="H79" s="20"/>
      <c r="I79" s="20"/>
      <c r="J79" s="20"/>
      <c r="K79" s="20"/>
      <c r="L79" s="20"/>
      <c r="M79" s="20"/>
      <c r="N79" s="20"/>
      <c r="O79" s="20"/>
      <c r="P79" s="20"/>
      <c r="Q79" s="20"/>
    </row>
    <row r="80" spans="1:17">
      <c r="A80" s="20"/>
      <c r="B80" s="20"/>
      <c r="C80" s="20"/>
      <c r="D80" s="20"/>
      <c r="E80" s="20"/>
      <c r="F80" s="20"/>
      <c r="G80" s="20"/>
      <c r="H80" s="20"/>
      <c r="I80" s="20"/>
      <c r="J80" s="20"/>
      <c r="K80" s="20"/>
      <c r="L80" s="20"/>
      <c r="M80" s="20"/>
      <c r="N80" s="20"/>
      <c r="O80" s="20"/>
      <c r="P80" s="20"/>
      <c r="Q80" s="20"/>
    </row>
    <row r="81" spans="1:17">
      <c r="A81" s="20"/>
      <c r="B81" s="20"/>
      <c r="C81" s="20"/>
      <c r="D81" s="20"/>
      <c r="E81" s="20"/>
      <c r="F81" s="20"/>
      <c r="G81" s="20"/>
      <c r="H81" s="20"/>
      <c r="I81" s="20"/>
      <c r="J81" s="20"/>
      <c r="K81" s="20"/>
      <c r="L81" s="20"/>
      <c r="M81" s="20"/>
      <c r="N81" s="20"/>
      <c r="O81" s="20"/>
      <c r="P81" s="20"/>
      <c r="Q81" s="20"/>
    </row>
    <row r="82" spans="1:17">
      <c r="A82" s="20"/>
      <c r="B82" s="20"/>
      <c r="C82" s="20"/>
      <c r="D82" s="20"/>
      <c r="E82" s="20"/>
      <c r="F82" s="20"/>
      <c r="G82" s="20"/>
      <c r="H82" s="20"/>
      <c r="I82" s="20"/>
      <c r="J82" s="20"/>
      <c r="K82" s="20"/>
      <c r="L82" s="20"/>
      <c r="M82" s="20"/>
      <c r="N82" s="20"/>
      <c r="O82" s="20"/>
      <c r="P82" s="20"/>
      <c r="Q82" s="20"/>
    </row>
    <row r="83" spans="1:17">
      <c r="A83" s="20"/>
      <c r="B83" s="20"/>
      <c r="C83" s="20"/>
      <c r="D83" s="20"/>
      <c r="E83" s="20"/>
      <c r="F83" s="20"/>
      <c r="G83" s="20"/>
      <c r="H83" s="20"/>
      <c r="I83" s="20"/>
      <c r="J83" s="20"/>
      <c r="K83" s="20"/>
      <c r="L83" s="20"/>
      <c r="M83" s="20"/>
      <c r="N83" s="20"/>
      <c r="O83" s="20"/>
      <c r="P83" s="20"/>
      <c r="Q83" s="20"/>
    </row>
    <row r="84" spans="1:17">
      <c r="A84" s="20"/>
      <c r="B84" s="20"/>
      <c r="C84" s="20"/>
      <c r="D84" s="20"/>
      <c r="E84" s="20"/>
      <c r="F84" s="20"/>
      <c r="G84" s="20"/>
      <c r="H84" s="20"/>
      <c r="I84" s="20"/>
      <c r="J84" s="20"/>
      <c r="K84" s="20"/>
      <c r="L84" s="20"/>
      <c r="M84" s="20"/>
      <c r="N84" s="20"/>
      <c r="O84" s="20"/>
      <c r="P84" s="20"/>
      <c r="Q84" s="20"/>
    </row>
    <row r="85" spans="1:17">
      <c r="A85" s="20"/>
      <c r="B85" s="20"/>
      <c r="C85" s="20"/>
      <c r="D85" s="20"/>
      <c r="E85" s="20"/>
      <c r="F85" s="20"/>
      <c r="G85" s="20"/>
      <c r="H85" s="20"/>
      <c r="I85" s="20"/>
      <c r="J85" s="20"/>
      <c r="K85" s="20"/>
      <c r="L85" s="20"/>
      <c r="M85" s="20"/>
      <c r="N85" s="20"/>
      <c r="O85" s="20"/>
      <c r="P85" s="20"/>
      <c r="Q85" s="20"/>
    </row>
    <row r="86" spans="1:17">
      <c r="A86" s="20"/>
      <c r="B86" s="20"/>
      <c r="C86" s="20"/>
      <c r="D86" s="20"/>
      <c r="E86" s="20"/>
      <c r="F86" s="20"/>
      <c r="G86" s="20"/>
      <c r="H86" s="20"/>
      <c r="I86" s="20"/>
      <c r="J86" s="20"/>
      <c r="K86" s="20"/>
      <c r="L86" s="20"/>
      <c r="M86" s="20"/>
      <c r="N86" s="20"/>
      <c r="O86" s="20"/>
      <c r="P86" s="20"/>
      <c r="Q86" s="20"/>
    </row>
    <row r="87" spans="1:17">
      <c r="A87" s="20"/>
      <c r="B87" s="20"/>
      <c r="C87" s="20"/>
      <c r="D87" s="20"/>
      <c r="E87" s="20"/>
      <c r="F87" s="20"/>
      <c r="G87" s="20"/>
      <c r="H87" s="20"/>
      <c r="I87" s="20"/>
      <c r="J87" s="20"/>
      <c r="K87" s="20"/>
      <c r="L87" s="20"/>
      <c r="M87" s="20"/>
      <c r="N87" s="20"/>
      <c r="O87" s="20"/>
      <c r="P87" s="20"/>
      <c r="Q87" s="20"/>
    </row>
    <row r="88" spans="1:17">
      <c r="A88" s="20"/>
      <c r="B88" s="20"/>
      <c r="C88" s="20"/>
      <c r="D88" s="20"/>
      <c r="E88" s="20"/>
      <c r="F88" s="20"/>
      <c r="G88" s="20"/>
      <c r="H88" s="20"/>
      <c r="I88" s="20"/>
      <c r="J88" s="20"/>
      <c r="K88" s="20"/>
      <c r="L88" s="20"/>
      <c r="M88" s="20"/>
      <c r="N88" s="20"/>
      <c r="O88" s="20"/>
      <c r="P88" s="20"/>
      <c r="Q88" s="20"/>
    </row>
    <row r="89" spans="1:17">
      <c r="A89" s="20"/>
      <c r="B89" s="20"/>
      <c r="C89" s="20"/>
      <c r="D89" s="20"/>
      <c r="E89" s="20"/>
      <c r="F89" s="20"/>
      <c r="G89" s="20"/>
      <c r="H89" s="20"/>
      <c r="I89" s="20"/>
      <c r="J89" s="20"/>
      <c r="K89" s="20"/>
      <c r="L89" s="20"/>
      <c r="M89" s="20"/>
      <c r="N89" s="20"/>
      <c r="O89" s="20"/>
      <c r="P89" s="20"/>
      <c r="Q89" s="20"/>
    </row>
    <row r="90" spans="1:17">
      <c r="A90" s="20"/>
      <c r="B90" s="20"/>
      <c r="C90" s="20"/>
      <c r="D90" s="20"/>
      <c r="E90" s="20"/>
      <c r="F90" s="20"/>
      <c r="G90" s="20"/>
      <c r="H90" s="20"/>
      <c r="I90" s="20"/>
      <c r="J90" s="20"/>
      <c r="K90" s="20"/>
      <c r="L90" s="20"/>
      <c r="M90" s="20"/>
      <c r="N90" s="20"/>
      <c r="O90" s="20"/>
      <c r="P90" s="20"/>
      <c r="Q90" s="20"/>
    </row>
    <row r="91" spans="1:17">
      <c r="A91" s="20"/>
      <c r="B91" s="20"/>
      <c r="C91" s="20"/>
      <c r="D91" s="20"/>
      <c r="E91" s="20"/>
      <c r="F91" s="20"/>
      <c r="G91" s="20"/>
      <c r="H91" s="20"/>
      <c r="I91" s="20"/>
      <c r="J91" s="20"/>
      <c r="K91" s="20"/>
      <c r="L91" s="20"/>
      <c r="M91" s="20"/>
      <c r="N91" s="20"/>
      <c r="O91" s="20"/>
      <c r="P91" s="20"/>
      <c r="Q91" s="20"/>
    </row>
    <row r="92" spans="1:17">
      <c r="A92" s="20"/>
      <c r="B92" s="20"/>
      <c r="C92" s="20"/>
      <c r="D92" s="20"/>
      <c r="E92" s="20"/>
      <c r="F92" s="20"/>
      <c r="G92" s="20"/>
      <c r="H92" s="20"/>
      <c r="I92" s="20"/>
      <c r="J92" s="20"/>
      <c r="K92" s="20"/>
      <c r="L92" s="20"/>
      <c r="M92" s="20"/>
      <c r="N92" s="20"/>
      <c r="O92" s="20"/>
      <c r="P92" s="20"/>
      <c r="Q92" s="20"/>
    </row>
    <row r="93" spans="1:17">
      <c r="A93" s="20"/>
      <c r="B93" s="20"/>
      <c r="C93" s="20"/>
      <c r="D93" s="20"/>
      <c r="E93" s="20"/>
      <c r="F93" s="20"/>
      <c r="G93" s="20"/>
      <c r="H93" s="20"/>
      <c r="I93" s="20"/>
      <c r="J93" s="20"/>
      <c r="K93" s="20"/>
      <c r="L93" s="20"/>
      <c r="M93" s="20"/>
      <c r="N93" s="20"/>
      <c r="O93" s="20"/>
      <c r="P93" s="20"/>
      <c r="Q93" s="20"/>
    </row>
    <row r="94" spans="1:17">
      <c r="A94" s="20"/>
      <c r="B94" s="20"/>
      <c r="C94" s="20"/>
      <c r="D94" s="20"/>
      <c r="E94" s="20"/>
      <c r="F94" s="20"/>
      <c r="G94" s="20"/>
      <c r="H94" s="20"/>
      <c r="I94" s="20"/>
      <c r="J94" s="20"/>
      <c r="K94" s="20"/>
      <c r="L94" s="20"/>
      <c r="M94" s="20"/>
      <c r="N94" s="20"/>
      <c r="O94" s="20"/>
      <c r="P94" s="20"/>
      <c r="Q94" s="20"/>
    </row>
    <row r="95" spans="1:17">
      <c r="A95" s="20"/>
      <c r="B95" s="20"/>
      <c r="C95" s="20"/>
      <c r="D95" s="20"/>
      <c r="E95" s="20"/>
      <c r="F95" s="20"/>
      <c r="G95" s="20"/>
      <c r="H95" s="20"/>
      <c r="I95" s="20"/>
      <c r="J95" s="20"/>
      <c r="K95" s="20"/>
      <c r="L95" s="20"/>
      <c r="M95" s="20"/>
      <c r="N95" s="20"/>
      <c r="O95" s="20"/>
      <c r="P95" s="20"/>
      <c r="Q95" s="20"/>
    </row>
    <row r="96" spans="1:17">
      <c r="A96" s="20"/>
      <c r="B96" s="20"/>
      <c r="C96" s="20"/>
      <c r="D96" s="20"/>
      <c r="E96" s="20"/>
      <c r="F96" s="20"/>
      <c r="G96" s="20"/>
      <c r="H96" s="20"/>
      <c r="I96" s="20"/>
      <c r="J96" s="20"/>
      <c r="K96" s="20"/>
      <c r="L96" s="20"/>
      <c r="M96" s="20"/>
      <c r="N96" s="20"/>
      <c r="O96" s="20"/>
      <c r="P96" s="20"/>
      <c r="Q96" s="20"/>
    </row>
    <row r="97" spans="1:17">
      <c r="A97" s="20"/>
      <c r="B97" s="20"/>
      <c r="C97" s="20"/>
      <c r="D97" s="20"/>
      <c r="E97" s="20"/>
      <c r="F97" s="20"/>
      <c r="G97" s="20"/>
      <c r="H97" s="20"/>
      <c r="I97" s="20"/>
      <c r="J97" s="20"/>
      <c r="K97" s="20"/>
      <c r="L97" s="20"/>
      <c r="M97" s="20"/>
      <c r="N97" s="20"/>
      <c r="O97" s="20"/>
      <c r="P97" s="20"/>
      <c r="Q97" s="20"/>
    </row>
    <row r="98" spans="1:17">
      <c r="A98" s="20"/>
      <c r="B98" s="20"/>
      <c r="C98" s="20"/>
      <c r="D98" s="20"/>
      <c r="E98" s="20"/>
      <c r="F98" s="20"/>
      <c r="G98" s="20"/>
      <c r="H98" s="20"/>
      <c r="I98" s="20"/>
      <c r="J98" s="20"/>
      <c r="K98" s="20"/>
      <c r="L98" s="20"/>
      <c r="M98" s="20"/>
      <c r="N98" s="20"/>
      <c r="O98" s="20"/>
      <c r="P98" s="20"/>
      <c r="Q98" s="20"/>
    </row>
    <row r="99" spans="1:17">
      <c r="A99" s="20"/>
      <c r="B99" s="20"/>
      <c r="C99" s="20"/>
      <c r="D99" s="20"/>
      <c r="E99" s="20"/>
      <c r="F99" s="20"/>
      <c r="G99" s="20"/>
      <c r="H99" s="20"/>
      <c r="I99" s="20"/>
      <c r="J99" s="20"/>
      <c r="K99" s="20"/>
      <c r="L99" s="20"/>
      <c r="M99" s="20"/>
      <c r="N99" s="20"/>
      <c r="O99" s="20"/>
      <c r="P99" s="20"/>
      <c r="Q99" s="20"/>
    </row>
    <row r="100" spans="1:17">
      <c r="A100" s="20"/>
      <c r="B100" s="20"/>
      <c r="C100" s="20"/>
      <c r="D100" s="20"/>
      <c r="E100" s="20"/>
      <c r="F100" s="20"/>
      <c r="G100" s="20"/>
      <c r="H100" s="20"/>
      <c r="I100" s="20"/>
      <c r="J100" s="20"/>
      <c r="K100" s="20"/>
      <c r="L100" s="20"/>
      <c r="M100" s="20"/>
      <c r="N100" s="20"/>
      <c r="O100" s="20"/>
      <c r="P100" s="20"/>
      <c r="Q100" s="20"/>
    </row>
    <row r="101" spans="1:17">
      <c r="A101" s="20"/>
      <c r="B101" s="20"/>
      <c r="C101" s="20"/>
      <c r="D101" s="20"/>
      <c r="E101" s="20"/>
      <c r="F101" s="20"/>
      <c r="G101" s="20"/>
      <c r="H101" s="20"/>
      <c r="I101" s="20"/>
      <c r="J101" s="20"/>
      <c r="K101" s="20"/>
      <c r="L101" s="20"/>
      <c r="M101" s="20"/>
      <c r="N101" s="20"/>
      <c r="O101" s="20"/>
      <c r="P101" s="20"/>
      <c r="Q101" s="20"/>
    </row>
    <row r="102" spans="1:17">
      <c r="A102" s="20"/>
      <c r="B102" s="20"/>
      <c r="C102" s="20"/>
      <c r="D102" s="20"/>
      <c r="E102" s="20"/>
      <c r="F102" s="20"/>
      <c r="G102" s="20"/>
      <c r="H102" s="20"/>
      <c r="I102" s="20"/>
      <c r="J102" s="20"/>
      <c r="K102" s="20"/>
      <c r="L102" s="20"/>
      <c r="M102" s="20"/>
      <c r="N102" s="20"/>
      <c r="O102" s="20"/>
      <c r="P102" s="20"/>
      <c r="Q102" s="20"/>
    </row>
    <row r="103" spans="1:17">
      <c r="A103" s="20"/>
      <c r="B103" s="20"/>
      <c r="C103" s="20"/>
      <c r="D103" s="20"/>
      <c r="E103" s="20"/>
      <c r="F103" s="20"/>
      <c r="G103" s="20"/>
      <c r="H103" s="20"/>
      <c r="I103" s="20"/>
      <c r="J103" s="20"/>
      <c r="K103" s="20"/>
      <c r="L103" s="20"/>
      <c r="M103" s="20"/>
      <c r="N103" s="20"/>
      <c r="O103" s="20"/>
      <c r="P103" s="20"/>
      <c r="Q103" s="20"/>
    </row>
    <row r="104" spans="1:17">
      <c r="A104" s="20"/>
      <c r="B104" s="20"/>
      <c r="C104" s="20"/>
      <c r="D104" s="20"/>
      <c r="E104" s="20"/>
      <c r="F104" s="20"/>
      <c r="G104" s="20"/>
      <c r="H104" s="20"/>
      <c r="I104" s="20"/>
      <c r="J104" s="20"/>
      <c r="K104" s="20"/>
      <c r="L104" s="20"/>
      <c r="M104" s="20"/>
      <c r="N104" s="20"/>
      <c r="O104" s="20"/>
      <c r="P104" s="20"/>
      <c r="Q104" s="20"/>
    </row>
    <row r="105" spans="1:17">
      <c r="A105" s="20"/>
      <c r="B105" s="20"/>
      <c r="C105" s="20"/>
      <c r="D105" s="20"/>
      <c r="E105" s="20"/>
      <c r="F105" s="20"/>
      <c r="G105" s="20"/>
      <c r="H105" s="20"/>
      <c r="I105" s="20"/>
      <c r="J105" s="20"/>
      <c r="K105" s="20"/>
      <c r="L105" s="20"/>
      <c r="M105" s="20"/>
      <c r="N105" s="20"/>
      <c r="O105" s="20"/>
      <c r="P105" s="20"/>
      <c r="Q105" s="20"/>
    </row>
    <row r="106" spans="1:17">
      <c r="A106" s="20"/>
      <c r="B106" s="20"/>
      <c r="C106" s="20"/>
      <c r="D106" s="20"/>
      <c r="E106" s="20"/>
      <c r="F106" s="20"/>
      <c r="G106" s="20"/>
      <c r="H106" s="20"/>
      <c r="I106" s="20"/>
      <c r="J106" s="20"/>
      <c r="K106" s="20"/>
      <c r="L106" s="20"/>
      <c r="M106" s="20"/>
      <c r="N106" s="20"/>
      <c r="O106" s="20"/>
      <c r="P106" s="20"/>
      <c r="Q106" s="20"/>
    </row>
    <row r="107" spans="1:17">
      <c r="A107" s="20"/>
      <c r="B107" s="20"/>
      <c r="C107" s="20"/>
      <c r="D107" s="20"/>
      <c r="E107" s="20"/>
      <c r="F107" s="20"/>
      <c r="G107" s="20"/>
      <c r="H107" s="20"/>
      <c r="I107" s="20"/>
      <c r="J107" s="20"/>
      <c r="K107" s="20"/>
      <c r="L107" s="20"/>
      <c r="M107" s="20"/>
      <c r="N107" s="20"/>
      <c r="O107" s="20"/>
      <c r="P107" s="20"/>
      <c r="Q107" s="20"/>
    </row>
    <row r="108" spans="1:17">
      <c r="A108" s="20"/>
      <c r="B108" s="20"/>
      <c r="C108" s="20"/>
      <c r="D108" s="20"/>
      <c r="E108" s="20"/>
      <c r="F108" s="20"/>
      <c r="G108" s="20"/>
      <c r="H108" s="20"/>
      <c r="I108" s="20"/>
      <c r="J108" s="20"/>
      <c r="K108" s="20"/>
      <c r="L108" s="20"/>
      <c r="M108" s="20"/>
      <c r="N108" s="20"/>
      <c r="O108" s="20"/>
      <c r="P108" s="20"/>
      <c r="Q108" s="20"/>
    </row>
    <row r="109" spans="1:17">
      <c r="A109" s="20"/>
      <c r="B109" s="20"/>
      <c r="C109" s="20"/>
      <c r="D109" s="20"/>
      <c r="E109" s="20"/>
      <c r="F109" s="20"/>
      <c r="G109" s="20"/>
      <c r="H109" s="20"/>
      <c r="I109" s="20"/>
      <c r="J109" s="20"/>
      <c r="K109" s="20"/>
      <c r="L109" s="20"/>
      <c r="M109" s="20"/>
      <c r="N109" s="20"/>
      <c r="O109" s="20"/>
      <c r="P109" s="20"/>
      <c r="Q109" s="20"/>
    </row>
    <row r="110" spans="1:17">
      <c r="A110" s="20"/>
      <c r="B110" s="20"/>
      <c r="C110" s="20"/>
      <c r="D110" s="20"/>
      <c r="E110" s="20"/>
      <c r="F110" s="20"/>
      <c r="G110" s="20"/>
      <c r="H110" s="20"/>
      <c r="I110" s="20"/>
      <c r="J110" s="20"/>
      <c r="K110" s="20"/>
      <c r="L110" s="20"/>
      <c r="M110" s="20"/>
      <c r="N110" s="20"/>
      <c r="O110" s="20"/>
      <c r="P110" s="20"/>
      <c r="Q110" s="20"/>
    </row>
    <row r="111" spans="1:17">
      <c r="A111" s="20"/>
      <c r="B111" s="20"/>
      <c r="C111" s="20"/>
      <c r="D111" s="20"/>
      <c r="E111" s="20"/>
      <c r="F111" s="20"/>
      <c r="G111" s="20"/>
      <c r="H111" s="20"/>
      <c r="I111" s="20"/>
      <c r="J111" s="20"/>
      <c r="K111" s="20"/>
      <c r="L111" s="20"/>
      <c r="M111" s="20"/>
      <c r="N111" s="20"/>
      <c r="O111" s="20"/>
      <c r="P111" s="20"/>
      <c r="Q111" s="20"/>
    </row>
    <row r="112" spans="1:17">
      <c r="A112" s="20"/>
      <c r="B112" s="20"/>
      <c r="C112" s="20"/>
      <c r="D112" s="20"/>
      <c r="E112" s="20"/>
      <c r="F112" s="20"/>
      <c r="G112" s="20"/>
      <c r="H112" s="20"/>
      <c r="I112" s="20"/>
      <c r="J112" s="20"/>
      <c r="K112" s="20"/>
      <c r="L112" s="20"/>
      <c r="M112" s="20"/>
      <c r="N112" s="20"/>
      <c r="O112" s="20"/>
      <c r="P112" s="20"/>
      <c r="Q112" s="20"/>
    </row>
    <row r="113" spans="1:17">
      <c r="A113" s="20"/>
      <c r="B113" s="20"/>
      <c r="C113" s="20"/>
      <c r="D113" s="20"/>
      <c r="E113" s="20"/>
      <c r="F113" s="20"/>
      <c r="G113" s="20"/>
      <c r="H113" s="20"/>
      <c r="I113" s="20"/>
      <c r="J113" s="20"/>
      <c r="K113" s="20"/>
      <c r="L113" s="20"/>
      <c r="M113" s="20"/>
      <c r="N113" s="20"/>
      <c r="O113" s="20"/>
      <c r="P113" s="20"/>
      <c r="Q113" s="20"/>
    </row>
    <row r="114" spans="1:17">
      <c r="A114" s="20"/>
      <c r="B114" s="20"/>
      <c r="C114" s="20"/>
      <c r="D114" s="20"/>
      <c r="E114" s="20"/>
      <c r="F114" s="20"/>
      <c r="G114" s="20"/>
      <c r="H114" s="20"/>
      <c r="I114" s="20"/>
      <c r="J114" s="20"/>
      <c r="K114" s="20"/>
      <c r="L114" s="20"/>
      <c r="M114" s="20"/>
      <c r="N114" s="20"/>
      <c r="O114" s="20"/>
      <c r="P114" s="20"/>
      <c r="Q114" s="20"/>
    </row>
    <row r="115" spans="1:17">
      <c r="A115" s="20"/>
      <c r="B115" s="20"/>
      <c r="C115" s="20"/>
      <c r="D115" s="20"/>
      <c r="E115" s="20"/>
      <c r="F115" s="20"/>
      <c r="G115" s="20"/>
      <c r="H115" s="20"/>
      <c r="I115" s="20"/>
      <c r="J115" s="20"/>
      <c r="K115" s="20"/>
      <c r="L115" s="20"/>
      <c r="M115" s="20"/>
      <c r="N115" s="20"/>
      <c r="O115" s="20"/>
      <c r="P115" s="20"/>
      <c r="Q115" s="20"/>
    </row>
    <row r="116" spans="1:17">
      <c r="A116" s="20"/>
      <c r="B116" s="20"/>
      <c r="C116" s="20"/>
      <c r="D116" s="20"/>
      <c r="E116" s="20"/>
      <c r="F116" s="20"/>
      <c r="G116" s="20"/>
      <c r="H116" s="20"/>
      <c r="I116" s="20"/>
      <c r="J116" s="20"/>
      <c r="K116" s="20"/>
      <c r="L116" s="20"/>
      <c r="M116" s="20"/>
      <c r="N116" s="20"/>
      <c r="O116" s="20"/>
      <c r="P116" s="20"/>
      <c r="Q116" s="20"/>
    </row>
    <row r="117" spans="1:17">
      <c r="A117" s="20"/>
      <c r="B117" s="20"/>
      <c r="C117" s="20"/>
      <c r="D117" s="20"/>
      <c r="E117" s="20"/>
      <c r="F117" s="20"/>
      <c r="G117" s="20"/>
      <c r="H117" s="20"/>
      <c r="I117" s="20"/>
      <c r="J117" s="20"/>
      <c r="K117" s="20"/>
      <c r="L117" s="20"/>
      <c r="M117" s="20"/>
      <c r="N117" s="20"/>
      <c r="O117" s="20"/>
      <c r="P117" s="20"/>
      <c r="Q117" s="20"/>
    </row>
    <row r="118" spans="1:17">
      <c r="A118" s="20"/>
      <c r="B118" s="20"/>
      <c r="C118" s="20"/>
      <c r="D118" s="20"/>
      <c r="E118" s="20"/>
      <c r="F118" s="20"/>
      <c r="G118" s="20"/>
      <c r="H118" s="20"/>
      <c r="I118" s="20"/>
      <c r="J118" s="20"/>
      <c r="K118" s="20"/>
      <c r="L118" s="20"/>
      <c r="M118" s="20"/>
      <c r="N118" s="20"/>
      <c r="O118" s="20"/>
      <c r="P118" s="20"/>
      <c r="Q118" s="20"/>
    </row>
    <row r="119" spans="1:17">
      <c r="A119" s="20"/>
      <c r="B119" s="20"/>
      <c r="C119" s="20"/>
      <c r="D119" s="20"/>
      <c r="E119" s="20"/>
      <c r="F119" s="20"/>
      <c r="G119" s="20"/>
      <c r="H119" s="20"/>
      <c r="I119" s="20"/>
      <c r="J119" s="20"/>
      <c r="K119" s="20"/>
      <c r="L119" s="20"/>
      <c r="M119" s="20"/>
      <c r="N119" s="20"/>
      <c r="O119" s="20"/>
      <c r="P119" s="20"/>
      <c r="Q119" s="20"/>
    </row>
    <row r="120" spans="1:17">
      <c r="A120" s="20"/>
      <c r="B120" s="20"/>
      <c r="C120" s="20"/>
      <c r="D120" s="20"/>
      <c r="E120" s="20"/>
      <c r="F120" s="20"/>
      <c r="G120" s="20"/>
      <c r="H120" s="20"/>
      <c r="I120" s="20"/>
      <c r="J120" s="20"/>
      <c r="K120" s="20"/>
      <c r="L120" s="20"/>
      <c r="M120" s="20"/>
      <c r="N120" s="20"/>
      <c r="O120" s="20"/>
      <c r="P120" s="20"/>
      <c r="Q120" s="20"/>
    </row>
    <row r="121" spans="1:17">
      <c r="A121" s="20"/>
      <c r="B121" s="20"/>
      <c r="C121" s="20"/>
      <c r="D121" s="20"/>
      <c r="E121" s="20"/>
      <c r="F121" s="20"/>
      <c r="G121" s="20"/>
      <c r="H121" s="20"/>
      <c r="I121" s="20"/>
      <c r="J121" s="20"/>
      <c r="K121" s="20"/>
      <c r="L121" s="20"/>
      <c r="M121" s="20"/>
      <c r="N121" s="20"/>
      <c r="O121" s="20"/>
      <c r="P121" s="20"/>
      <c r="Q121" s="20"/>
    </row>
    <row r="122" spans="1:17">
      <c r="A122" s="20"/>
      <c r="B122" s="20"/>
      <c r="C122" s="20"/>
      <c r="D122" s="20"/>
      <c r="E122" s="20"/>
      <c r="F122" s="20"/>
      <c r="G122" s="20"/>
      <c r="H122" s="20"/>
      <c r="I122" s="20"/>
      <c r="J122" s="20"/>
      <c r="K122" s="20"/>
      <c r="L122" s="20"/>
      <c r="M122" s="20"/>
      <c r="N122" s="20"/>
      <c r="O122" s="20"/>
      <c r="P122" s="20"/>
      <c r="Q122" s="20"/>
    </row>
    <row r="123" spans="1:17">
      <c r="A123" s="20"/>
      <c r="B123" s="20"/>
      <c r="C123" s="20"/>
      <c r="D123" s="20"/>
      <c r="E123" s="20"/>
      <c r="F123" s="20"/>
      <c r="G123" s="20"/>
      <c r="H123" s="20"/>
      <c r="I123" s="20"/>
      <c r="J123" s="20"/>
      <c r="K123" s="20"/>
      <c r="L123" s="20"/>
      <c r="M123" s="20"/>
      <c r="N123" s="20"/>
      <c r="O123" s="20"/>
      <c r="P123" s="20"/>
      <c r="Q123" s="20"/>
    </row>
    <row r="124" spans="1:17">
      <c r="A124" s="20"/>
      <c r="B124" s="20"/>
      <c r="C124" s="20"/>
      <c r="D124" s="20"/>
      <c r="E124" s="20"/>
      <c r="F124" s="20"/>
      <c r="G124" s="20"/>
      <c r="H124" s="20"/>
      <c r="I124" s="20"/>
      <c r="J124" s="20"/>
      <c r="K124" s="20"/>
      <c r="L124" s="20"/>
      <c r="M124" s="20"/>
      <c r="N124" s="20"/>
      <c r="O124" s="20"/>
      <c r="P124" s="20"/>
      <c r="Q124" s="20"/>
    </row>
    <row r="125" spans="1:17">
      <c r="A125" s="20"/>
      <c r="B125" s="20"/>
      <c r="C125" s="20"/>
      <c r="D125" s="20"/>
      <c r="E125" s="20"/>
      <c r="F125" s="20"/>
      <c r="G125" s="20"/>
      <c r="H125" s="20"/>
      <c r="I125" s="20"/>
      <c r="J125" s="20"/>
      <c r="K125" s="20"/>
      <c r="L125" s="20"/>
      <c r="M125" s="20"/>
      <c r="N125" s="20"/>
      <c r="O125" s="20"/>
      <c r="P125" s="20"/>
      <c r="Q125" s="20"/>
    </row>
    <row r="126" spans="1:17">
      <c r="A126" s="20"/>
      <c r="B126" s="20"/>
      <c r="C126" s="20"/>
      <c r="D126" s="20"/>
      <c r="E126" s="20"/>
      <c r="F126" s="20"/>
      <c r="G126" s="20"/>
      <c r="H126" s="20"/>
      <c r="I126" s="20"/>
      <c r="J126" s="20"/>
      <c r="K126" s="20"/>
      <c r="L126" s="20"/>
      <c r="M126" s="20"/>
      <c r="N126" s="20"/>
      <c r="O126" s="20"/>
      <c r="P126" s="20"/>
      <c r="Q126" s="20"/>
    </row>
    <row r="127" spans="1:17">
      <c r="A127" s="20"/>
      <c r="B127" s="20"/>
      <c r="C127" s="20"/>
      <c r="D127" s="20"/>
      <c r="E127" s="20"/>
      <c r="F127" s="20"/>
      <c r="G127" s="20"/>
      <c r="H127" s="20"/>
      <c r="I127" s="20"/>
      <c r="J127" s="20"/>
      <c r="K127" s="20"/>
      <c r="L127" s="20"/>
      <c r="M127" s="20"/>
      <c r="N127" s="20"/>
      <c r="O127" s="20"/>
      <c r="P127" s="20"/>
      <c r="Q127" s="20"/>
    </row>
    <row r="128" spans="1:17">
      <c r="A128" s="20"/>
      <c r="B128" s="20"/>
      <c r="C128" s="20"/>
      <c r="D128" s="20"/>
      <c r="E128" s="20"/>
      <c r="F128" s="20"/>
      <c r="G128" s="20"/>
      <c r="H128" s="20"/>
      <c r="I128" s="20"/>
      <c r="J128" s="20"/>
      <c r="K128" s="20"/>
      <c r="L128" s="20"/>
      <c r="M128" s="20"/>
      <c r="N128" s="20"/>
      <c r="O128" s="20"/>
      <c r="P128" s="20"/>
      <c r="Q128" s="20"/>
    </row>
    <row r="129" spans="1:17">
      <c r="A129" s="20"/>
      <c r="B129" s="20"/>
      <c r="C129" s="20"/>
      <c r="D129" s="20"/>
      <c r="E129" s="20"/>
      <c r="F129" s="20"/>
      <c r="G129" s="20"/>
      <c r="H129" s="20"/>
      <c r="I129" s="20"/>
      <c r="J129" s="20"/>
      <c r="K129" s="20"/>
      <c r="L129" s="20"/>
      <c r="M129" s="20"/>
      <c r="N129" s="20"/>
      <c r="O129" s="20"/>
      <c r="P129" s="20"/>
      <c r="Q129" s="20"/>
    </row>
    <row r="130" spans="1:17">
      <c r="A130" s="20"/>
      <c r="B130" s="20"/>
      <c r="C130" s="20"/>
      <c r="D130" s="20"/>
      <c r="E130" s="20"/>
      <c r="F130" s="20"/>
      <c r="G130" s="20"/>
      <c r="H130" s="20"/>
      <c r="I130" s="20"/>
      <c r="J130" s="20"/>
      <c r="K130" s="20"/>
      <c r="L130" s="20"/>
      <c r="M130" s="20"/>
      <c r="N130" s="20"/>
      <c r="O130" s="20"/>
      <c r="P130" s="20"/>
      <c r="Q130" s="20"/>
    </row>
    <row r="131" spans="1:17">
      <c r="A131" s="20"/>
      <c r="B131" s="20"/>
      <c r="C131" s="20"/>
      <c r="D131" s="20"/>
      <c r="E131" s="20"/>
      <c r="F131" s="20"/>
      <c r="G131" s="20"/>
      <c r="H131" s="20"/>
      <c r="I131" s="20"/>
      <c r="J131" s="20"/>
      <c r="K131" s="20"/>
      <c r="L131" s="20"/>
      <c r="M131" s="20"/>
      <c r="N131" s="20"/>
      <c r="O131" s="20"/>
      <c r="P131" s="20"/>
      <c r="Q131" s="20"/>
    </row>
    <row r="132" spans="1:17">
      <c r="A132" s="20"/>
      <c r="B132" s="20"/>
      <c r="C132" s="20"/>
      <c r="D132" s="20"/>
      <c r="E132" s="20"/>
      <c r="F132" s="20"/>
      <c r="G132" s="20"/>
      <c r="H132" s="20"/>
      <c r="I132" s="20"/>
      <c r="J132" s="20"/>
      <c r="K132" s="20"/>
      <c r="L132" s="20"/>
      <c r="M132" s="20"/>
      <c r="N132" s="20"/>
      <c r="O132" s="20"/>
      <c r="P132" s="20"/>
      <c r="Q132" s="20"/>
    </row>
    <row r="133" spans="1:17">
      <c r="A133" s="20"/>
      <c r="B133" s="20"/>
      <c r="C133" s="20"/>
      <c r="D133" s="20"/>
      <c r="E133" s="20"/>
      <c r="F133" s="20"/>
      <c r="G133" s="20"/>
      <c r="H133" s="20"/>
      <c r="I133" s="20"/>
      <c r="J133" s="20"/>
      <c r="K133" s="20"/>
      <c r="L133" s="20"/>
      <c r="M133" s="20"/>
      <c r="N133" s="20"/>
      <c r="O133" s="20"/>
      <c r="P133" s="20"/>
      <c r="Q133" s="20"/>
    </row>
    <row r="134" spans="1:17">
      <c r="A134" s="20"/>
      <c r="B134" s="20"/>
      <c r="C134" s="20"/>
      <c r="D134" s="20"/>
      <c r="E134" s="20"/>
      <c r="F134" s="20"/>
      <c r="G134" s="20"/>
      <c r="H134" s="20"/>
      <c r="I134" s="20"/>
      <c r="J134" s="20"/>
      <c r="K134" s="20"/>
      <c r="L134" s="20"/>
      <c r="M134" s="20"/>
      <c r="N134" s="20"/>
      <c r="O134" s="20"/>
      <c r="P134" s="20"/>
      <c r="Q134" s="20"/>
    </row>
    <row r="135" spans="1:17">
      <c r="A135" s="20"/>
      <c r="B135" s="20"/>
      <c r="C135" s="20"/>
      <c r="D135" s="20"/>
      <c r="E135" s="20"/>
      <c r="F135" s="20"/>
      <c r="G135" s="20"/>
      <c r="H135" s="20"/>
    </row>
    <row r="136" spans="1:17">
      <c r="A136" s="20"/>
      <c r="B136" s="20"/>
      <c r="C136" s="20"/>
      <c r="D136" s="20"/>
      <c r="E136" s="20"/>
      <c r="F136" s="20"/>
      <c r="G136" s="20"/>
      <c r="H136" s="20"/>
    </row>
    <row r="137" spans="1:17">
      <c r="A137" s="20"/>
      <c r="B137" s="20"/>
      <c r="C137" s="20"/>
      <c r="D137" s="20"/>
      <c r="E137" s="20"/>
      <c r="F137" s="20"/>
      <c r="G137" s="20"/>
      <c r="H137" s="20"/>
    </row>
    <row r="138" spans="1:17">
      <c r="A138" s="20"/>
      <c r="B138" s="20"/>
      <c r="C138" s="20"/>
      <c r="D138" s="20"/>
      <c r="E138" s="20"/>
      <c r="F138" s="20"/>
      <c r="G138" s="20"/>
      <c r="H138" s="20"/>
    </row>
    <row r="139" spans="1:17">
      <c r="A139" s="20"/>
      <c r="B139" s="20"/>
      <c r="C139" s="20"/>
      <c r="D139" s="20"/>
      <c r="E139" s="20"/>
      <c r="F139" s="20"/>
      <c r="G139" s="20"/>
      <c r="H139" s="20"/>
    </row>
    <row r="140" spans="1:17">
      <c r="A140" s="20"/>
      <c r="B140" s="20"/>
      <c r="C140" s="20"/>
      <c r="D140" s="20"/>
      <c r="E140" s="20"/>
      <c r="F140" s="20"/>
      <c r="G140" s="20"/>
      <c r="H140" s="20"/>
    </row>
    <row r="141" spans="1:17">
      <c r="A141" s="20"/>
      <c r="B141" s="20"/>
      <c r="C141" s="20"/>
      <c r="D141" s="20"/>
      <c r="E141" s="20"/>
      <c r="F141" s="20"/>
      <c r="G141" s="20"/>
      <c r="H141" s="20"/>
    </row>
    <row r="142" spans="1:17">
      <c r="A142" s="20"/>
      <c r="B142" s="20"/>
      <c r="C142" s="20"/>
      <c r="D142" s="20"/>
      <c r="E142" s="20"/>
      <c r="F142" s="20"/>
      <c r="G142" s="20"/>
      <c r="H142" s="20"/>
    </row>
    <row r="143" spans="1:17">
      <c r="A143" s="20"/>
      <c r="B143" s="20"/>
      <c r="C143" s="20"/>
      <c r="D143" s="20"/>
      <c r="E143" s="20"/>
      <c r="F143" s="20"/>
      <c r="G143" s="20"/>
      <c r="H143" s="20"/>
    </row>
    <row r="144" spans="1:17">
      <c r="A144" s="20"/>
      <c r="B144" s="20"/>
      <c r="C144" s="20"/>
      <c r="D144" s="20"/>
      <c r="E144" s="20"/>
      <c r="F144" s="20"/>
      <c r="G144" s="20"/>
      <c r="H144" s="20"/>
    </row>
    <row r="145" spans="1:8">
      <c r="A145" s="20"/>
      <c r="B145" s="20"/>
      <c r="C145" s="20"/>
      <c r="D145" s="20"/>
      <c r="E145" s="20"/>
      <c r="F145" s="20"/>
      <c r="G145" s="20"/>
      <c r="H145" s="20"/>
    </row>
    <row r="146" spans="1:8">
      <c r="A146" s="20"/>
      <c r="B146" s="20"/>
      <c r="C146" s="20"/>
      <c r="D146" s="20"/>
      <c r="E146" s="20"/>
      <c r="F146" s="20"/>
      <c r="G146" s="20"/>
      <c r="H146" s="20"/>
    </row>
    <row r="147" spans="1:8">
      <c r="A147" s="20"/>
      <c r="B147" s="20"/>
      <c r="C147" s="20"/>
      <c r="D147" s="20"/>
      <c r="E147" s="20"/>
      <c r="F147" s="20"/>
      <c r="G147" s="20"/>
      <c r="H147" s="20"/>
    </row>
    <row r="148" spans="1:8">
      <c r="A148" s="20"/>
      <c r="B148" s="20"/>
      <c r="C148" s="20"/>
      <c r="D148" s="20"/>
      <c r="E148" s="20"/>
      <c r="F148" s="20"/>
      <c r="G148" s="20"/>
      <c r="H148" s="20"/>
    </row>
    <row r="149" spans="1:8">
      <c r="A149" s="20"/>
      <c r="B149" s="20"/>
      <c r="C149" s="20"/>
      <c r="D149" s="20"/>
      <c r="E149" s="20"/>
      <c r="F149" s="20"/>
      <c r="G149" s="20"/>
      <c r="H149" s="20"/>
    </row>
    <row r="150" spans="1:8">
      <c r="A150" s="20"/>
      <c r="B150" s="20"/>
      <c r="C150" s="20"/>
      <c r="D150" s="20"/>
      <c r="E150" s="20"/>
      <c r="F150" s="20"/>
      <c r="G150" s="20"/>
      <c r="H150" s="20"/>
    </row>
    <row r="151" spans="1:8">
      <c r="A151" s="20"/>
      <c r="B151" s="20"/>
      <c r="C151" s="20"/>
      <c r="D151" s="20"/>
      <c r="E151" s="20"/>
      <c r="F151" s="20"/>
      <c r="G151" s="20"/>
      <c r="H151" s="20"/>
    </row>
    <row r="152" spans="1:8">
      <c r="A152" s="20"/>
      <c r="B152" s="20"/>
      <c r="C152" s="20"/>
      <c r="D152" s="20"/>
      <c r="E152" s="20"/>
      <c r="F152" s="20"/>
      <c r="G152" s="20"/>
      <c r="H152" s="20"/>
    </row>
    <row r="153" spans="1:8">
      <c r="A153" s="20"/>
      <c r="B153" s="20"/>
      <c r="C153" s="20"/>
      <c r="D153" s="20"/>
      <c r="E153" s="20"/>
      <c r="F153" s="20"/>
      <c r="G153" s="20"/>
      <c r="H153" s="20"/>
    </row>
    <row r="154" spans="1:8">
      <c r="A154" s="20"/>
      <c r="B154" s="20"/>
      <c r="C154" s="20"/>
      <c r="D154" s="20"/>
      <c r="E154" s="20"/>
      <c r="F154" s="20"/>
      <c r="G154" s="20"/>
      <c r="H154" s="20"/>
    </row>
    <row r="155" spans="1:8">
      <c r="A155" s="20"/>
      <c r="B155" s="20"/>
      <c r="C155" s="20"/>
      <c r="D155" s="20"/>
      <c r="E155" s="20"/>
      <c r="F155" s="20"/>
      <c r="G155" s="20"/>
      <c r="H155" s="20"/>
    </row>
    <row r="156" spans="1:8">
      <c r="A156" s="20"/>
      <c r="B156" s="20"/>
      <c r="C156" s="20"/>
      <c r="D156" s="20"/>
      <c r="E156" s="20"/>
      <c r="F156" s="20"/>
      <c r="G156" s="20"/>
      <c r="H156" s="20"/>
    </row>
    <row r="157" spans="1:8">
      <c r="A157" s="20"/>
      <c r="B157" s="20"/>
      <c r="C157" s="20"/>
      <c r="D157" s="20"/>
      <c r="E157" s="20"/>
      <c r="F157" s="20"/>
      <c r="G157" s="20"/>
      <c r="H157" s="20"/>
    </row>
    <row r="158" spans="1:8">
      <c r="A158" s="20"/>
      <c r="B158" s="20"/>
      <c r="C158" s="20"/>
      <c r="D158" s="20"/>
      <c r="E158" s="20"/>
      <c r="F158" s="20"/>
      <c r="G158" s="20"/>
      <c r="H158" s="20"/>
    </row>
    <row r="159" spans="1:8">
      <c r="A159" s="20"/>
      <c r="B159" s="20"/>
      <c r="C159" s="20"/>
      <c r="D159" s="20"/>
      <c r="E159" s="20"/>
      <c r="F159" s="20"/>
      <c r="G159" s="20"/>
      <c r="H159" s="20"/>
    </row>
    <row r="160" spans="1:8">
      <c r="A160" s="20"/>
      <c r="B160" s="20"/>
      <c r="C160" s="20"/>
      <c r="D160" s="20"/>
      <c r="E160" s="20"/>
      <c r="F160" s="20"/>
      <c r="G160" s="20"/>
      <c r="H160" s="20"/>
    </row>
    <row r="161" spans="1:8">
      <c r="A161" s="20"/>
      <c r="B161" s="20"/>
      <c r="C161" s="20"/>
      <c r="D161" s="20"/>
      <c r="E161" s="20"/>
      <c r="F161" s="20"/>
      <c r="G161" s="20"/>
      <c r="H161" s="20"/>
    </row>
    <row r="162" spans="1:8">
      <c r="A162" s="20"/>
      <c r="B162" s="20"/>
      <c r="C162" s="20"/>
      <c r="D162" s="20"/>
      <c r="E162" s="20"/>
      <c r="F162" s="20"/>
      <c r="G162" s="20"/>
      <c r="H162" s="20"/>
    </row>
    <row r="163" spans="1:8">
      <c r="A163" s="20"/>
      <c r="B163" s="20"/>
      <c r="C163" s="20"/>
      <c r="D163" s="20"/>
      <c r="E163" s="20"/>
      <c r="F163" s="20"/>
      <c r="G163" s="20"/>
      <c r="H163" s="20"/>
    </row>
    <row r="164" spans="1:8">
      <c r="A164" s="20"/>
      <c r="B164" s="20"/>
      <c r="C164" s="20"/>
      <c r="D164" s="20"/>
      <c r="E164" s="20"/>
      <c r="F164" s="20"/>
      <c r="G164" s="20"/>
      <c r="H164" s="20"/>
    </row>
    <row r="165" spans="1:8">
      <c r="A165" s="20"/>
      <c r="B165" s="20"/>
      <c r="C165" s="20"/>
      <c r="D165" s="20"/>
      <c r="E165" s="20"/>
      <c r="F165" s="20"/>
      <c r="G165" s="20"/>
      <c r="H165" s="20"/>
    </row>
    <row r="166" spans="1:8">
      <c r="A166" s="20"/>
      <c r="B166" s="20"/>
      <c r="C166" s="20"/>
      <c r="D166" s="20"/>
      <c r="E166" s="20"/>
      <c r="F166" s="20"/>
      <c r="G166" s="20"/>
      <c r="H166" s="20"/>
    </row>
    <row r="167" spans="1:8">
      <c r="A167" s="20"/>
      <c r="B167" s="20"/>
      <c r="C167" s="20"/>
      <c r="D167" s="20"/>
      <c r="E167" s="20"/>
      <c r="F167" s="20"/>
      <c r="G167" s="20"/>
      <c r="H167" s="20"/>
    </row>
    <row r="168" spans="1:8">
      <c r="A168" s="20"/>
      <c r="B168" s="20"/>
      <c r="C168" s="20"/>
      <c r="D168" s="20"/>
      <c r="E168" s="20"/>
      <c r="F168" s="20"/>
      <c r="G168" s="20"/>
      <c r="H168" s="20"/>
    </row>
    <row r="169" spans="1:8">
      <c r="A169" s="20"/>
      <c r="B169" s="20"/>
      <c r="C169" s="20"/>
      <c r="D169" s="20"/>
      <c r="E169" s="20"/>
      <c r="F169" s="20"/>
      <c r="G169" s="20"/>
      <c r="H169" s="20"/>
    </row>
    <row r="170" spans="1:8">
      <c r="A170" s="20"/>
      <c r="B170" s="20"/>
      <c r="C170" s="20"/>
      <c r="D170" s="20"/>
      <c r="E170" s="20"/>
      <c r="F170" s="20"/>
      <c r="G170" s="20"/>
      <c r="H170" s="20"/>
    </row>
    <row r="171" spans="1:8">
      <c r="A171" s="20"/>
      <c r="B171" s="20"/>
      <c r="C171" s="20"/>
      <c r="D171" s="20"/>
      <c r="E171" s="20"/>
      <c r="F171" s="20"/>
      <c r="G171" s="20"/>
      <c r="H171" s="20"/>
    </row>
    <row r="172" spans="1:8">
      <c r="A172" s="20"/>
      <c r="B172" s="20"/>
      <c r="C172" s="20"/>
      <c r="D172" s="20"/>
      <c r="E172" s="20"/>
      <c r="F172" s="20"/>
      <c r="G172" s="20"/>
      <c r="H172" s="20"/>
    </row>
    <row r="173" spans="1:8">
      <c r="A173" s="20"/>
      <c r="B173" s="20"/>
      <c r="C173" s="20"/>
      <c r="D173" s="20"/>
      <c r="E173" s="20"/>
      <c r="F173" s="20"/>
      <c r="G173" s="20"/>
      <c r="H173" s="20"/>
    </row>
    <row r="174" spans="1:8">
      <c r="A174" s="20"/>
      <c r="B174" s="20"/>
      <c r="C174" s="20"/>
      <c r="D174" s="20"/>
      <c r="E174" s="20"/>
      <c r="F174" s="20"/>
      <c r="G174" s="20"/>
      <c r="H174" s="20"/>
    </row>
    <row r="175" spans="1:8">
      <c r="A175" s="20"/>
      <c r="B175" s="20"/>
      <c r="C175" s="20"/>
      <c r="D175" s="20"/>
      <c r="E175" s="20"/>
      <c r="F175" s="20"/>
      <c r="G175" s="20"/>
      <c r="H175" s="20"/>
    </row>
    <row r="176" spans="1:8">
      <c r="A176" s="20"/>
      <c r="B176" s="20"/>
      <c r="C176" s="20"/>
      <c r="D176" s="20"/>
      <c r="E176" s="20"/>
      <c r="F176" s="20"/>
      <c r="G176" s="20"/>
      <c r="H176" s="20"/>
    </row>
    <row r="177" spans="1:8">
      <c r="A177" s="20"/>
      <c r="B177" s="20"/>
      <c r="C177" s="20"/>
      <c r="D177" s="20"/>
      <c r="E177" s="20"/>
      <c r="F177" s="20"/>
      <c r="G177" s="20"/>
      <c r="H177" s="20"/>
    </row>
    <row r="178" spans="1:8">
      <c r="A178" s="20"/>
      <c r="B178" s="20"/>
      <c r="C178" s="20"/>
      <c r="D178" s="20"/>
      <c r="E178" s="20"/>
      <c r="F178" s="20"/>
      <c r="G178" s="20"/>
      <c r="H178" s="20"/>
    </row>
    <row r="179" spans="1:8">
      <c r="A179" s="20"/>
      <c r="B179" s="20"/>
      <c r="C179" s="20"/>
      <c r="D179" s="20"/>
      <c r="E179" s="20"/>
      <c r="F179" s="20"/>
      <c r="G179" s="20"/>
      <c r="H179" s="20"/>
    </row>
    <row r="180" spans="1:8">
      <c r="A180" s="20"/>
      <c r="B180" s="20"/>
      <c r="C180" s="20"/>
      <c r="D180" s="20"/>
      <c r="E180" s="20"/>
      <c r="F180" s="20"/>
      <c r="G180" s="20"/>
      <c r="H180" s="20"/>
    </row>
    <row r="181" spans="1:8">
      <c r="A181" s="20"/>
      <c r="B181" s="20"/>
      <c r="C181" s="20"/>
      <c r="D181" s="20"/>
      <c r="E181" s="20"/>
      <c r="F181" s="20"/>
      <c r="G181" s="20"/>
      <c r="H181" s="20"/>
    </row>
    <row r="182" spans="1:8">
      <c r="A182" s="20"/>
      <c r="B182" s="20"/>
      <c r="C182" s="20"/>
      <c r="D182" s="20"/>
      <c r="E182" s="20"/>
      <c r="F182" s="20"/>
      <c r="G182" s="20"/>
      <c r="H182" s="20"/>
    </row>
    <row r="183" spans="1:8">
      <c r="A183" s="20"/>
      <c r="B183" s="20"/>
      <c r="C183" s="20"/>
      <c r="D183" s="20"/>
      <c r="E183" s="20"/>
      <c r="F183" s="20"/>
      <c r="G183" s="20"/>
      <c r="H183" s="20"/>
    </row>
    <row r="184" spans="1:8">
      <c r="A184" s="20"/>
      <c r="B184" s="20"/>
      <c r="C184" s="20"/>
      <c r="D184" s="20"/>
      <c r="E184" s="20"/>
      <c r="F184" s="20"/>
      <c r="G184" s="20"/>
      <c r="H184" s="20"/>
    </row>
    <row r="185" spans="1:8">
      <c r="A185" s="20"/>
      <c r="B185" s="20"/>
      <c r="C185" s="20"/>
      <c r="D185" s="20"/>
      <c r="E185" s="20"/>
      <c r="F185" s="20"/>
      <c r="G185" s="20"/>
      <c r="H185" s="20"/>
    </row>
    <row r="186" spans="1:8">
      <c r="A186" s="20"/>
      <c r="B186" s="20"/>
      <c r="C186" s="20"/>
      <c r="D186" s="20"/>
      <c r="E186" s="20"/>
      <c r="F186" s="20"/>
      <c r="G186" s="20"/>
      <c r="H186" s="20"/>
    </row>
    <row r="187" spans="1:8">
      <c r="A187" s="20"/>
      <c r="B187" s="20"/>
      <c r="C187" s="20"/>
      <c r="D187" s="20"/>
      <c r="E187" s="20"/>
      <c r="F187" s="20"/>
      <c r="G187" s="20"/>
      <c r="H187" s="20"/>
    </row>
    <row r="188" spans="1:8">
      <c r="A188" s="20"/>
      <c r="B188" s="20"/>
      <c r="C188" s="20"/>
      <c r="D188" s="20"/>
      <c r="E188" s="20"/>
      <c r="F188" s="20"/>
      <c r="G188" s="20"/>
      <c r="H188" s="20"/>
    </row>
    <row r="189" spans="1:8">
      <c r="A189" s="20"/>
      <c r="B189" s="20"/>
      <c r="C189" s="20"/>
      <c r="D189" s="20"/>
      <c r="E189" s="20"/>
      <c r="F189" s="20"/>
      <c r="G189" s="20"/>
      <c r="H189" s="20"/>
    </row>
    <row r="190" spans="1:8">
      <c r="A190" s="20"/>
      <c r="B190" s="20"/>
      <c r="C190" s="20"/>
      <c r="D190" s="20"/>
      <c r="E190" s="20"/>
      <c r="F190" s="20"/>
      <c r="G190" s="20"/>
      <c r="H190" s="20"/>
    </row>
    <row r="191" spans="1:8">
      <c r="A191" s="20"/>
      <c r="B191" s="20"/>
      <c r="C191" s="20"/>
      <c r="D191" s="20"/>
      <c r="E191" s="20"/>
      <c r="F191" s="20"/>
      <c r="G191" s="20"/>
      <c r="H191" s="20"/>
    </row>
    <row r="192" spans="1:8">
      <c r="A192" s="20"/>
      <c r="B192" s="20"/>
      <c r="C192" s="20"/>
      <c r="D192" s="20"/>
      <c r="E192" s="20"/>
      <c r="F192" s="20"/>
      <c r="G192" s="20"/>
      <c r="H192" s="20"/>
    </row>
    <row r="193" spans="1:8">
      <c r="A193" s="20"/>
      <c r="B193" s="20"/>
      <c r="C193" s="20"/>
      <c r="D193" s="20"/>
      <c r="E193" s="20"/>
      <c r="F193" s="20"/>
      <c r="G193" s="20"/>
      <c r="H193" s="20"/>
    </row>
    <row r="194" spans="1:8">
      <c r="A194" s="20"/>
      <c r="B194" s="20"/>
      <c r="C194" s="20"/>
      <c r="D194" s="20"/>
      <c r="E194" s="20"/>
      <c r="F194" s="20"/>
      <c r="G194" s="20"/>
      <c r="H194" s="20"/>
    </row>
    <row r="195" spans="1:8">
      <c r="A195" s="20"/>
      <c r="B195" s="20"/>
      <c r="C195" s="20"/>
      <c r="D195" s="20"/>
      <c r="E195" s="20"/>
      <c r="F195" s="20"/>
      <c r="G195" s="20"/>
      <c r="H195" s="20"/>
    </row>
    <row r="196" spans="1:8">
      <c r="A196" s="20"/>
      <c r="B196" s="20"/>
      <c r="C196" s="20"/>
      <c r="D196" s="20"/>
      <c r="E196" s="20"/>
      <c r="F196" s="20"/>
      <c r="G196" s="20"/>
      <c r="H196" s="20"/>
    </row>
    <row r="197" spans="1:8">
      <c r="A197" s="20"/>
      <c r="B197" s="20"/>
      <c r="C197" s="20"/>
      <c r="D197" s="20"/>
      <c r="E197" s="20"/>
      <c r="F197" s="20"/>
      <c r="G197" s="20"/>
      <c r="H197" s="20"/>
    </row>
    <row r="198" spans="1:8">
      <c r="A198" s="20"/>
      <c r="B198" s="20"/>
      <c r="C198" s="20"/>
      <c r="D198" s="20"/>
      <c r="E198" s="20"/>
      <c r="F198" s="20"/>
      <c r="G198" s="20"/>
      <c r="H198" s="20"/>
    </row>
    <row r="199" spans="1:8">
      <c r="A199" s="20"/>
      <c r="B199" s="20"/>
      <c r="C199" s="20"/>
      <c r="D199" s="20"/>
      <c r="E199" s="20"/>
      <c r="F199" s="20"/>
      <c r="G199" s="20"/>
      <c r="H199" s="20"/>
    </row>
    <row r="200" spans="1:8">
      <c r="A200" s="20"/>
      <c r="B200" s="20"/>
      <c r="C200" s="20"/>
      <c r="D200" s="20"/>
      <c r="E200" s="20"/>
      <c r="F200" s="20"/>
      <c r="G200" s="20"/>
      <c r="H200" s="20"/>
    </row>
    <row r="201" spans="1:8">
      <c r="A201" s="20"/>
      <c r="B201" s="20"/>
      <c r="C201" s="20"/>
      <c r="D201" s="20"/>
      <c r="E201" s="20"/>
      <c r="F201" s="20"/>
      <c r="G201" s="20"/>
      <c r="H201" s="20"/>
    </row>
    <row r="202" spans="1:8">
      <c r="A202" s="20"/>
      <c r="B202" s="20"/>
      <c r="C202" s="20"/>
      <c r="D202" s="20"/>
      <c r="E202" s="20"/>
      <c r="F202" s="20"/>
      <c r="G202" s="20"/>
      <c r="H202" s="20"/>
    </row>
    <row r="203" spans="1:8">
      <c r="A203" s="20"/>
      <c r="B203" s="20"/>
      <c r="C203" s="20"/>
      <c r="D203" s="20"/>
      <c r="E203" s="20"/>
      <c r="F203" s="20"/>
      <c r="G203" s="20"/>
      <c r="H203" s="20"/>
    </row>
    <row r="204" spans="1:8">
      <c r="A204" s="20"/>
      <c r="B204" s="20"/>
      <c r="C204" s="20"/>
      <c r="D204" s="20"/>
      <c r="E204" s="20"/>
      <c r="F204" s="20"/>
      <c r="G204" s="20"/>
      <c r="H204" s="20"/>
    </row>
    <row r="205" spans="1:8">
      <c r="A205" s="20"/>
      <c r="B205" s="20"/>
      <c r="C205" s="20"/>
      <c r="D205" s="20"/>
      <c r="E205" s="20"/>
      <c r="F205" s="20"/>
      <c r="G205" s="20"/>
      <c r="H205" s="20"/>
    </row>
    <row r="206" spans="1:8">
      <c r="A206" s="20"/>
      <c r="B206" s="20"/>
      <c r="C206" s="20"/>
      <c r="D206" s="20"/>
      <c r="E206" s="20"/>
      <c r="F206" s="20"/>
      <c r="G206" s="20"/>
      <c r="H206" s="20"/>
    </row>
    <row r="207" spans="1:8">
      <c r="A207" s="20"/>
      <c r="B207" s="20"/>
      <c r="C207" s="20"/>
      <c r="D207" s="20"/>
      <c r="E207" s="20"/>
      <c r="F207" s="20"/>
      <c r="G207" s="20"/>
      <c r="H207" s="20"/>
    </row>
    <row r="208" spans="1:8">
      <c r="A208" s="20"/>
      <c r="B208" s="20"/>
      <c r="C208" s="20"/>
      <c r="D208" s="20"/>
      <c r="E208" s="20"/>
      <c r="F208" s="20"/>
      <c r="G208" s="20"/>
      <c r="H208" s="20"/>
    </row>
    <row r="209" spans="1:8">
      <c r="A209" s="20"/>
      <c r="B209" s="20"/>
      <c r="C209" s="20"/>
      <c r="D209" s="20"/>
      <c r="E209" s="20"/>
      <c r="F209" s="20"/>
      <c r="G209" s="20"/>
      <c r="H209" s="20"/>
    </row>
    <row r="210" spans="1:8">
      <c r="A210" s="20"/>
      <c r="B210" s="20"/>
      <c r="C210" s="20"/>
      <c r="D210" s="20"/>
      <c r="E210" s="20"/>
      <c r="F210" s="20"/>
      <c r="G210" s="20"/>
      <c r="H210" s="20"/>
    </row>
    <row r="211" spans="1:8">
      <c r="A211" s="20"/>
      <c r="B211" s="20"/>
      <c r="C211" s="20"/>
      <c r="D211" s="20"/>
      <c r="E211" s="20"/>
      <c r="F211" s="20"/>
      <c r="G211" s="20"/>
      <c r="H211" s="20"/>
    </row>
    <row r="212" spans="1:8">
      <c r="A212" s="20"/>
      <c r="B212" s="20"/>
      <c r="C212" s="20"/>
      <c r="D212" s="20"/>
      <c r="E212" s="20"/>
      <c r="F212" s="20"/>
      <c r="G212" s="20"/>
      <c r="H212" s="20"/>
    </row>
  </sheetData>
  <sheetProtection algorithmName="SHA-512" hashValue="MbrYKrq/sL9MiCsoMUVOGG//SuJSJ3h8wGgpvoBg4E58PRxyDOou7o2kcM0U0yQkMvQHGfSGKgwM93p/yQpjEg==" saltValue="0/GJ1iav/yh5oEs63uYoeg==" spinCount="100000" sheet="1" selectLockedCells="1"/>
  <phoneticPr fontId="2" type="noConversion"/>
  <conditionalFormatting sqref="A1:Q212">
    <cfRule type="expression" dxfId="192" priority="2" stopIfTrue="1">
      <formula>AND(A1&lt;&gt;"",OR(A1=0,A1="0"))</formula>
    </cfRule>
  </conditionalFormatting>
  <hyperlinks>
    <hyperlink ref="H36" location="'Guía de trabajo'!A9" display="'Guía de trabajo'!A9" xr:uid="{00000000-0004-0000-0000-000000000000}"/>
  </hyperlinks>
  <pageMargins left="0.75" right="0.75" top="1" bottom="1" header="0" footer="0"/>
  <pageSetup paperSize="9" orientation="portrait" horizontalDpi="4294967294" verticalDpi="300"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1"/>
  <dimension ref="A1:T97"/>
  <sheetViews>
    <sheetView view="pageBreakPreview" topLeftCell="A15" zoomScale="140" zoomScaleNormal="140" zoomScaleSheetLayoutView="140" workbookViewId="0"/>
  </sheetViews>
  <sheetFormatPr baseColWidth="10" defaultRowHeight="13.2"/>
  <cols>
    <col min="1" max="1" width="5.44140625" customWidth="1"/>
  </cols>
  <sheetData>
    <row r="1" spans="1:20">
      <c r="A1" s="92"/>
      <c r="B1" s="4"/>
      <c r="C1" s="4"/>
      <c r="D1" s="4"/>
      <c r="E1" s="4"/>
      <c r="F1" s="4"/>
      <c r="G1" s="4"/>
      <c r="H1" s="4"/>
      <c r="I1" s="20"/>
      <c r="J1" s="20"/>
      <c r="K1" s="20"/>
      <c r="L1" s="20"/>
      <c r="M1" s="20"/>
      <c r="N1" s="20"/>
      <c r="O1" s="20"/>
      <c r="P1" s="20"/>
      <c r="Q1" s="20"/>
      <c r="R1" s="20"/>
      <c r="S1" s="20"/>
      <c r="T1" s="20"/>
    </row>
    <row r="2" spans="1:20">
      <c r="A2" s="313" t="s">
        <v>356</v>
      </c>
      <c r="B2" s="313"/>
      <c r="C2" s="313"/>
      <c r="D2" s="313"/>
      <c r="E2" s="313"/>
      <c r="F2" s="313"/>
      <c r="G2" s="313"/>
      <c r="H2" s="313"/>
      <c r="I2" s="20"/>
      <c r="J2" s="20"/>
      <c r="K2" s="20"/>
      <c r="L2" s="20"/>
      <c r="M2" s="20"/>
      <c r="N2" s="20"/>
      <c r="O2" s="20"/>
      <c r="P2" s="20"/>
      <c r="Q2" s="20"/>
      <c r="R2" s="20"/>
      <c r="S2" s="20"/>
      <c r="T2" s="20"/>
    </row>
    <row r="3" spans="1:20">
      <c r="A3" s="313"/>
      <c r="B3" s="313"/>
      <c r="C3" s="313"/>
      <c r="D3" s="313"/>
      <c r="E3" s="313"/>
      <c r="F3" s="313"/>
      <c r="G3" s="313"/>
      <c r="H3" s="313"/>
      <c r="I3" s="20"/>
      <c r="J3" s="20"/>
      <c r="K3" s="20"/>
      <c r="L3" s="20"/>
      <c r="M3" s="20"/>
      <c r="N3" s="20"/>
      <c r="O3" s="20"/>
      <c r="P3" s="20"/>
      <c r="Q3" s="20"/>
      <c r="R3" s="20"/>
      <c r="S3" s="20"/>
      <c r="T3" s="20"/>
    </row>
    <row r="4" spans="1:20">
      <c r="A4" s="314" t="s">
        <v>487</v>
      </c>
      <c r="B4" s="314"/>
      <c r="C4" s="314"/>
      <c r="D4" s="314"/>
      <c r="E4" s="314"/>
      <c r="F4" s="314"/>
      <c r="G4" s="314"/>
      <c r="H4" s="314"/>
      <c r="I4" s="20"/>
      <c r="J4" s="20"/>
      <c r="K4" s="20"/>
      <c r="L4" s="20"/>
      <c r="M4" s="20"/>
      <c r="N4" s="20"/>
      <c r="O4" s="20"/>
      <c r="P4" s="20"/>
      <c r="Q4" s="20"/>
      <c r="R4" s="20"/>
      <c r="S4" s="20"/>
      <c r="T4" s="20"/>
    </row>
    <row r="5" spans="1:20">
      <c r="A5" s="314"/>
      <c r="B5" s="314"/>
      <c r="C5" s="314"/>
      <c r="D5" s="314"/>
      <c r="E5" s="314"/>
      <c r="F5" s="314"/>
      <c r="G5" s="314"/>
      <c r="H5" s="314"/>
      <c r="I5" s="20"/>
      <c r="J5" s="20"/>
      <c r="K5" s="20"/>
      <c r="L5" s="20"/>
      <c r="M5" s="20"/>
      <c r="N5" s="20"/>
      <c r="O5" s="20"/>
      <c r="P5" s="20"/>
      <c r="Q5" s="20"/>
      <c r="R5" s="20"/>
      <c r="S5" s="20"/>
      <c r="T5" s="20"/>
    </row>
    <row r="6" spans="1:20" ht="13.8" thickBot="1">
      <c r="A6" s="19"/>
      <c r="B6" s="19"/>
      <c r="C6" s="19"/>
      <c r="D6" s="19"/>
      <c r="E6" s="19"/>
      <c r="F6" s="19"/>
      <c r="G6" s="19"/>
      <c r="H6" s="19"/>
      <c r="I6" s="20"/>
      <c r="J6" s="20"/>
      <c r="K6" s="20"/>
      <c r="L6" s="20"/>
      <c r="M6" s="20"/>
      <c r="N6" s="20"/>
      <c r="O6" s="20"/>
      <c r="P6" s="20"/>
      <c r="Q6" s="20"/>
      <c r="R6" s="20"/>
      <c r="S6" s="20"/>
      <c r="T6" s="20"/>
    </row>
    <row r="7" spans="1:20" ht="14.4" thickTop="1" thickBot="1">
      <c r="A7" s="19"/>
      <c r="B7" s="316" t="s">
        <v>486</v>
      </c>
      <c r="C7" s="317"/>
      <c r="D7" s="317"/>
      <c r="E7" s="317"/>
      <c r="F7" s="317"/>
      <c r="G7" s="318"/>
      <c r="H7" s="19"/>
      <c r="I7" s="20"/>
      <c r="J7" s="20"/>
      <c r="K7" s="20"/>
      <c r="L7" s="20"/>
      <c r="M7" s="20"/>
      <c r="N7" s="20"/>
      <c r="O7" s="20"/>
      <c r="P7" s="20"/>
      <c r="Q7" s="20"/>
      <c r="R7" s="20"/>
      <c r="S7" s="20"/>
      <c r="T7" s="20"/>
    </row>
    <row r="8" spans="1:20" ht="13.8" thickTop="1">
      <c r="A8" s="4"/>
      <c r="B8" s="4"/>
      <c r="C8" s="4"/>
      <c r="D8" s="4"/>
      <c r="E8" s="4"/>
      <c r="F8" s="4"/>
      <c r="G8" s="4"/>
      <c r="H8" s="4"/>
      <c r="I8" s="20"/>
      <c r="J8" s="20"/>
      <c r="K8" s="20"/>
      <c r="L8" s="20"/>
      <c r="M8" s="20"/>
      <c r="N8" s="20"/>
      <c r="O8" s="20"/>
      <c r="P8" s="20"/>
      <c r="Q8" s="20"/>
      <c r="R8" s="20"/>
      <c r="S8" s="20"/>
      <c r="T8" s="20"/>
    </row>
    <row r="9" spans="1:20">
      <c r="A9" s="4">
        <v>1</v>
      </c>
      <c r="B9" s="14" t="s">
        <v>591</v>
      </c>
      <c r="C9" s="14"/>
      <c r="D9" s="14"/>
      <c r="E9" s="14"/>
      <c r="F9" s="14"/>
      <c r="G9" s="14"/>
      <c r="H9" s="14"/>
      <c r="I9" s="20"/>
      <c r="J9" s="20"/>
      <c r="K9" s="20"/>
      <c r="L9" s="20"/>
      <c r="M9" s="20"/>
      <c r="N9" s="20"/>
      <c r="O9" s="20"/>
      <c r="P9" s="20"/>
      <c r="Q9" s="20"/>
      <c r="R9" s="20"/>
      <c r="S9" s="20"/>
      <c r="T9" s="20"/>
    </row>
    <row r="10" spans="1:20">
      <c r="A10" s="4">
        <v>1</v>
      </c>
      <c r="B10" s="315" t="s">
        <v>592</v>
      </c>
      <c r="C10" s="315"/>
      <c r="D10" s="315"/>
      <c r="E10" s="315"/>
      <c r="F10" s="315"/>
      <c r="G10" s="315"/>
      <c r="H10" s="4"/>
      <c r="I10" s="20"/>
      <c r="J10" s="20"/>
      <c r="K10" s="20"/>
      <c r="L10" s="20"/>
      <c r="M10" s="20"/>
      <c r="N10" s="20"/>
      <c r="O10" s="20"/>
      <c r="P10" s="20"/>
      <c r="Q10" s="20"/>
      <c r="R10" s="20"/>
      <c r="S10" s="20"/>
      <c r="T10" s="20"/>
    </row>
    <row r="11" spans="1:20">
      <c r="A11" s="4"/>
      <c r="B11" s="4"/>
      <c r="C11" s="4"/>
      <c r="D11" s="4"/>
      <c r="E11" s="4"/>
      <c r="F11" s="4"/>
      <c r="G11" s="4"/>
      <c r="H11" s="4"/>
      <c r="I11" s="20"/>
      <c r="J11" s="20"/>
      <c r="K11" s="20"/>
      <c r="L11" s="20"/>
      <c r="M11" s="20"/>
      <c r="N11" s="20"/>
      <c r="O11" s="20"/>
      <c r="P11" s="20"/>
      <c r="Q11" s="20"/>
      <c r="R11" s="20"/>
      <c r="S11" s="20"/>
      <c r="T11" s="20"/>
    </row>
    <row r="12" spans="1:20">
      <c r="A12" s="4">
        <v>2</v>
      </c>
      <c r="B12" s="14" t="s">
        <v>590</v>
      </c>
      <c r="C12" s="14"/>
      <c r="D12" s="14"/>
      <c r="E12" s="14"/>
      <c r="F12" s="4"/>
      <c r="G12" s="4"/>
      <c r="H12" s="4"/>
      <c r="I12" s="20"/>
      <c r="J12" s="20"/>
      <c r="K12" s="20"/>
      <c r="L12" s="20"/>
      <c r="M12" s="20"/>
      <c r="N12" s="20"/>
      <c r="O12" s="20"/>
      <c r="P12" s="20"/>
      <c r="Q12" s="20"/>
      <c r="R12" s="20"/>
      <c r="S12" s="20"/>
      <c r="T12" s="20"/>
    </row>
    <row r="13" spans="1:20">
      <c r="A13" s="4">
        <v>2</v>
      </c>
      <c r="B13" s="315" t="s">
        <v>338</v>
      </c>
      <c r="C13" s="315"/>
      <c r="D13" s="315"/>
      <c r="E13" s="315"/>
      <c r="F13" s="315"/>
      <c r="G13" s="315"/>
      <c r="H13" s="4"/>
      <c r="I13" s="20"/>
      <c r="J13" s="20"/>
      <c r="K13" s="20"/>
      <c r="L13" s="20"/>
      <c r="M13" s="20"/>
      <c r="N13" s="20"/>
      <c r="O13" s="20"/>
      <c r="P13" s="20"/>
      <c r="Q13" s="20"/>
      <c r="R13" s="20"/>
      <c r="S13" s="20"/>
      <c r="T13" s="20"/>
    </row>
    <row r="14" spans="1:20">
      <c r="A14" s="4"/>
      <c r="B14" s="4"/>
      <c r="C14" s="4"/>
      <c r="D14" s="4"/>
      <c r="E14" s="4"/>
      <c r="F14" s="4"/>
      <c r="G14" s="4"/>
      <c r="H14" s="4"/>
      <c r="I14" s="20"/>
      <c r="J14" s="20"/>
      <c r="K14" s="20"/>
      <c r="L14" s="20"/>
      <c r="M14" s="20"/>
      <c r="N14" s="20"/>
      <c r="O14" s="20"/>
      <c r="P14" s="20"/>
      <c r="Q14" s="20"/>
      <c r="R14" s="20"/>
      <c r="S14" s="20"/>
      <c r="T14" s="20"/>
    </row>
    <row r="15" spans="1:20">
      <c r="A15" s="4">
        <v>3</v>
      </c>
      <c r="B15" s="4" t="s">
        <v>339</v>
      </c>
      <c r="C15" s="4"/>
      <c r="D15" s="4"/>
      <c r="E15" s="4"/>
      <c r="F15" s="4"/>
      <c r="G15" s="4"/>
      <c r="H15" s="4"/>
      <c r="I15" s="20"/>
      <c r="J15" s="20"/>
      <c r="K15" s="20"/>
      <c r="L15" s="20"/>
      <c r="M15" s="20"/>
      <c r="N15" s="20"/>
      <c r="O15" s="20"/>
      <c r="P15" s="20"/>
      <c r="Q15" s="20"/>
      <c r="R15" s="20"/>
      <c r="S15" s="20"/>
      <c r="T15" s="20"/>
    </row>
    <row r="16" spans="1:20">
      <c r="A16" s="4"/>
      <c r="B16" s="4"/>
      <c r="C16" s="4"/>
      <c r="D16" s="4"/>
      <c r="E16" s="4"/>
      <c r="F16" s="4"/>
      <c r="G16" s="4"/>
      <c r="H16" s="4"/>
      <c r="I16" s="20"/>
      <c r="J16" s="20"/>
      <c r="K16" s="20"/>
      <c r="L16" s="20"/>
      <c r="M16" s="20"/>
      <c r="N16" s="20"/>
      <c r="O16" s="20"/>
      <c r="P16" s="20"/>
      <c r="Q16" s="20"/>
      <c r="R16" s="20"/>
      <c r="S16" s="20"/>
      <c r="T16" s="20"/>
    </row>
    <row r="17" spans="1:20">
      <c r="A17" s="4"/>
      <c r="B17" s="13" t="s">
        <v>340</v>
      </c>
      <c r="C17" s="315" t="s">
        <v>478</v>
      </c>
      <c r="D17" s="315"/>
      <c r="E17" s="315"/>
      <c r="F17" s="4"/>
      <c r="G17" s="4"/>
      <c r="H17" s="4"/>
      <c r="I17" s="20"/>
      <c r="J17" s="20"/>
      <c r="K17" s="20"/>
      <c r="L17" s="20"/>
      <c r="M17" s="20"/>
      <c r="N17" s="20"/>
      <c r="O17" s="20"/>
      <c r="P17" s="20"/>
      <c r="Q17" s="20"/>
      <c r="R17" s="20"/>
      <c r="S17" s="20"/>
      <c r="T17" s="20"/>
    </row>
    <row r="18" spans="1:20">
      <c r="A18" s="4"/>
      <c r="B18" s="13" t="s">
        <v>341</v>
      </c>
      <c r="C18" s="315" t="s">
        <v>342</v>
      </c>
      <c r="D18" s="315"/>
      <c r="E18" s="315"/>
      <c r="F18" s="4"/>
      <c r="G18" s="4"/>
      <c r="H18" s="4"/>
      <c r="I18" s="20"/>
      <c r="J18" s="20"/>
      <c r="K18" s="20"/>
      <c r="L18" s="20"/>
      <c r="M18" s="20"/>
      <c r="N18" s="20"/>
      <c r="O18" s="20"/>
      <c r="P18" s="20"/>
      <c r="Q18" s="20"/>
      <c r="R18" s="20"/>
      <c r="S18" s="20"/>
      <c r="T18" s="20"/>
    </row>
    <row r="19" spans="1:20">
      <c r="A19" s="4"/>
      <c r="B19" s="4"/>
      <c r="C19" s="4"/>
      <c r="D19" s="4"/>
      <c r="E19" s="4"/>
      <c r="F19" s="4"/>
      <c r="G19" s="4"/>
      <c r="H19" s="4"/>
      <c r="I19" s="20"/>
      <c r="J19" s="20"/>
      <c r="K19" s="20"/>
      <c r="L19" s="20"/>
      <c r="M19" s="20"/>
      <c r="N19" s="20"/>
      <c r="O19" s="20"/>
      <c r="P19" s="20"/>
      <c r="Q19" s="20"/>
      <c r="R19" s="20"/>
      <c r="S19" s="20"/>
      <c r="T19" s="20"/>
    </row>
    <row r="20" spans="1:20">
      <c r="A20" s="4">
        <v>4</v>
      </c>
      <c r="B20" s="315" t="s">
        <v>343</v>
      </c>
      <c r="C20" s="315"/>
      <c r="D20" s="315"/>
      <c r="E20" s="315"/>
      <c r="F20" s="4"/>
      <c r="G20" s="4"/>
      <c r="H20" s="4"/>
      <c r="I20" s="20"/>
      <c r="J20" s="20"/>
      <c r="K20" s="20"/>
      <c r="L20" s="20"/>
      <c r="M20" s="20"/>
      <c r="N20" s="20"/>
      <c r="O20" s="20"/>
      <c r="P20" s="20"/>
      <c r="Q20" s="20"/>
      <c r="R20" s="20"/>
      <c r="S20" s="20"/>
      <c r="T20" s="20"/>
    </row>
    <row r="21" spans="1:20">
      <c r="A21" s="4"/>
      <c r="B21" s="4"/>
      <c r="C21" s="4"/>
      <c r="D21" s="4"/>
      <c r="E21" s="4"/>
      <c r="F21" s="4"/>
      <c r="G21" s="4"/>
      <c r="H21" s="4"/>
      <c r="I21" s="20"/>
      <c r="J21" s="20"/>
      <c r="K21" s="20"/>
      <c r="L21" s="20"/>
      <c r="M21" s="20"/>
      <c r="N21" s="20"/>
      <c r="O21" s="20"/>
      <c r="P21" s="20"/>
      <c r="Q21" s="20"/>
      <c r="R21" s="20"/>
      <c r="S21" s="20"/>
      <c r="T21" s="20"/>
    </row>
    <row r="22" spans="1:20">
      <c r="A22" s="4">
        <v>5</v>
      </c>
      <c r="B22" s="315" t="s">
        <v>344</v>
      </c>
      <c r="C22" s="315"/>
      <c r="D22" s="315"/>
      <c r="E22" s="4"/>
      <c r="F22" s="4"/>
      <c r="G22" s="4"/>
      <c r="H22" s="4"/>
      <c r="I22" s="20"/>
      <c r="J22" s="20"/>
      <c r="K22" s="20"/>
      <c r="L22" s="20"/>
      <c r="M22" s="20"/>
      <c r="N22" s="20"/>
      <c r="O22" s="20"/>
      <c r="P22" s="20"/>
      <c r="Q22" s="20"/>
      <c r="R22" s="20"/>
      <c r="S22" s="20"/>
      <c r="T22" s="20"/>
    </row>
    <row r="23" spans="1:20">
      <c r="A23" s="4"/>
      <c r="B23" s="4"/>
      <c r="C23" s="4"/>
      <c r="D23" s="4"/>
      <c r="E23" s="4"/>
      <c r="F23" s="4"/>
      <c r="G23" s="4"/>
      <c r="H23" s="4"/>
      <c r="I23" s="20"/>
      <c r="J23" s="20"/>
      <c r="K23" s="20"/>
      <c r="L23" s="20"/>
      <c r="M23" s="20"/>
      <c r="N23" s="20"/>
      <c r="O23" s="20"/>
      <c r="P23" s="20"/>
      <c r="Q23" s="20"/>
      <c r="R23" s="20"/>
      <c r="S23" s="20"/>
      <c r="T23" s="20"/>
    </row>
    <row r="24" spans="1:20">
      <c r="A24" s="4">
        <v>6</v>
      </c>
      <c r="B24" s="4" t="s">
        <v>345</v>
      </c>
      <c r="C24" s="4"/>
      <c r="D24" s="4"/>
      <c r="E24" s="4"/>
      <c r="F24" s="4"/>
      <c r="G24" s="4"/>
      <c r="H24" s="4"/>
      <c r="I24" s="20"/>
      <c r="J24" s="20"/>
      <c r="K24" s="20"/>
      <c r="L24" s="20"/>
      <c r="M24" s="20"/>
      <c r="N24" s="20"/>
      <c r="O24" s="20"/>
      <c r="P24" s="20"/>
      <c r="Q24" s="20"/>
      <c r="R24" s="20"/>
      <c r="S24" s="20"/>
      <c r="T24" s="20"/>
    </row>
    <row r="25" spans="1:20">
      <c r="A25" s="4"/>
      <c r="B25" s="4"/>
      <c r="C25" s="4"/>
      <c r="D25" s="4"/>
      <c r="E25" s="4"/>
      <c r="F25" s="4"/>
      <c r="G25" s="4"/>
      <c r="H25" s="4"/>
      <c r="I25" s="20"/>
      <c r="J25" s="20"/>
      <c r="K25" s="20"/>
      <c r="L25" s="20"/>
      <c r="M25" s="20"/>
      <c r="N25" s="20"/>
      <c r="O25" s="20"/>
      <c r="P25" s="20"/>
      <c r="Q25" s="20"/>
      <c r="R25" s="20"/>
      <c r="S25" s="20"/>
      <c r="T25" s="20"/>
    </row>
    <row r="26" spans="1:20">
      <c r="A26" s="4"/>
      <c r="B26" s="13" t="s">
        <v>340</v>
      </c>
      <c r="C26" s="89" t="s">
        <v>512</v>
      </c>
      <c r="D26" s="4"/>
      <c r="E26" s="4"/>
      <c r="F26" s="4"/>
      <c r="G26" s="4"/>
      <c r="H26" s="4"/>
      <c r="I26" s="20"/>
      <c r="J26" s="20"/>
      <c r="K26" s="20"/>
      <c r="L26" s="20"/>
      <c r="M26" s="20"/>
      <c r="N26" s="20"/>
      <c r="O26" s="20"/>
      <c r="P26" s="20"/>
      <c r="Q26" s="20"/>
      <c r="R26" s="20"/>
      <c r="S26" s="20"/>
      <c r="T26" s="20"/>
    </row>
    <row r="27" spans="1:20">
      <c r="A27" s="4"/>
      <c r="B27" s="13" t="s">
        <v>341</v>
      </c>
      <c r="C27" s="89" t="s">
        <v>513</v>
      </c>
      <c r="D27" s="4"/>
      <c r="E27" s="4"/>
      <c r="F27" s="4"/>
      <c r="G27" s="4"/>
      <c r="H27" s="4"/>
      <c r="I27" s="20"/>
      <c r="J27" s="20"/>
      <c r="K27" s="20"/>
      <c r="L27" s="20"/>
      <c r="M27" s="20"/>
      <c r="N27" s="20"/>
      <c r="O27" s="20"/>
      <c r="P27" s="20"/>
      <c r="Q27" s="20"/>
      <c r="R27" s="20"/>
      <c r="S27" s="20"/>
      <c r="T27" s="20"/>
    </row>
    <row r="28" spans="1:20">
      <c r="A28" s="4"/>
      <c r="B28" s="13"/>
      <c r="C28" s="14"/>
      <c r="D28" s="4"/>
      <c r="E28" s="4"/>
      <c r="F28" s="4"/>
      <c r="G28" s="4"/>
      <c r="H28" s="4"/>
      <c r="I28" s="20"/>
      <c r="J28" s="20"/>
      <c r="K28" s="20"/>
      <c r="L28" s="20"/>
      <c r="M28" s="20"/>
      <c r="N28" s="20"/>
      <c r="O28" s="20"/>
      <c r="P28" s="20"/>
      <c r="Q28" s="20"/>
      <c r="R28" s="20"/>
      <c r="S28" s="20"/>
      <c r="T28" s="20"/>
    </row>
    <row r="29" spans="1:20">
      <c r="A29" s="4">
        <v>7</v>
      </c>
      <c r="B29" s="315" t="s">
        <v>473</v>
      </c>
      <c r="C29" s="315"/>
      <c r="D29" s="315"/>
      <c r="E29" s="315"/>
      <c r="F29" s="4"/>
      <c r="G29" s="4"/>
      <c r="H29" s="4"/>
      <c r="I29" s="20"/>
      <c r="J29" s="20"/>
      <c r="K29" s="20"/>
      <c r="L29" s="20"/>
      <c r="M29" s="20"/>
      <c r="N29" s="20"/>
      <c r="O29" s="20"/>
      <c r="P29" s="20"/>
      <c r="Q29" s="20"/>
      <c r="R29" s="20"/>
      <c r="S29" s="20"/>
      <c r="T29" s="20"/>
    </row>
    <row r="30" spans="1:20">
      <c r="A30" s="4"/>
      <c r="B30" s="4"/>
      <c r="C30" s="4"/>
      <c r="D30" s="4"/>
      <c r="E30" s="4"/>
      <c r="F30" s="4"/>
      <c r="G30" s="4"/>
      <c r="H30" s="4"/>
      <c r="I30" s="20"/>
      <c r="J30" s="20"/>
      <c r="K30" s="20"/>
      <c r="L30" s="20"/>
      <c r="M30" s="20"/>
      <c r="N30" s="20"/>
      <c r="O30" s="20"/>
      <c r="P30" s="20"/>
      <c r="Q30" s="20"/>
      <c r="R30" s="20"/>
      <c r="S30" s="20"/>
      <c r="T30" s="20"/>
    </row>
    <row r="31" spans="1:20">
      <c r="A31" s="4">
        <v>8</v>
      </c>
      <c r="B31" s="315" t="s">
        <v>346</v>
      </c>
      <c r="C31" s="315"/>
      <c r="D31" s="315"/>
      <c r="E31" s="4"/>
      <c r="F31" s="4"/>
      <c r="G31" s="4"/>
      <c r="H31" s="4"/>
      <c r="I31" s="20"/>
      <c r="J31" s="20"/>
      <c r="K31" s="20"/>
      <c r="L31" s="20"/>
      <c r="M31" s="20"/>
      <c r="N31" s="20"/>
      <c r="O31" s="20"/>
      <c r="P31" s="20"/>
      <c r="Q31" s="20"/>
      <c r="R31" s="20"/>
      <c r="S31" s="20"/>
      <c r="T31" s="20"/>
    </row>
    <row r="32" spans="1:20">
      <c r="A32" s="4"/>
      <c r="B32" s="4"/>
      <c r="C32" s="4"/>
      <c r="D32" s="4"/>
      <c r="E32" s="4"/>
      <c r="F32" s="4"/>
      <c r="G32" s="4"/>
      <c r="H32" s="4"/>
      <c r="I32" s="20"/>
      <c r="J32" s="20"/>
      <c r="K32" s="20"/>
      <c r="L32" s="20"/>
      <c r="M32" s="20"/>
      <c r="N32" s="20"/>
      <c r="O32" s="20"/>
      <c r="P32" s="20"/>
      <c r="Q32" s="20"/>
      <c r="R32" s="20"/>
      <c r="S32" s="20"/>
      <c r="T32" s="20"/>
    </row>
    <row r="33" spans="1:20">
      <c r="A33" s="4">
        <v>9</v>
      </c>
      <c r="B33" s="315" t="s">
        <v>348</v>
      </c>
      <c r="C33" s="315"/>
      <c r="D33" s="315"/>
      <c r="E33" s="315"/>
      <c r="F33" s="18"/>
      <c r="G33" s="4"/>
      <c r="H33" s="4"/>
      <c r="I33" s="20"/>
      <c r="J33" s="20"/>
      <c r="K33" s="20"/>
      <c r="L33" s="20"/>
      <c r="M33" s="20"/>
      <c r="N33" s="20"/>
      <c r="O33" s="20"/>
      <c r="P33" s="20"/>
      <c r="Q33" s="20"/>
      <c r="R33" s="20"/>
      <c r="S33" s="20"/>
      <c r="T33" s="20"/>
    </row>
    <row r="34" spans="1:20">
      <c r="A34" s="4"/>
      <c r="B34" s="4"/>
      <c r="C34" s="4"/>
      <c r="D34" s="4"/>
      <c r="E34" s="4"/>
      <c r="F34" s="4"/>
      <c r="G34" s="4"/>
      <c r="H34" s="4"/>
      <c r="I34" s="20"/>
      <c r="J34" s="20"/>
      <c r="K34" s="20"/>
      <c r="L34" s="20"/>
      <c r="M34" s="20"/>
      <c r="N34" s="20"/>
      <c r="O34" s="20"/>
      <c r="P34" s="20"/>
      <c r="Q34" s="20"/>
      <c r="R34" s="20"/>
      <c r="S34" s="20"/>
      <c r="T34" s="20"/>
    </row>
    <row r="35" spans="1:20" ht="12.75" customHeight="1">
      <c r="A35" s="4">
        <v>10</v>
      </c>
      <c r="B35" s="315" t="s">
        <v>349</v>
      </c>
      <c r="C35" s="315"/>
      <c r="D35" s="315"/>
      <c r="E35" s="315"/>
      <c r="F35" s="4"/>
      <c r="G35" s="4"/>
      <c r="H35" s="4"/>
      <c r="I35" s="20"/>
      <c r="J35" s="20"/>
      <c r="K35" s="20"/>
      <c r="L35" s="20"/>
      <c r="M35" s="20"/>
      <c r="N35" s="20"/>
      <c r="O35" s="20"/>
      <c r="P35" s="20"/>
      <c r="Q35" s="20"/>
      <c r="R35" s="20"/>
      <c r="S35" s="20"/>
      <c r="T35" s="20"/>
    </row>
    <row r="36" spans="1:20">
      <c r="A36" s="4"/>
      <c r="B36" s="4"/>
      <c r="C36" s="4"/>
      <c r="D36" s="4"/>
      <c r="E36" s="4"/>
      <c r="F36" s="4"/>
      <c r="G36" s="4"/>
      <c r="H36" s="4"/>
      <c r="I36" s="20"/>
      <c r="J36" s="20"/>
      <c r="K36" s="20"/>
      <c r="L36" s="20"/>
      <c r="M36" s="20"/>
      <c r="N36" s="20"/>
      <c r="O36" s="20"/>
      <c r="P36" s="20"/>
      <c r="Q36" s="20"/>
      <c r="R36" s="20"/>
      <c r="S36" s="20"/>
      <c r="T36" s="20"/>
    </row>
    <row r="37" spans="1:20" ht="12.75" customHeight="1">
      <c r="A37" s="4">
        <v>11</v>
      </c>
      <c r="B37" s="4" t="s">
        <v>350</v>
      </c>
      <c r="C37" s="4"/>
      <c r="D37" s="4"/>
      <c r="E37" s="4"/>
      <c r="F37" s="4"/>
      <c r="G37" s="4"/>
      <c r="H37" s="4"/>
      <c r="I37" s="20"/>
      <c r="J37" s="20"/>
      <c r="K37" s="20"/>
      <c r="L37" s="20"/>
      <c r="M37" s="20"/>
      <c r="N37" s="20"/>
      <c r="O37" s="20"/>
      <c r="P37" s="20"/>
      <c r="Q37" s="20"/>
      <c r="R37" s="20"/>
      <c r="S37" s="20"/>
      <c r="T37" s="20"/>
    </row>
    <row r="38" spans="1:20">
      <c r="A38" s="4"/>
      <c r="B38" s="4"/>
      <c r="C38" s="4"/>
      <c r="D38" s="4"/>
      <c r="E38" s="4"/>
      <c r="F38" s="4"/>
      <c r="G38" s="4"/>
      <c r="H38" s="4"/>
      <c r="I38" s="20"/>
      <c r="J38" s="20"/>
      <c r="K38" s="20"/>
      <c r="L38" s="20"/>
      <c r="M38" s="20"/>
      <c r="N38" s="20"/>
      <c r="O38" s="20"/>
      <c r="P38" s="20"/>
      <c r="Q38" s="20"/>
      <c r="R38" s="20"/>
      <c r="S38" s="20"/>
      <c r="T38" s="20"/>
    </row>
    <row r="39" spans="1:20">
      <c r="A39" s="4"/>
      <c r="B39" s="13" t="s">
        <v>340</v>
      </c>
      <c r="C39" s="319" t="s">
        <v>351</v>
      </c>
      <c r="D39" s="319"/>
      <c r="E39" s="319"/>
      <c r="F39" s="319"/>
      <c r="G39" s="319"/>
      <c r="H39" s="319"/>
      <c r="I39" s="20"/>
      <c r="J39" s="20"/>
      <c r="K39" s="20"/>
      <c r="L39" s="20"/>
      <c r="M39" s="20"/>
      <c r="N39" s="20"/>
      <c r="O39" s="20"/>
      <c r="P39" s="20"/>
      <c r="Q39" s="20"/>
      <c r="R39" s="20"/>
      <c r="S39" s="20"/>
      <c r="T39" s="20"/>
    </row>
    <row r="40" spans="1:20">
      <c r="A40" s="4"/>
      <c r="B40" s="13"/>
      <c r="C40" s="319"/>
      <c r="D40" s="319"/>
      <c r="E40" s="319"/>
      <c r="F40" s="319"/>
      <c r="G40" s="319"/>
      <c r="H40" s="319"/>
      <c r="I40" s="20"/>
      <c r="J40" s="20"/>
      <c r="K40" s="20"/>
      <c r="L40" s="20"/>
      <c r="M40" s="20"/>
      <c r="N40" s="20"/>
      <c r="O40" s="20"/>
      <c r="P40" s="20"/>
      <c r="Q40" s="20"/>
      <c r="R40" s="20"/>
      <c r="S40" s="20"/>
      <c r="T40" s="20"/>
    </row>
    <row r="41" spans="1:20">
      <c r="A41" s="4"/>
      <c r="B41" s="13"/>
      <c r="C41" s="4"/>
      <c r="D41" s="4"/>
      <c r="E41" s="4"/>
      <c r="F41" s="4"/>
      <c r="G41" s="4"/>
      <c r="H41" s="4"/>
      <c r="I41" s="20"/>
      <c r="J41" s="20"/>
      <c r="K41" s="20"/>
      <c r="L41" s="20"/>
      <c r="M41" s="20"/>
      <c r="N41" s="20"/>
      <c r="O41" s="20"/>
      <c r="P41" s="20"/>
      <c r="Q41" s="20"/>
      <c r="R41" s="20"/>
      <c r="S41" s="20"/>
      <c r="T41" s="20"/>
    </row>
    <row r="42" spans="1:20">
      <c r="A42" s="4"/>
      <c r="B42" s="13" t="s">
        <v>341</v>
      </c>
      <c r="C42" s="315" t="s">
        <v>352</v>
      </c>
      <c r="D42" s="315"/>
      <c r="E42" s="315"/>
      <c r="F42" s="315"/>
      <c r="G42" s="4"/>
      <c r="H42" s="4"/>
      <c r="I42" s="20"/>
      <c r="J42" s="20"/>
      <c r="K42" s="20"/>
      <c r="L42" s="20"/>
      <c r="M42" s="20"/>
      <c r="N42" s="20"/>
      <c r="O42" s="20"/>
      <c r="P42" s="20"/>
      <c r="Q42" s="20"/>
      <c r="R42" s="20"/>
      <c r="S42" s="20"/>
      <c r="T42" s="20"/>
    </row>
    <row r="43" spans="1:20">
      <c r="A43" s="4"/>
      <c r="B43" s="4"/>
      <c r="C43" s="4"/>
      <c r="D43" s="4"/>
      <c r="E43" s="4"/>
      <c r="F43" s="4"/>
      <c r="G43" s="4"/>
      <c r="H43" s="4"/>
      <c r="I43" s="20"/>
      <c r="J43" s="20"/>
      <c r="K43" s="20"/>
      <c r="L43" s="20"/>
      <c r="M43" s="20"/>
      <c r="N43" s="20"/>
      <c r="O43" s="20"/>
      <c r="P43" s="20"/>
      <c r="Q43" s="20"/>
      <c r="R43" s="20"/>
      <c r="S43" s="20"/>
      <c r="T43" s="20"/>
    </row>
    <row r="44" spans="1:20">
      <c r="A44" s="4">
        <v>12</v>
      </c>
      <c r="B44" s="4" t="s">
        <v>488</v>
      </c>
      <c r="C44" s="4"/>
      <c r="D44" s="4"/>
      <c r="E44" s="4"/>
      <c r="F44" s="4"/>
      <c r="G44" s="4"/>
      <c r="H44" s="4"/>
      <c r="I44" s="20"/>
      <c r="J44" s="20"/>
      <c r="K44" s="20"/>
      <c r="L44" s="20"/>
      <c r="M44" s="20"/>
      <c r="N44" s="20"/>
      <c r="O44" s="20"/>
      <c r="P44" s="20"/>
      <c r="Q44" s="20"/>
      <c r="R44" s="20"/>
      <c r="S44" s="20"/>
      <c r="T44" s="20"/>
    </row>
    <row r="45" spans="1:20">
      <c r="A45" s="4"/>
      <c r="B45" s="4"/>
      <c r="C45" s="4"/>
      <c r="D45" s="4"/>
      <c r="E45" s="4"/>
      <c r="F45" s="4"/>
      <c r="G45" s="4"/>
      <c r="H45" s="4"/>
      <c r="I45" s="20"/>
      <c r="J45" s="20"/>
      <c r="K45" s="20"/>
      <c r="L45" s="20"/>
      <c r="M45" s="20"/>
      <c r="N45" s="20"/>
      <c r="O45" s="20"/>
      <c r="P45" s="20"/>
      <c r="Q45" s="20"/>
      <c r="R45" s="20"/>
      <c r="S45" s="20"/>
      <c r="T45" s="20"/>
    </row>
    <row r="46" spans="1:20">
      <c r="A46" s="4"/>
      <c r="B46" s="4"/>
      <c r="C46" s="4"/>
      <c r="D46" s="4" t="s">
        <v>355</v>
      </c>
      <c r="E46" s="4"/>
      <c r="F46" s="4"/>
      <c r="G46" s="4"/>
      <c r="H46" s="4"/>
      <c r="I46" s="20"/>
      <c r="J46" s="20"/>
      <c r="K46" s="20"/>
      <c r="L46" s="20"/>
      <c r="M46" s="20"/>
      <c r="N46" s="20"/>
      <c r="O46" s="20"/>
      <c r="P46" s="20"/>
      <c r="Q46" s="20"/>
      <c r="R46" s="20"/>
      <c r="S46" s="20"/>
      <c r="T46" s="20"/>
    </row>
    <row r="47" spans="1:20">
      <c r="A47" s="4"/>
      <c r="B47" s="4"/>
      <c r="C47" s="4"/>
      <c r="D47" s="4"/>
      <c r="E47" s="4"/>
      <c r="F47" s="4"/>
      <c r="G47" s="4"/>
      <c r="H47" s="4"/>
      <c r="I47" s="20"/>
      <c r="J47" s="20"/>
      <c r="K47" s="20"/>
      <c r="L47" s="20"/>
      <c r="M47" s="20"/>
      <c r="N47" s="20"/>
      <c r="O47" s="20"/>
      <c r="P47" s="20"/>
      <c r="Q47" s="20"/>
      <c r="R47" s="20"/>
      <c r="S47" s="20"/>
      <c r="T47" s="20"/>
    </row>
    <row r="48" spans="1:20">
      <c r="A48" s="20"/>
      <c r="B48" s="20"/>
      <c r="C48" s="20"/>
      <c r="D48" s="20"/>
      <c r="E48" s="20"/>
      <c r="F48" s="20"/>
      <c r="G48" s="20"/>
      <c r="H48" s="20"/>
      <c r="I48" s="20"/>
      <c r="J48" s="20"/>
      <c r="K48" s="20"/>
      <c r="L48" s="20"/>
      <c r="M48" s="20"/>
      <c r="N48" s="20"/>
      <c r="O48" s="20"/>
      <c r="P48" s="20"/>
      <c r="Q48" s="20"/>
      <c r="R48" s="20"/>
      <c r="S48" s="20"/>
      <c r="T48" s="20"/>
    </row>
    <row r="49" spans="1:20">
      <c r="A49" s="20"/>
      <c r="B49" s="20"/>
      <c r="C49" s="20"/>
      <c r="D49" s="20"/>
      <c r="E49" s="20"/>
      <c r="F49" s="20"/>
      <c r="G49" s="20"/>
      <c r="H49" s="20"/>
      <c r="I49" s="20"/>
      <c r="J49" s="20"/>
      <c r="K49" s="20"/>
      <c r="L49" s="20"/>
      <c r="M49" s="20"/>
      <c r="N49" s="20"/>
      <c r="O49" s="20"/>
      <c r="P49" s="20"/>
      <c r="Q49" s="20"/>
      <c r="R49" s="20"/>
      <c r="S49" s="20"/>
      <c r="T49" s="20"/>
    </row>
    <row r="50" spans="1:20">
      <c r="A50" s="20"/>
      <c r="B50" s="20"/>
      <c r="C50" s="20"/>
      <c r="D50" s="20"/>
      <c r="E50" s="20"/>
      <c r="F50" s="20"/>
      <c r="G50" s="20"/>
      <c r="H50" s="20"/>
      <c r="I50" s="20"/>
      <c r="J50" s="20"/>
      <c r="K50" s="20"/>
      <c r="L50" s="20"/>
      <c r="M50" s="20"/>
      <c r="N50" s="20"/>
      <c r="O50" s="20"/>
      <c r="P50" s="20"/>
      <c r="Q50" s="20"/>
      <c r="R50" s="20"/>
      <c r="S50" s="20"/>
      <c r="T50" s="20"/>
    </row>
    <row r="51" spans="1:20">
      <c r="A51" s="20"/>
      <c r="B51" s="20"/>
      <c r="C51" s="20"/>
      <c r="D51" s="20"/>
      <c r="E51" s="20"/>
      <c r="F51" s="20"/>
      <c r="G51" s="20"/>
      <c r="H51" s="20"/>
      <c r="I51" s="20"/>
      <c r="J51" s="20"/>
      <c r="K51" s="20"/>
      <c r="L51" s="20"/>
      <c r="M51" s="20"/>
      <c r="N51" s="20"/>
      <c r="O51" s="20"/>
      <c r="P51" s="20"/>
      <c r="Q51" s="20"/>
      <c r="R51" s="20"/>
      <c r="S51" s="20"/>
      <c r="T51" s="20"/>
    </row>
    <row r="52" spans="1:20">
      <c r="A52" s="20"/>
      <c r="B52" s="20"/>
      <c r="C52" s="20"/>
      <c r="D52" s="20"/>
      <c r="E52" s="20"/>
      <c r="F52" s="20"/>
      <c r="G52" s="20"/>
      <c r="H52" s="20"/>
      <c r="I52" s="20"/>
      <c r="J52" s="20"/>
      <c r="K52" s="20"/>
      <c r="L52" s="20"/>
      <c r="M52" s="20"/>
      <c r="N52" s="20"/>
      <c r="O52" s="20"/>
      <c r="P52" s="20"/>
      <c r="Q52" s="20"/>
      <c r="R52" s="20"/>
      <c r="S52" s="20"/>
      <c r="T52" s="20"/>
    </row>
    <row r="53" spans="1:20">
      <c r="A53" s="20"/>
      <c r="B53" s="20"/>
      <c r="C53" s="20"/>
      <c r="D53" s="20"/>
      <c r="E53" s="20"/>
      <c r="F53" s="20"/>
      <c r="G53" s="20"/>
      <c r="H53" s="20"/>
      <c r="I53" s="20"/>
      <c r="J53" s="20"/>
      <c r="K53" s="20"/>
      <c r="L53" s="20"/>
      <c r="M53" s="20"/>
      <c r="N53" s="20"/>
      <c r="O53" s="20"/>
      <c r="P53" s="20"/>
      <c r="Q53" s="20"/>
      <c r="R53" s="20"/>
      <c r="S53" s="20"/>
      <c r="T53" s="20"/>
    </row>
    <row r="54" spans="1:20">
      <c r="A54" s="20"/>
      <c r="B54" s="20"/>
      <c r="C54" s="20"/>
      <c r="D54" s="20"/>
      <c r="E54" s="20"/>
      <c r="F54" s="20"/>
      <c r="G54" s="20"/>
      <c r="H54" s="20"/>
      <c r="I54" s="20"/>
      <c r="J54" s="20"/>
      <c r="K54" s="20"/>
      <c r="L54" s="20"/>
      <c r="M54" s="20"/>
      <c r="N54" s="20"/>
      <c r="O54" s="20"/>
      <c r="P54" s="20"/>
      <c r="Q54" s="20"/>
      <c r="R54" s="20"/>
      <c r="S54" s="20"/>
      <c r="T54" s="20"/>
    </row>
    <row r="55" spans="1:20">
      <c r="A55" s="20"/>
      <c r="B55" s="20"/>
      <c r="C55" s="20"/>
      <c r="D55" s="20"/>
      <c r="E55" s="20"/>
      <c r="F55" s="20"/>
      <c r="G55" s="20"/>
      <c r="H55" s="20"/>
      <c r="I55" s="20"/>
      <c r="J55" s="20"/>
      <c r="K55" s="20"/>
      <c r="L55" s="20"/>
      <c r="M55" s="20"/>
      <c r="N55" s="20"/>
      <c r="O55" s="20"/>
      <c r="P55" s="20"/>
      <c r="Q55" s="20"/>
      <c r="R55" s="20"/>
      <c r="S55" s="20"/>
      <c r="T55" s="20"/>
    </row>
    <row r="56" spans="1:20">
      <c r="A56" s="20"/>
      <c r="B56" s="20"/>
      <c r="C56" s="20"/>
      <c r="D56" s="20"/>
      <c r="E56" s="20"/>
      <c r="F56" s="20"/>
      <c r="G56" s="20"/>
      <c r="H56" s="20"/>
      <c r="I56" s="20"/>
      <c r="J56" s="20"/>
      <c r="K56" s="20"/>
      <c r="L56" s="20"/>
      <c r="M56" s="20"/>
      <c r="N56" s="20"/>
      <c r="O56" s="20"/>
      <c r="P56" s="20"/>
      <c r="Q56" s="20"/>
      <c r="R56" s="20"/>
      <c r="S56" s="20"/>
    </row>
    <row r="57" spans="1:20">
      <c r="A57" s="20"/>
      <c r="B57" s="20"/>
      <c r="C57" s="20"/>
      <c r="D57" s="20"/>
      <c r="E57" s="20"/>
      <c r="F57" s="20"/>
      <c r="G57" s="20"/>
      <c r="H57" s="20"/>
      <c r="I57" s="20"/>
      <c r="J57" s="20"/>
      <c r="K57" s="20"/>
      <c r="L57" s="20"/>
      <c r="M57" s="20"/>
      <c r="N57" s="20"/>
      <c r="O57" s="20"/>
      <c r="P57" s="20"/>
      <c r="Q57" s="20"/>
      <c r="R57" s="20"/>
      <c r="S57" s="20"/>
    </row>
    <row r="58" spans="1:20">
      <c r="A58" s="20"/>
      <c r="B58" s="20"/>
      <c r="C58" s="20"/>
      <c r="D58" s="20"/>
      <c r="E58" s="20"/>
      <c r="F58" s="20"/>
      <c r="G58" s="20"/>
      <c r="H58" s="20"/>
      <c r="I58" s="20"/>
      <c r="J58" s="20"/>
      <c r="K58" s="20"/>
      <c r="L58" s="20"/>
      <c r="M58" s="20"/>
      <c r="N58" s="20"/>
      <c r="O58" s="20"/>
      <c r="P58" s="20"/>
      <c r="Q58" s="20"/>
      <c r="R58" s="20"/>
      <c r="S58" s="20"/>
    </row>
    <row r="59" spans="1:20">
      <c r="A59" s="20"/>
      <c r="B59" s="20"/>
      <c r="C59" s="20"/>
      <c r="D59" s="20"/>
      <c r="E59" s="20"/>
      <c r="F59" s="20"/>
      <c r="G59" s="20"/>
      <c r="H59" s="20"/>
      <c r="I59" s="20"/>
      <c r="J59" s="20"/>
      <c r="K59" s="20"/>
      <c r="L59" s="20"/>
      <c r="M59" s="20"/>
      <c r="N59" s="20"/>
      <c r="O59" s="20"/>
      <c r="P59" s="20"/>
      <c r="Q59" s="20"/>
      <c r="R59" s="20"/>
      <c r="S59" s="20"/>
    </row>
    <row r="60" spans="1:20">
      <c r="A60" s="20"/>
      <c r="B60" s="20"/>
      <c r="C60" s="20"/>
      <c r="D60" s="20"/>
      <c r="E60" s="20"/>
      <c r="F60" s="20"/>
      <c r="G60" s="20"/>
      <c r="H60" s="20"/>
      <c r="I60" s="20"/>
      <c r="J60" s="20"/>
      <c r="K60" s="20"/>
      <c r="L60" s="20"/>
      <c r="M60" s="20"/>
      <c r="N60" s="20"/>
      <c r="O60" s="20"/>
      <c r="P60" s="20"/>
      <c r="Q60" s="20"/>
      <c r="R60" s="20"/>
      <c r="S60" s="20"/>
    </row>
    <row r="61" spans="1:20">
      <c r="A61" s="20"/>
      <c r="B61" s="20"/>
      <c r="C61" s="20"/>
      <c r="D61" s="20"/>
      <c r="E61" s="20"/>
      <c r="F61" s="20"/>
      <c r="G61" s="20"/>
      <c r="H61" s="20"/>
      <c r="I61" s="20"/>
      <c r="J61" s="20"/>
      <c r="K61" s="20"/>
      <c r="L61" s="20"/>
      <c r="M61" s="20"/>
      <c r="N61" s="20"/>
      <c r="O61" s="20"/>
      <c r="P61" s="20"/>
      <c r="Q61" s="20"/>
      <c r="R61" s="20"/>
      <c r="S61" s="20"/>
    </row>
    <row r="62" spans="1:20">
      <c r="A62" s="20"/>
      <c r="B62" s="20"/>
      <c r="C62" s="20"/>
      <c r="D62" s="20"/>
      <c r="E62" s="20"/>
      <c r="F62" s="20"/>
      <c r="G62" s="20"/>
      <c r="H62" s="20"/>
      <c r="I62" s="20"/>
      <c r="J62" s="20"/>
      <c r="K62" s="20"/>
      <c r="L62" s="20"/>
      <c r="M62" s="20"/>
      <c r="N62" s="20"/>
      <c r="O62" s="20"/>
      <c r="P62" s="20"/>
      <c r="Q62" s="20"/>
      <c r="R62" s="20"/>
      <c r="S62" s="20"/>
    </row>
    <row r="63" spans="1:20">
      <c r="A63" s="20"/>
      <c r="B63" s="20"/>
      <c r="C63" s="20"/>
      <c r="D63" s="20"/>
      <c r="E63" s="20"/>
      <c r="F63" s="20"/>
      <c r="G63" s="20"/>
      <c r="H63" s="20"/>
      <c r="I63" s="20"/>
      <c r="J63" s="20"/>
      <c r="K63" s="20"/>
      <c r="L63" s="20"/>
      <c r="M63" s="20"/>
      <c r="N63" s="20"/>
      <c r="O63" s="20"/>
      <c r="P63" s="20"/>
      <c r="Q63" s="20"/>
      <c r="R63" s="20"/>
      <c r="S63" s="20"/>
    </row>
    <row r="64" spans="1:20">
      <c r="A64" s="20"/>
      <c r="B64" s="20"/>
      <c r="C64" s="20"/>
      <c r="D64" s="20"/>
      <c r="E64" s="20"/>
      <c r="F64" s="20"/>
      <c r="G64" s="20"/>
      <c r="H64" s="20"/>
      <c r="I64" s="20"/>
      <c r="J64" s="20"/>
      <c r="K64" s="20"/>
      <c r="L64" s="20"/>
      <c r="M64" s="20"/>
      <c r="N64" s="20"/>
      <c r="O64" s="20"/>
      <c r="P64" s="20"/>
      <c r="Q64" s="20"/>
      <c r="R64" s="20"/>
      <c r="S64" s="20"/>
    </row>
    <row r="65" spans="1:19">
      <c r="A65" s="20"/>
      <c r="B65" s="20"/>
      <c r="C65" s="20"/>
      <c r="D65" s="20"/>
      <c r="E65" s="20"/>
      <c r="F65" s="20"/>
      <c r="G65" s="20"/>
      <c r="H65" s="20"/>
      <c r="I65" s="20"/>
      <c r="J65" s="20"/>
      <c r="K65" s="20"/>
      <c r="L65" s="20"/>
      <c r="M65" s="20"/>
      <c r="N65" s="20"/>
      <c r="O65" s="20"/>
      <c r="P65" s="20"/>
      <c r="Q65" s="20"/>
      <c r="R65" s="20"/>
      <c r="S65" s="20"/>
    </row>
    <row r="66" spans="1:19">
      <c r="A66" s="20"/>
      <c r="B66" s="20"/>
      <c r="C66" s="20"/>
      <c r="D66" s="20"/>
      <c r="E66" s="20"/>
      <c r="F66" s="20"/>
      <c r="G66" s="20"/>
      <c r="H66" s="20"/>
      <c r="I66" s="20"/>
      <c r="J66" s="20"/>
      <c r="K66" s="20"/>
      <c r="L66" s="20"/>
      <c r="M66" s="20"/>
      <c r="N66" s="20"/>
      <c r="O66" s="20"/>
      <c r="P66" s="20"/>
      <c r="Q66" s="20"/>
      <c r="R66" s="20"/>
      <c r="S66" s="20"/>
    </row>
    <row r="67" spans="1:19">
      <c r="A67" s="20"/>
      <c r="B67" s="20"/>
      <c r="C67" s="20"/>
      <c r="D67" s="20"/>
      <c r="E67" s="20"/>
      <c r="F67" s="20"/>
      <c r="G67" s="20"/>
      <c r="H67" s="20"/>
      <c r="I67" s="20"/>
      <c r="J67" s="20"/>
      <c r="K67" s="20"/>
      <c r="L67" s="20"/>
      <c r="M67" s="20"/>
      <c r="N67" s="20"/>
      <c r="O67" s="20"/>
      <c r="P67" s="20"/>
      <c r="Q67" s="20"/>
      <c r="R67" s="20"/>
      <c r="S67" s="20"/>
    </row>
    <row r="68" spans="1:19">
      <c r="A68" s="20"/>
      <c r="B68" s="20"/>
      <c r="C68" s="20"/>
      <c r="D68" s="20"/>
      <c r="E68" s="20"/>
      <c r="F68" s="20"/>
      <c r="G68" s="20"/>
      <c r="H68" s="20"/>
      <c r="I68" s="20"/>
      <c r="J68" s="20"/>
      <c r="K68" s="20"/>
      <c r="L68" s="20"/>
      <c r="M68" s="20"/>
      <c r="N68" s="20"/>
      <c r="O68" s="20"/>
      <c r="P68" s="20"/>
      <c r="Q68" s="20"/>
      <c r="R68" s="20"/>
      <c r="S68" s="20"/>
    </row>
    <row r="69" spans="1:19">
      <c r="A69" s="20"/>
      <c r="B69" s="20"/>
      <c r="C69" s="20"/>
      <c r="D69" s="20"/>
      <c r="E69" s="20"/>
      <c r="F69" s="20"/>
      <c r="G69" s="20"/>
      <c r="H69" s="20"/>
      <c r="I69" s="20"/>
      <c r="J69" s="20"/>
      <c r="K69" s="20"/>
      <c r="L69" s="20"/>
      <c r="M69" s="20"/>
      <c r="N69" s="20"/>
      <c r="O69" s="20"/>
      <c r="P69" s="20"/>
      <c r="Q69" s="20"/>
      <c r="R69" s="20"/>
      <c r="S69" s="20"/>
    </row>
    <row r="70" spans="1:19">
      <c r="A70" s="20"/>
      <c r="B70" s="20"/>
      <c r="C70" s="20"/>
      <c r="D70" s="20"/>
      <c r="E70" s="20"/>
      <c r="F70" s="20"/>
      <c r="G70" s="20"/>
      <c r="H70" s="20"/>
      <c r="I70" s="20"/>
      <c r="J70" s="20"/>
      <c r="K70" s="20"/>
      <c r="L70" s="20"/>
      <c r="M70" s="20"/>
      <c r="N70" s="20"/>
      <c r="O70" s="20"/>
      <c r="P70" s="20"/>
      <c r="Q70" s="20"/>
      <c r="R70" s="20"/>
      <c r="S70" s="20"/>
    </row>
    <row r="71" spans="1:19">
      <c r="A71" s="20"/>
      <c r="B71" s="20"/>
      <c r="C71" s="20"/>
      <c r="D71" s="20"/>
      <c r="E71" s="20"/>
      <c r="F71" s="20"/>
      <c r="G71" s="20"/>
      <c r="H71" s="20"/>
      <c r="I71" s="20"/>
      <c r="J71" s="20"/>
      <c r="K71" s="20"/>
      <c r="L71" s="20"/>
      <c r="M71" s="20"/>
      <c r="N71" s="20"/>
      <c r="O71" s="20"/>
      <c r="P71" s="20"/>
      <c r="Q71" s="20"/>
      <c r="R71" s="20"/>
      <c r="S71" s="20"/>
    </row>
    <row r="72" spans="1:19">
      <c r="A72" s="20"/>
      <c r="B72" s="20"/>
      <c r="C72" s="20"/>
      <c r="D72" s="20"/>
      <c r="E72" s="20"/>
      <c r="F72" s="20"/>
      <c r="G72" s="20"/>
      <c r="H72" s="20"/>
      <c r="I72" s="20"/>
      <c r="J72" s="20"/>
      <c r="K72" s="20"/>
      <c r="L72" s="20"/>
      <c r="M72" s="20"/>
      <c r="N72" s="20"/>
      <c r="O72" s="20"/>
      <c r="P72" s="20"/>
      <c r="Q72" s="20"/>
      <c r="R72" s="20"/>
      <c r="S72" s="20"/>
    </row>
    <row r="73" spans="1:19">
      <c r="A73" s="20"/>
      <c r="B73" s="20"/>
      <c r="C73" s="20"/>
      <c r="D73" s="20"/>
      <c r="E73" s="20"/>
      <c r="F73" s="20"/>
      <c r="G73" s="20"/>
      <c r="H73" s="20"/>
      <c r="I73" s="20"/>
      <c r="J73" s="20"/>
      <c r="K73" s="20"/>
      <c r="L73" s="20"/>
      <c r="M73" s="20"/>
      <c r="N73" s="20"/>
      <c r="O73" s="20"/>
      <c r="P73" s="20"/>
      <c r="Q73" s="20"/>
      <c r="R73" s="20"/>
      <c r="S73" s="20"/>
    </row>
    <row r="74" spans="1:19">
      <c r="A74" s="20"/>
      <c r="B74" s="20"/>
      <c r="C74" s="20"/>
      <c r="D74" s="20"/>
      <c r="E74" s="20"/>
      <c r="F74" s="20"/>
      <c r="G74" s="20"/>
      <c r="H74" s="20"/>
      <c r="I74" s="20"/>
      <c r="J74" s="20"/>
      <c r="K74" s="20"/>
      <c r="L74" s="20"/>
      <c r="M74" s="20"/>
      <c r="N74" s="20"/>
      <c r="O74" s="20"/>
      <c r="P74" s="20"/>
      <c r="Q74" s="20"/>
      <c r="R74" s="20"/>
      <c r="S74" s="20"/>
    </row>
    <row r="75" spans="1:19">
      <c r="A75" s="20"/>
      <c r="B75" s="20"/>
      <c r="C75" s="20"/>
      <c r="D75" s="20"/>
      <c r="E75" s="20"/>
      <c r="F75" s="20"/>
      <c r="G75" s="20"/>
      <c r="H75" s="20"/>
      <c r="I75" s="20"/>
      <c r="J75" s="20"/>
      <c r="K75" s="20"/>
      <c r="L75" s="20"/>
      <c r="M75" s="20"/>
      <c r="N75" s="20"/>
      <c r="O75" s="20"/>
      <c r="P75" s="20"/>
      <c r="Q75" s="20"/>
      <c r="R75" s="20"/>
      <c r="S75" s="20"/>
    </row>
    <row r="76" spans="1:19">
      <c r="A76" s="20"/>
      <c r="B76" s="20"/>
      <c r="C76" s="20"/>
      <c r="D76" s="20"/>
      <c r="E76" s="20"/>
      <c r="F76" s="20"/>
      <c r="G76" s="20"/>
      <c r="H76" s="20"/>
      <c r="I76" s="20"/>
      <c r="J76" s="20"/>
      <c r="K76" s="20"/>
      <c r="L76" s="20"/>
      <c r="M76" s="20"/>
      <c r="N76" s="20"/>
      <c r="O76" s="20"/>
      <c r="P76" s="20"/>
      <c r="Q76" s="20"/>
      <c r="R76" s="20"/>
      <c r="S76" s="20"/>
    </row>
    <row r="77" spans="1:19">
      <c r="A77" s="20"/>
      <c r="B77" s="20"/>
      <c r="C77" s="20"/>
      <c r="D77" s="20"/>
      <c r="E77" s="20"/>
      <c r="F77" s="20"/>
      <c r="G77" s="20"/>
      <c r="H77" s="20"/>
      <c r="I77" s="20"/>
      <c r="J77" s="20"/>
      <c r="K77" s="20"/>
      <c r="L77" s="20"/>
      <c r="M77" s="20"/>
      <c r="N77" s="20"/>
      <c r="O77" s="20"/>
      <c r="P77" s="20"/>
      <c r="Q77" s="20"/>
      <c r="R77" s="20"/>
      <c r="S77" s="20"/>
    </row>
    <row r="78" spans="1:19">
      <c r="A78" s="20"/>
      <c r="B78" s="20"/>
      <c r="C78" s="20"/>
      <c r="D78" s="20"/>
      <c r="E78" s="20"/>
      <c r="F78" s="20"/>
      <c r="G78" s="20"/>
      <c r="H78" s="20"/>
      <c r="I78" s="20"/>
      <c r="J78" s="20"/>
      <c r="K78" s="20"/>
      <c r="L78" s="20"/>
      <c r="M78" s="20"/>
      <c r="N78" s="20"/>
      <c r="O78" s="20"/>
      <c r="P78" s="20"/>
      <c r="Q78" s="20"/>
      <c r="R78" s="20"/>
      <c r="S78" s="20"/>
    </row>
    <row r="79" spans="1:19">
      <c r="A79" s="20"/>
      <c r="B79" s="20"/>
      <c r="C79" s="20"/>
      <c r="D79" s="20"/>
      <c r="E79" s="20"/>
      <c r="F79" s="20"/>
      <c r="G79" s="20"/>
      <c r="H79" s="20"/>
      <c r="I79" s="20"/>
      <c r="J79" s="20"/>
      <c r="K79" s="20"/>
      <c r="L79" s="20"/>
      <c r="M79" s="20"/>
      <c r="N79" s="20"/>
      <c r="O79" s="20"/>
      <c r="P79" s="20"/>
      <c r="Q79" s="20"/>
      <c r="R79" s="20"/>
      <c r="S79" s="20"/>
    </row>
    <row r="80" spans="1:19">
      <c r="A80" s="20"/>
      <c r="B80" s="20"/>
      <c r="C80" s="20"/>
      <c r="D80" s="20"/>
      <c r="E80" s="20"/>
      <c r="F80" s="20"/>
      <c r="G80" s="20"/>
      <c r="H80" s="20"/>
      <c r="I80" s="20"/>
      <c r="J80" s="20"/>
      <c r="K80" s="20"/>
      <c r="L80" s="20"/>
      <c r="M80" s="20"/>
      <c r="N80" s="20"/>
      <c r="O80" s="20"/>
      <c r="P80" s="20"/>
      <c r="Q80" s="20"/>
      <c r="R80" s="20"/>
      <c r="S80" s="20"/>
    </row>
    <row r="81" spans="1:19">
      <c r="A81" s="20"/>
      <c r="B81" s="20"/>
      <c r="C81" s="20"/>
      <c r="D81" s="20"/>
      <c r="E81" s="20"/>
      <c r="F81" s="20"/>
      <c r="G81" s="20"/>
      <c r="H81" s="20"/>
      <c r="I81" s="20"/>
      <c r="J81" s="20"/>
      <c r="K81" s="20"/>
      <c r="L81" s="20"/>
      <c r="M81" s="20"/>
      <c r="N81" s="20"/>
      <c r="O81" s="20"/>
      <c r="P81" s="20"/>
      <c r="Q81" s="20"/>
      <c r="R81" s="20"/>
      <c r="S81" s="20"/>
    </row>
    <row r="82" spans="1:19">
      <c r="A82" s="20"/>
      <c r="B82" s="20"/>
      <c r="C82" s="20"/>
      <c r="D82" s="20"/>
      <c r="E82" s="20"/>
      <c r="F82" s="20"/>
      <c r="G82" s="20"/>
      <c r="H82" s="20"/>
      <c r="I82" s="20"/>
      <c r="J82" s="20"/>
      <c r="K82" s="20"/>
      <c r="L82" s="20"/>
      <c r="M82" s="20"/>
      <c r="N82" s="20"/>
      <c r="O82" s="20"/>
      <c r="P82" s="20"/>
      <c r="Q82" s="20"/>
      <c r="R82" s="20"/>
      <c r="S82" s="20"/>
    </row>
    <row r="83" spans="1:19">
      <c r="A83" s="20"/>
      <c r="B83" s="20"/>
      <c r="C83" s="20"/>
      <c r="D83" s="20"/>
      <c r="E83" s="20"/>
      <c r="F83" s="20"/>
      <c r="G83" s="20"/>
      <c r="H83" s="20"/>
      <c r="I83" s="20"/>
      <c r="J83" s="20"/>
      <c r="K83" s="20"/>
      <c r="L83" s="20"/>
      <c r="M83" s="20"/>
      <c r="N83" s="20"/>
      <c r="O83" s="20"/>
      <c r="P83" s="20"/>
      <c r="Q83" s="20"/>
      <c r="R83" s="20"/>
      <c r="S83" s="20"/>
    </row>
    <row r="84" spans="1:19">
      <c r="A84" s="20"/>
      <c r="B84" s="20"/>
      <c r="C84" s="20"/>
      <c r="D84" s="20"/>
      <c r="E84" s="20"/>
      <c r="F84" s="20"/>
      <c r="G84" s="20"/>
      <c r="H84" s="20"/>
      <c r="I84" s="20"/>
      <c r="J84" s="20"/>
      <c r="K84" s="20"/>
      <c r="L84" s="20"/>
      <c r="M84" s="20"/>
      <c r="N84" s="20"/>
      <c r="O84" s="20"/>
      <c r="P84" s="20"/>
      <c r="Q84" s="20"/>
      <c r="R84" s="20"/>
      <c r="S84" s="20"/>
    </row>
    <row r="85" spans="1:19">
      <c r="A85" s="20"/>
      <c r="B85" s="20"/>
      <c r="C85" s="20"/>
      <c r="D85" s="20"/>
      <c r="E85" s="20"/>
      <c r="F85" s="20"/>
      <c r="G85" s="20"/>
      <c r="H85" s="20"/>
      <c r="I85" s="20"/>
      <c r="J85" s="20"/>
      <c r="K85" s="20"/>
      <c r="L85" s="20"/>
      <c r="M85" s="20"/>
      <c r="N85" s="20"/>
      <c r="O85" s="20"/>
      <c r="P85" s="20"/>
      <c r="Q85" s="20"/>
      <c r="R85" s="20"/>
      <c r="S85" s="20"/>
    </row>
    <row r="86" spans="1:19">
      <c r="A86" s="20"/>
      <c r="B86" s="20"/>
      <c r="C86" s="20"/>
      <c r="D86" s="20"/>
      <c r="E86" s="20"/>
      <c r="F86" s="20"/>
      <c r="G86" s="20"/>
      <c r="H86" s="20"/>
      <c r="I86" s="20"/>
      <c r="J86" s="20"/>
      <c r="K86" s="20"/>
      <c r="L86" s="20"/>
      <c r="M86" s="20"/>
      <c r="N86" s="20"/>
      <c r="O86" s="20"/>
      <c r="P86" s="20"/>
      <c r="Q86" s="20"/>
      <c r="R86" s="20"/>
      <c r="S86" s="20"/>
    </row>
    <row r="87" spans="1:19">
      <c r="A87" s="20"/>
      <c r="B87" s="20"/>
      <c r="C87" s="20"/>
      <c r="D87" s="20"/>
      <c r="E87" s="20"/>
      <c r="F87" s="20"/>
      <c r="G87" s="20"/>
      <c r="H87" s="20"/>
      <c r="I87" s="20"/>
      <c r="J87" s="20"/>
      <c r="K87" s="20"/>
      <c r="L87" s="20"/>
      <c r="M87" s="20"/>
      <c r="N87" s="20"/>
      <c r="O87" s="20"/>
      <c r="P87" s="20"/>
      <c r="Q87" s="20"/>
      <c r="R87" s="20"/>
      <c r="S87" s="20"/>
    </row>
    <row r="88" spans="1:19">
      <c r="A88" s="20"/>
      <c r="B88" s="20"/>
      <c r="C88" s="20"/>
      <c r="D88" s="20"/>
      <c r="E88" s="20"/>
      <c r="F88" s="20"/>
      <c r="G88" s="20"/>
      <c r="H88" s="20"/>
      <c r="I88" s="20"/>
      <c r="J88" s="20"/>
      <c r="K88" s="20"/>
      <c r="L88" s="20"/>
      <c r="M88" s="20"/>
      <c r="N88" s="20"/>
      <c r="O88" s="20"/>
      <c r="P88" s="20"/>
      <c r="Q88" s="20"/>
      <c r="R88" s="20"/>
      <c r="S88" s="20"/>
    </row>
    <row r="89" spans="1:19">
      <c r="A89" s="20"/>
      <c r="B89" s="20"/>
      <c r="C89" s="20"/>
      <c r="D89" s="20"/>
      <c r="E89" s="20"/>
      <c r="F89" s="20"/>
      <c r="G89" s="20"/>
      <c r="H89" s="20"/>
      <c r="I89" s="20"/>
      <c r="J89" s="20"/>
      <c r="K89" s="20"/>
      <c r="L89" s="20"/>
      <c r="M89" s="20"/>
      <c r="N89" s="20"/>
      <c r="O89" s="20"/>
      <c r="P89" s="20"/>
      <c r="Q89" s="20"/>
      <c r="R89" s="20"/>
      <c r="S89" s="20"/>
    </row>
    <row r="90" spans="1:19">
      <c r="A90" s="20"/>
      <c r="B90" s="20"/>
      <c r="C90" s="20"/>
      <c r="D90" s="20"/>
      <c r="E90" s="20"/>
      <c r="F90" s="20"/>
      <c r="G90" s="20"/>
      <c r="H90" s="20"/>
      <c r="I90" s="20"/>
      <c r="J90" s="20"/>
      <c r="K90" s="20"/>
      <c r="L90" s="20"/>
      <c r="M90" s="20"/>
      <c r="N90" s="20"/>
      <c r="O90" s="20"/>
      <c r="P90" s="20"/>
      <c r="Q90" s="20"/>
      <c r="R90" s="20"/>
      <c r="S90" s="20"/>
    </row>
    <row r="91" spans="1:19">
      <c r="A91" s="20"/>
      <c r="B91" s="20"/>
      <c r="C91" s="20"/>
      <c r="D91" s="20"/>
      <c r="E91" s="20"/>
      <c r="F91" s="20"/>
      <c r="G91" s="20"/>
      <c r="H91" s="20"/>
    </row>
    <row r="92" spans="1:19">
      <c r="A92" s="20"/>
      <c r="B92" s="20"/>
      <c r="C92" s="20"/>
      <c r="D92" s="20"/>
      <c r="E92" s="20"/>
      <c r="F92" s="20"/>
      <c r="G92" s="20"/>
      <c r="H92" s="20"/>
    </row>
    <row r="93" spans="1:19">
      <c r="A93" s="20"/>
      <c r="B93" s="20"/>
      <c r="C93" s="20"/>
      <c r="D93" s="20"/>
      <c r="E93" s="20"/>
      <c r="F93" s="20"/>
      <c r="G93" s="20"/>
      <c r="H93" s="20"/>
    </row>
    <row r="94" spans="1:19">
      <c r="A94" s="20"/>
      <c r="B94" s="20"/>
      <c r="C94" s="20"/>
      <c r="D94" s="20"/>
      <c r="E94" s="20"/>
      <c r="F94" s="20"/>
      <c r="G94" s="20"/>
      <c r="H94" s="20"/>
    </row>
    <row r="95" spans="1:19">
      <c r="A95" s="20"/>
      <c r="B95" s="20"/>
      <c r="C95" s="20"/>
      <c r="D95" s="20"/>
      <c r="E95" s="20"/>
      <c r="F95" s="20"/>
      <c r="G95" s="20"/>
      <c r="H95" s="20"/>
    </row>
    <row r="96" spans="1:19">
      <c r="A96" s="20"/>
      <c r="B96" s="20"/>
      <c r="C96" s="20"/>
      <c r="D96" s="20"/>
      <c r="E96" s="20"/>
      <c r="F96" s="20"/>
      <c r="G96" s="20"/>
      <c r="H96" s="20"/>
    </row>
    <row r="97" spans="1:8">
      <c r="A97" s="20"/>
      <c r="B97" s="20"/>
      <c r="C97" s="20"/>
      <c r="D97" s="20"/>
      <c r="E97" s="20"/>
      <c r="F97" s="20"/>
      <c r="G97" s="20"/>
      <c r="H97" s="20"/>
    </row>
  </sheetData>
  <sheetProtection algorithmName="SHA-512" hashValue="P3o7uJtF51lUssqRxG9s4A9U4XsWTNAwMIAh3upEt4aaIqyqZeW1rOzAyZrhCS9+B/A7oTsTtliinGUcRh6ynQ==" saltValue="atnqpeSTnfce8EY1rd0MIg==" spinCount="100000" sheet="1" selectLockedCells="1"/>
  <mergeCells count="15">
    <mergeCell ref="C42:F42"/>
    <mergeCell ref="B31:D31"/>
    <mergeCell ref="C39:H40"/>
    <mergeCell ref="B29:E29"/>
    <mergeCell ref="B33:E33"/>
    <mergeCell ref="B35:E35"/>
    <mergeCell ref="A2:H3"/>
    <mergeCell ref="A4:H5"/>
    <mergeCell ref="B20:E20"/>
    <mergeCell ref="B22:D22"/>
    <mergeCell ref="B10:G10"/>
    <mergeCell ref="B13:G13"/>
    <mergeCell ref="C17:E17"/>
    <mergeCell ref="C18:E18"/>
    <mergeCell ref="B7:G7"/>
  </mergeCells>
  <phoneticPr fontId="2" type="noConversion"/>
  <conditionalFormatting sqref="A1:T97">
    <cfRule type="expression" dxfId="191" priority="2" stopIfTrue="1">
      <formula>AND(A1&lt;&gt;"",OR(A1=0,A1="0"))</formula>
    </cfRule>
  </conditionalFormatting>
  <hyperlinks>
    <hyperlink ref="B10" location="Datum!A1" display="Complete los datos de la hoja del Dátum hasta el punto de Intervalo de deriva." xr:uid="{00000000-0004-0000-0100-000000000000}"/>
    <hyperlink ref="B13:G13" location="VMS!A18" display="Completar la hoja de Viento medio en superficie" xr:uid="{00000000-0004-0000-0100-000001000000}"/>
    <hyperlink ref="C17:E17" location="CTA!K13" display="si tiene la corriente total observada" xr:uid="{00000000-0004-0000-0100-000002000000}"/>
    <hyperlink ref="C18:E18" location="CTA!K33" display="para la corriente marina" xr:uid="{00000000-0004-0000-0100-000003000000}"/>
    <hyperlink ref="B20:E20" location="CA!M17" display="Completar la hoja de Corriente de arrastre." xr:uid="{00000000-0004-0000-0100-000004000000}"/>
    <hyperlink ref="B22:D22" location="AB!L18" display="Completar la hoja de Abatimiento" xr:uid="{00000000-0004-0000-0100-000005000000}"/>
    <hyperlink ref="B31:D31" location="Datum!J84" display="Completar la hoja de Dátum." xr:uid="{00000000-0004-0000-0100-000006000000}"/>
    <hyperlink ref="B33:F33" location="Ztd!J1" display="Completar la hoja sobre Esfuerzo total disponible." xr:uid="{00000000-0004-0000-0100-000007000000}"/>
    <hyperlink ref="C27" location="CM!Área_de_impresión" display="Para H-610" xr:uid="{00000000-0004-0000-0100-000008000000}"/>
    <hyperlink ref="B29:E29" location="CTA!K48" display="Completar la hoja de Corriente total calculada" xr:uid="{00000000-0004-0000-0100-000009000000}"/>
    <hyperlink ref="B33:E33" location="E!L14" display="Completar la hoja del Error probable total." xr:uid="{00000000-0004-0000-0100-00000A000000}"/>
    <hyperlink ref="B35:E35" location="Ztd!J19" display="Completar la hoja sobre Esfuerzo total disponible." xr:uid="{00000000-0004-0000-0100-00000B000000}"/>
    <hyperlink ref="C39:H40" location="HTAE!I1" display="Hoja de trabajo sobre la asignación de esfuerzos para la búsqueda óptima con un punto único,divergencia de abatimiento o línea de referencia." xr:uid="{00000000-0004-0000-0100-00000C000000}"/>
    <hyperlink ref="C42:F42" location="HTDMD!I1" display="Hoja de trabajo sobre Dátum muy divergentes." xr:uid="{00000000-0004-0000-0100-00000D000000}"/>
    <hyperlink ref="B7:G7" location="Instrucciones!A1" display="Instrucciones!A1" xr:uid="{00000000-0004-0000-0100-00000E000000}"/>
    <hyperlink ref="B10:G10" location="Datum!D7" display="Completar los datos de la hoja del Dátum hasta el punto de Intervalo de deriva." xr:uid="{00000000-0004-0000-0100-00000F000000}"/>
    <hyperlink ref="C26" location="'Suma Vect'!Área_de_impresión" display="Suma de vectores." xr:uid="{00000000-0004-0000-0100-000010000000}"/>
    <hyperlink ref="B9:H9" location="'Datum Aer'!A1" display="Completar los datos de la hoja del Dátum Aeronáutico hasta el punto 9 &quot;Rumbo de Descenso&quot;" xr:uid="{5159A9B7-6024-4976-A29F-36980C218DE8}"/>
    <hyperlink ref="B12:E12" location="VMA!A1" display="Completar la hoja de Viento medio de Altura" xr:uid="{4A552651-1DE9-4C2D-AB2F-1610D0BA57D2}"/>
  </hyperlinks>
  <pageMargins left="0.68" right="0.75" top="1" bottom="1" header="0.71" footer="0"/>
  <pageSetup paperSize="9" orientation="portrait" blackAndWhite="1" horizontalDpi="4294967292" verticalDpi="4294967292" r:id="rId1"/>
  <headerFooter alignWithMargins="0">
    <oddHeader xml:space="preserve">&amp;LPREFECTURA NAVAL ARGENTINA
</oddHeader>
  </headerFooter>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B5F5E4-2A87-41A4-B3D1-9E90B7C2D501}">
  <sheetPr codeName="Hoja15"/>
  <dimension ref="A1:AV124"/>
  <sheetViews>
    <sheetView zoomScale="115" zoomScaleNormal="115" workbookViewId="0">
      <selection activeCell="D7" sqref="D7:F7"/>
    </sheetView>
  </sheetViews>
  <sheetFormatPr baseColWidth="10" defaultColWidth="8.6640625" defaultRowHeight="13.2"/>
  <cols>
    <col min="1" max="2" width="3.44140625" customWidth="1"/>
    <col min="3" max="3" width="9.77734375" customWidth="1"/>
    <col min="4" max="6" width="7" customWidth="1"/>
    <col min="7" max="7" width="12.44140625" customWidth="1"/>
    <col min="8" max="8" width="7.88671875" customWidth="1"/>
    <col min="9" max="9" width="6.88671875" customWidth="1"/>
    <col min="10" max="10" width="5.21875" customWidth="1"/>
    <col min="11" max="11" width="6.88671875" customWidth="1"/>
    <col min="12" max="12" width="5.6640625" customWidth="1"/>
    <col min="13" max="13" width="7" customWidth="1"/>
    <col min="14" max="14" width="4.5546875" customWidth="1"/>
    <col min="15" max="15" width="6.6640625" customWidth="1"/>
    <col min="16" max="16" width="2.44140625" customWidth="1"/>
    <col min="17" max="17" width="4" customWidth="1"/>
    <col min="18" max="18" width="2.6640625" customWidth="1"/>
  </cols>
  <sheetData>
    <row r="1" spans="1:48">
      <c r="A1" s="260"/>
      <c r="B1" s="260"/>
      <c r="C1" s="260"/>
      <c r="D1" s="260"/>
      <c r="E1" s="260"/>
      <c r="F1" s="260"/>
      <c r="G1" s="260"/>
      <c r="H1" s="260"/>
      <c r="I1" s="260"/>
      <c r="J1" s="260"/>
      <c r="K1" s="260"/>
      <c r="L1" s="260"/>
      <c r="M1" s="260"/>
      <c r="N1" s="260"/>
      <c r="O1" s="260"/>
      <c r="P1" s="260"/>
      <c r="Q1" s="260"/>
      <c r="R1" s="260"/>
      <c r="S1" s="181"/>
      <c r="T1" s="181"/>
      <c r="U1" s="181"/>
      <c r="V1" s="181"/>
      <c r="W1" s="181"/>
      <c r="X1" s="181"/>
      <c r="Y1" s="181"/>
      <c r="Z1" s="181"/>
      <c r="AA1" s="181"/>
      <c r="AB1" s="181"/>
      <c r="AC1" s="181"/>
      <c r="AD1" s="181"/>
      <c r="AE1" s="181"/>
      <c r="AF1" s="181"/>
      <c r="AG1" s="181"/>
      <c r="AH1" s="181"/>
      <c r="AI1" s="181"/>
      <c r="AJ1" s="181"/>
      <c r="AK1" s="181"/>
      <c r="AL1" s="181"/>
      <c r="AM1" s="181"/>
      <c r="AN1" s="181"/>
      <c r="AO1" s="181"/>
      <c r="AP1" s="181"/>
      <c r="AQ1" s="181"/>
      <c r="AR1" s="181"/>
      <c r="AS1" s="181"/>
      <c r="AT1" s="181"/>
      <c r="AU1" s="181"/>
      <c r="AV1" s="181"/>
    </row>
    <row r="2" spans="1:48" ht="13.8" thickBot="1">
      <c r="A2" s="261"/>
      <c r="B2" s="261"/>
      <c r="C2" s="261"/>
      <c r="D2" s="261"/>
      <c r="E2" s="261"/>
      <c r="F2" s="261"/>
      <c r="G2" s="261"/>
      <c r="H2" s="261"/>
      <c r="I2" s="261"/>
      <c r="J2" s="261"/>
      <c r="K2" s="261"/>
      <c r="L2" s="261"/>
      <c r="M2" s="261"/>
      <c r="N2" s="261"/>
      <c r="O2" s="261"/>
      <c r="P2" s="261"/>
      <c r="Q2" s="261"/>
      <c r="R2" s="261"/>
      <c r="S2" s="181"/>
      <c r="T2" s="181"/>
      <c r="U2" s="181"/>
      <c r="V2" s="181"/>
      <c r="W2" s="181"/>
      <c r="X2" s="181"/>
      <c r="Y2" s="181"/>
      <c r="Z2" s="181"/>
      <c r="AA2" s="181"/>
      <c r="AB2" s="181"/>
      <c r="AC2" s="181"/>
      <c r="AD2" s="181"/>
      <c r="AE2" s="181"/>
      <c r="AF2" s="181"/>
      <c r="AG2" s="181"/>
      <c r="AH2" s="181"/>
      <c r="AI2" s="181"/>
      <c r="AJ2" s="181"/>
      <c r="AK2" s="181"/>
      <c r="AL2" s="181"/>
      <c r="AM2" s="181"/>
      <c r="AN2" s="181"/>
      <c r="AO2" s="181"/>
      <c r="AP2" s="181"/>
      <c r="AQ2" s="181"/>
      <c r="AR2" s="181"/>
      <c r="AS2" s="181"/>
      <c r="AT2" s="181"/>
      <c r="AU2" s="181"/>
      <c r="AV2" s="181"/>
    </row>
    <row r="3" spans="1:48" ht="15" customHeight="1" thickTop="1" thickBot="1">
      <c r="A3" s="261"/>
      <c r="B3" s="320" t="s">
        <v>528</v>
      </c>
      <c r="C3" s="320"/>
      <c r="D3" s="320"/>
      <c r="E3" s="320"/>
      <c r="F3" s="320"/>
      <c r="G3" s="320"/>
      <c r="H3" s="320"/>
      <c r="I3" s="320"/>
      <c r="J3" s="320"/>
      <c r="K3" s="320"/>
      <c r="L3" s="320"/>
      <c r="M3" s="320"/>
      <c r="N3" s="320"/>
      <c r="O3" s="320"/>
      <c r="P3" s="320"/>
      <c r="Q3" s="320"/>
      <c r="R3" s="261"/>
      <c r="S3" s="181"/>
      <c r="T3" s="181"/>
      <c r="U3" s="181"/>
      <c r="V3" s="181"/>
      <c r="W3" s="181"/>
      <c r="X3" s="181"/>
      <c r="Y3" s="181"/>
      <c r="Z3" s="181"/>
      <c r="AA3" s="181"/>
      <c r="AB3" s="181"/>
      <c r="AC3" s="181"/>
      <c r="AD3" s="181"/>
      <c r="AE3" s="181"/>
      <c r="AF3" s="181"/>
      <c r="AG3" s="181"/>
      <c r="AH3" s="181"/>
      <c r="AI3" s="181"/>
      <c r="AJ3" s="181"/>
      <c r="AK3" s="181"/>
      <c r="AL3" s="181"/>
      <c r="AM3" s="181"/>
      <c r="AN3" s="181"/>
      <c r="AO3" s="181"/>
      <c r="AP3" s="181"/>
      <c r="AQ3" s="181"/>
      <c r="AR3" s="181"/>
      <c r="AS3" s="181"/>
      <c r="AT3" s="181"/>
      <c r="AU3" s="181"/>
      <c r="AV3" s="181"/>
    </row>
    <row r="4" spans="1:48" ht="14.4" thickTop="1" thickBot="1">
      <c r="A4" s="261"/>
      <c r="B4" s="320"/>
      <c r="C4" s="320"/>
      <c r="D4" s="320"/>
      <c r="E4" s="320"/>
      <c r="F4" s="320"/>
      <c r="G4" s="320"/>
      <c r="H4" s="320"/>
      <c r="I4" s="320"/>
      <c r="J4" s="320"/>
      <c r="K4" s="320"/>
      <c r="L4" s="320"/>
      <c r="M4" s="320"/>
      <c r="N4" s="320"/>
      <c r="O4" s="320"/>
      <c r="P4" s="320"/>
      <c r="Q4" s="320"/>
      <c r="R4" s="261"/>
      <c r="S4" s="181"/>
      <c r="T4" s="181"/>
      <c r="U4" s="181"/>
      <c r="V4" s="181"/>
      <c r="W4" s="181"/>
      <c r="X4" s="181"/>
      <c r="Y4" s="181"/>
      <c r="Z4" s="181"/>
      <c r="AA4" s="181"/>
      <c r="AB4" s="181"/>
      <c r="AC4" s="181"/>
      <c r="AD4" s="181"/>
      <c r="AE4" s="181"/>
      <c r="AF4" s="181"/>
      <c r="AG4" s="181"/>
      <c r="AH4" s="181"/>
      <c r="AI4" s="181"/>
      <c r="AJ4" s="181"/>
      <c r="AK4" s="181"/>
      <c r="AL4" s="181"/>
      <c r="AM4" s="181"/>
      <c r="AN4" s="181"/>
      <c r="AO4" s="181"/>
      <c r="AP4" s="181"/>
      <c r="AQ4" s="181"/>
      <c r="AR4" s="181"/>
      <c r="AS4" s="181"/>
      <c r="AT4" s="181"/>
      <c r="AU4" s="181"/>
      <c r="AV4" s="181"/>
    </row>
    <row r="5" spans="1:48" ht="13.8" thickTop="1">
      <c r="A5" s="261"/>
      <c r="B5" s="261"/>
      <c r="C5" s="261"/>
      <c r="D5" s="261"/>
      <c r="E5" s="261"/>
      <c r="F5" s="261"/>
      <c r="G5" s="261"/>
      <c r="H5" s="261"/>
      <c r="I5" s="261"/>
      <c r="J5" s="261"/>
      <c r="K5" s="261"/>
      <c r="L5" s="261"/>
      <c r="M5" s="261"/>
      <c r="N5" s="261"/>
      <c r="O5" s="261"/>
      <c r="P5" s="261"/>
      <c r="Q5" s="261"/>
      <c r="R5" s="261"/>
      <c r="S5" s="181"/>
      <c r="T5" s="181"/>
      <c r="U5" s="181"/>
      <c r="V5" s="181"/>
      <c r="W5" s="181"/>
      <c r="X5" s="181"/>
      <c r="Y5" s="181"/>
      <c r="Z5" s="181"/>
      <c r="AA5" s="181"/>
      <c r="AB5" s="181"/>
      <c r="AC5" s="181"/>
      <c r="AD5" s="181"/>
      <c r="AE5" s="181"/>
      <c r="AF5" s="181"/>
      <c r="AG5" s="181"/>
      <c r="AH5" s="181"/>
      <c r="AI5" s="181"/>
      <c r="AJ5" s="181"/>
      <c r="AK5" s="181"/>
      <c r="AL5" s="181"/>
      <c r="AM5" s="181"/>
      <c r="AN5" s="181"/>
      <c r="AO5" s="181"/>
      <c r="AP5" s="181"/>
      <c r="AQ5" s="181"/>
      <c r="AR5" s="181"/>
      <c r="AS5" s="181"/>
      <c r="AT5" s="181"/>
      <c r="AU5" s="181"/>
      <c r="AV5" s="181"/>
    </row>
    <row r="6" spans="1:48" ht="13.8" thickBot="1">
      <c r="A6" s="261"/>
      <c r="B6" s="261"/>
      <c r="C6" s="261"/>
      <c r="D6" s="261"/>
      <c r="E6" s="261"/>
      <c r="F6" s="261"/>
      <c r="G6" s="261"/>
      <c r="H6" s="261"/>
      <c r="I6" s="261"/>
      <c r="J6" s="261"/>
      <c r="K6" s="261"/>
      <c r="L6" s="261"/>
      <c r="M6" s="261"/>
      <c r="N6" s="261"/>
      <c r="O6" s="261"/>
      <c r="P6" s="261"/>
      <c r="Q6" s="261"/>
      <c r="R6" s="261"/>
      <c r="S6" s="181"/>
      <c r="T6" s="181"/>
      <c r="U6" s="181"/>
      <c r="V6" s="181"/>
      <c r="W6" s="181"/>
      <c r="X6" s="181"/>
      <c r="Y6" s="181"/>
      <c r="Z6" s="181"/>
      <c r="AA6" s="181"/>
      <c r="AB6" s="181"/>
      <c r="AC6" s="181"/>
      <c r="AD6" s="181"/>
      <c r="AE6" s="181"/>
      <c r="AF6" s="181"/>
      <c r="AG6" s="181"/>
      <c r="AH6" s="181"/>
      <c r="AI6" s="181"/>
      <c r="AJ6" s="181"/>
      <c r="AK6" s="181"/>
      <c r="AL6" s="181"/>
      <c r="AM6" s="181"/>
      <c r="AN6" s="181"/>
      <c r="AO6" s="181"/>
      <c r="AP6" s="181"/>
      <c r="AQ6" s="181"/>
      <c r="AR6" s="181"/>
      <c r="AS6" s="181"/>
      <c r="AT6" s="181"/>
      <c r="AU6" s="181"/>
      <c r="AV6" s="181"/>
    </row>
    <row r="7" spans="1:48" ht="13.8" thickBot="1">
      <c r="A7" s="262" t="s">
        <v>0</v>
      </c>
      <c r="B7" s="261"/>
      <c r="C7" s="261"/>
      <c r="D7" s="321"/>
      <c r="E7" s="322"/>
      <c r="F7" s="323"/>
      <c r="G7" s="261"/>
      <c r="H7" s="262" t="s">
        <v>1</v>
      </c>
      <c r="I7" s="261"/>
      <c r="J7" s="324"/>
      <c r="K7" s="325"/>
      <c r="L7" s="261"/>
      <c r="M7" s="262" t="s">
        <v>2</v>
      </c>
      <c r="N7" s="324"/>
      <c r="O7" s="325"/>
      <c r="P7" s="326"/>
      <c r="Q7" s="261"/>
      <c r="R7" s="261"/>
      <c r="S7" s="181"/>
      <c r="T7" s="181"/>
      <c r="U7" s="181"/>
      <c r="V7" s="181"/>
      <c r="W7" s="181"/>
      <c r="X7" s="181"/>
      <c r="Y7" s="181"/>
      <c r="Z7" s="181"/>
      <c r="AA7" s="181"/>
      <c r="AB7" s="181"/>
      <c r="AC7" s="181"/>
      <c r="AD7" s="181"/>
      <c r="AE7" s="181"/>
      <c r="AF7" s="181"/>
      <c r="AG7" s="181"/>
      <c r="AH7" s="181"/>
      <c r="AI7" s="181"/>
      <c r="AJ7" s="181"/>
      <c r="AK7" s="181"/>
      <c r="AL7" s="181"/>
      <c r="AM7" s="181"/>
      <c r="AN7" s="181"/>
      <c r="AO7" s="181"/>
      <c r="AP7" s="181"/>
      <c r="AQ7" s="181"/>
      <c r="AR7" s="181"/>
      <c r="AS7" s="181"/>
      <c r="AT7" s="181"/>
      <c r="AU7" s="181"/>
      <c r="AV7" s="181"/>
    </row>
    <row r="8" spans="1:48" ht="13.8" thickBot="1">
      <c r="A8" s="261"/>
      <c r="B8" s="261"/>
      <c r="C8" s="261"/>
      <c r="D8" s="261"/>
      <c r="E8" s="261"/>
      <c r="F8" s="261"/>
      <c r="G8" s="261"/>
      <c r="H8" s="261"/>
      <c r="I8" s="261"/>
      <c r="J8" s="261"/>
      <c r="K8" s="261"/>
      <c r="L8" s="261"/>
      <c r="M8" s="261"/>
      <c r="N8" s="261"/>
      <c r="O8" s="261"/>
      <c r="P8" s="261"/>
      <c r="Q8" s="261"/>
      <c r="R8" s="261"/>
      <c r="S8" s="181"/>
      <c r="T8" s="181"/>
      <c r="U8" s="181"/>
      <c r="V8" s="181"/>
      <c r="W8" s="181"/>
      <c r="X8" s="181"/>
      <c r="Y8" s="181"/>
      <c r="Z8" s="181"/>
      <c r="AA8" s="181"/>
      <c r="AB8" s="181"/>
      <c r="AC8" s="181"/>
      <c r="AD8" s="181"/>
      <c r="AE8" s="181"/>
      <c r="AF8" s="181"/>
      <c r="AG8" s="181"/>
      <c r="AH8" s="181"/>
      <c r="AI8" s="181"/>
      <c r="AJ8" s="181"/>
      <c r="AK8" s="181"/>
      <c r="AL8" s="181"/>
      <c r="AM8" s="181"/>
      <c r="AN8" s="181"/>
      <c r="AO8" s="181"/>
      <c r="AP8" s="181"/>
      <c r="AQ8" s="181"/>
      <c r="AR8" s="181"/>
      <c r="AS8" s="181"/>
      <c r="AT8" s="181"/>
      <c r="AU8" s="181"/>
      <c r="AV8" s="181"/>
    </row>
    <row r="9" spans="1:48" ht="13.8" thickBot="1">
      <c r="A9" s="262" t="s">
        <v>3</v>
      </c>
      <c r="B9" s="261"/>
      <c r="C9" s="261"/>
      <c r="D9" s="321"/>
      <c r="E9" s="322"/>
      <c r="F9" s="327"/>
      <c r="G9" s="261"/>
      <c r="H9" s="262" t="s">
        <v>4</v>
      </c>
      <c r="I9" s="261"/>
      <c r="J9" s="324"/>
      <c r="K9" s="325"/>
      <c r="L9" s="271" t="s">
        <v>575</v>
      </c>
      <c r="M9" s="261"/>
      <c r="N9" s="261"/>
      <c r="O9" s="298"/>
      <c r="P9" s="261"/>
      <c r="Q9" s="261"/>
      <c r="R9" s="261"/>
      <c r="S9" s="181"/>
      <c r="T9" s="181"/>
      <c r="U9" s="181"/>
      <c r="V9" s="181"/>
      <c r="W9" s="181"/>
      <c r="X9" s="181"/>
      <c r="Y9" s="181"/>
      <c r="Z9" s="181"/>
      <c r="AA9" s="181"/>
      <c r="AB9" s="181"/>
      <c r="AC9" s="181"/>
      <c r="AD9" s="181"/>
      <c r="AE9" s="181"/>
      <c r="AF9" s="181"/>
      <c r="AG9" s="181"/>
      <c r="AH9" s="181"/>
      <c r="AI9" s="181"/>
      <c r="AJ9" s="181"/>
      <c r="AK9" s="181"/>
      <c r="AL9" s="181"/>
      <c r="AM9" s="181"/>
      <c r="AN9" s="181"/>
      <c r="AO9" s="181"/>
      <c r="AP9" s="181"/>
      <c r="AQ9" s="181"/>
      <c r="AR9" s="181"/>
      <c r="AS9" s="181"/>
      <c r="AT9" s="181"/>
      <c r="AU9" s="181"/>
      <c r="AV9" s="181"/>
    </row>
    <row r="10" spans="1:48" ht="13.8" thickBot="1">
      <c r="A10" s="261"/>
      <c r="B10" s="261"/>
      <c r="C10" s="261"/>
      <c r="D10" s="261"/>
      <c r="E10" s="261"/>
      <c r="F10" s="261"/>
      <c r="G10" s="261"/>
      <c r="H10" s="261"/>
      <c r="I10" s="261"/>
      <c r="J10" s="261"/>
      <c r="K10" s="261"/>
      <c r="L10" s="261"/>
      <c r="M10" s="261"/>
      <c r="N10" s="261"/>
      <c r="O10" s="261"/>
      <c r="P10" s="261"/>
      <c r="Q10" s="261"/>
      <c r="R10" s="261"/>
      <c r="S10" s="181"/>
      <c r="T10" s="181"/>
      <c r="U10" s="181"/>
      <c r="V10" s="181"/>
      <c r="W10" s="181"/>
      <c r="X10" s="181"/>
      <c r="Y10" s="181"/>
      <c r="Z10" s="181"/>
      <c r="AA10" s="181"/>
      <c r="AB10" s="181"/>
      <c r="AC10" s="181"/>
      <c r="AD10" s="181"/>
      <c r="AE10" s="181"/>
      <c r="AF10" s="181"/>
      <c r="AG10" s="181"/>
      <c r="AH10" s="181"/>
      <c r="AI10" s="181"/>
      <c r="AJ10" s="181"/>
      <c r="AK10" s="181"/>
      <c r="AL10" s="181"/>
      <c r="AM10" s="181"/>
      <c r="AN10" s="181"/>
      <c r="AO10" s="181"/>
      <c r="AP10" s="181"/>
      <c r="AQ10" s="181"/>
      <c r="AR10" s="181"/>
      <c r="AS10" s="181"/>
      <c r="AT10" s="181"/>
      <c r="AU10" s="181"/>
      <c r="AV10" s="181"/>
    </row>
    <row r="11" spans="1:48" ht="13.8" thickBot="1">
      <c r="A11" s="262" t="s">
        <v>6</v>
      </c>
      <c r="B11" s="261"/>
      <c r="C11" s="261"/>
      <c r="D11" s="324"/>
      <c r="E11" s="325"/>
      <c r="F11" s="325"/>
      <c r="G11" s="325"/>
      <c r="H11" s="325"/>
      <c r="I11" s="326"/>
      <c r="J11" s="261"/>
      <c r="K11" s="261"/>
      <c r="L11" s="261"/>
      <c r="M11" s="261"/>
      <c r="N11" s="261"/>
      <c r="O11" s="261"/>
      <c r="P11" s="261"/>
      <c r="Q11" s="261"/>
      <c r="R11" s="261"/>
      <c r="S11" s="181"/>
      <c r="T11" s="181"/>
      <c r="U11" s="181"/>
      <c r="V11" s="181"/>
      <c r="W11" s="181"/>
      <c r="X11" s="181"/>
      <c r="Y11" s="181"/>
      <c r="Z11" s="181"/>
      <c r="AA11" s="181"/>
      <c r="AB11" s="181"/>
      <c r="AC11" s="181"/>
      <c r="AD11" s="181"/>
      <c r="AE11" s="181"/>
      <c r="AF11" s="181"/>
      <c r="AG11" s="181"/>
      <c r="AH11" s="181"/>
      <c r="AI11" s="181"/>
      <c r="AJ11" s="181"/>
      <c r="AK11" s="181"/>
      <c r="AL11" s="181"/>
      <c r="AM11" s="181"/>
      <c r="AN11" s="181"/>
      <c r="AO11" s="181"/>
      <c r="AP11" s="181"/>
      <c r="AQ11" s="181"/>
      <c r="AR11" s="181"/>
      <c r="AS11" s="181"/>
      <c r="AT11" s="181"/>
      <c r="AU11" s="181"/>
      <c r="AV11" s="181"/>
    </row>
    <row r="12" spans="1:48">
      <c r="A12" s="261"/>
      <c r="B12" s="261"/>
      <c r="C12" s="261"/>
      <c r="D12" s="261"/>
      <c r="E12" s="261"/>
      <c r="F12" s="261"/>
      <c r="G12" s="261"/>
      <c r="H12" s="261"/>
      <c r="I12" s="261"/>
      <c r="J12" s="261"/>
      <c r="K12" s="261"/>
      <c r="L12" s="261"/>
      <c r="M12" s="261"/>
      <c r="N12" s="261"/>
      <c r="O12" s="261"/>
      <c r="P12" s="261"/>
      <c r="Q12" s="261"/>
      <c r="R12" s="261"/>
      <c r="S12" s="181"/>
      <c r="T12" s="181"/>
      <c r="U12" s="181"/>
      <c r="V12" s="181"/>
      <c r="W12" s="181"/>
      <c r="X12" s="181"/>
      <c r="Y12" s="181"/>
      <c r="Z12" s="181"/>
      <c r="AA12" s="181"/>
      <c r="AB12" s="181"/>
      <c r="AC12" s="181"/>
      <c r="AD12" s="181"/>
      <c r="AE12" s="181"/>
      <c r="AF12" s="181"/>
      <c r="AG12" s="181"/>
      <c r="AH12" s="181"/>
      <c r="AI12" s="181"/>
      <c r="AJ12" s="181"/>
      <c r="AK12" s="181"/>
      <c r="AL12" s="181"/>
      <c r="AM12" s="181"/>
      <c r="AN12" s="181"/>
      <c r="AO12" s="181"/>
      <c r="AP12" s="181"/>
      <c r="AQ12" s="181"/>
      <c r="AR12" s="181"/>
      <c r="AS12" s="181"/>
      <c r="AT12" s="181"/>
      <c r="AU12" s="181"/>
      <c r="AV12" s="181"/>
    </row>
    <row r="13" spans="1:48" ht="13.8" thickBot="1">
      <c r="A13" s="263" t="s">
        <v>7</v>
      </c>
      <c r="B13" s="329" t="s">
        <v>529</v>
      </c>
      <c r="C13" s="329"/>
      <c r="D13" s="329"/>
      <c r="E13" s="329"/>
      <c r="F13" s="329"/>
      <c r="G13" s="329"/>
      <c r="H13" s="329"/>
      <c r="I13" s="329"/>
      <c r="J13" s="329"/>
      <c r="K13" s="329"/>
      <c r="L13" s="329"/>
      <c r="M13" s="329"/>
      <c r="N13" s="329"/>
      <c r="O13" s="329"/>
      <c r="P13" s="329"/>
      <c r="Q13" s="329"/>
      <c r="R13" s="261"/>
      <c r="S13" s="181"/>
      <c r="T13" s="181"/>
      <c r="U13" s="181"/>
      <c r="V13" s="181"/>
      <c r="W13" s="181"/>
      <c r="X13" s="181"/>
      <c r="Y13" s="181"/>
      <c r="Z13" s="181"/>
      <c r="AA13" s="181"/>
      <c r="AB13" s="181"/>
      <c r="AC13" s="181"/>
      <c r="AD13" s="181"/>
      <c r="AE13" s="181"/>
      <c r="AF13" s="181"/>
      <c r="AG13" s="181"/>
      <c r="AH13" s="181"/>
      <c r="AI13" s="181"/>
      <c r="AJ13" s="181"/>
      <c r="AK13" s="181"/>
      <c r="AL13" s="181"/>
      <c r="AM13" s="181"/>
      <c r="AN13" s="181"/>
      <c r="AO13" s="181"/>
      <c r="AP13" s="181"/>
      <c r="AQ13" s="181"/>
      <c r="AR13" s="181"/>
      <c r="AS13" s="181"/>
      <c r="AT13" s="181"/>
      <c r="AU13" s="181"/>
      <c r="AV13" s="181"/>
    </row>
    <row r="14" spans="1:48" ht="13.8" thickBot="1">
      <c r="A14" s="261"/>
      <c r="B14" s="261"/>
      <c r="C14" s="261"/>
      <c r="D14" s="261"/>
      <c r="E14" s="261"/>
      <c r="F14" s="261"/>
      <c r="G14" s="261"/>
      <c r="H14" s="261"/>
      <c r="I14" s="261"/>
      <c r="J14" s="261"/>
      <c r="K14" s="261"/>
      <c r="L14" s="261"/>
      <c r="M14" s="261"/>
      <c r="N14" s="261"/>
      <c r="O14" s="261"/>
      <c r="P14" s="261"/>
      <c r="Q14" s="261"/>
      <c r="R14" s="261"/>
      <c r="S14" s="181"/>
      <c r="T14" s="181"/>
      <c r="U14" s="181"/>
      <c r="V14" s="181"/>
      <c r="W14" s="181"/>
      <c r="X14" s="181"/>
      <c r="Y14" s="181"/>
      <c r="Z14" s="181"/>
      <c r="AA14" s="181"/>
      <c r="AB14" s="181"/>
      <c r="AC14" s="181"/>
      <c r="AD14" s="181"/>
      <c r="AE14" s="181"/>
      <c r="AF14" s="181"/>
      <c r="AG14" s="181"/>
      <c r="AH14" s="181"/>
      <c r="AI14" s="181"/>
      <c r="AJ14" s="181"/>
      <c r="AK14" s="181"/>
      <c r="AL14" s="181"/>
      <c r="AM14" s="181"/>
      <c r="AN14" s="181"/>
      <c r="AO14" s="181"/>
      <c r="AP14" s="181"/>
      <c r="AQ14" s="181"/>
      <c r="AR14" s="181"/>
      <c r="AS14" s="181"/>
      <c r="AT14" s="181"/>
      <c r="AU14" s="181"/>
      <c r="AV14" s="181"/>
    </row>
    <row r="15" spans="1:48" ht="15" customHeight="1" thickBot="1">
      <c r="A15" s="261"/>
      <c r="B15" s="264">
        <v>1</v>
      </c>
      <c r="C15" s="330" t="s">
        <v>530</v>
      </c>
      <c r="D15" s="330"/>
      <c r="E15" s="330"/>
      <c r="F15" s="330"/>
      <c r="G15" s="330"/>
      <c r="H15" s="261"/>
      <c r="I15" s="324"/>
      <c r="J15" s="325"/>
      <c r="K15" s="326"/>
      <c r="L15" s="173"/>
      <c r="M15" s="324"/>
      <c r="N15" s="325"/>
      <c r="O15" s="326"/>
      <c r="P15" s="261"/>
      <c r="Q15" s="261"/>
      <c r="R15" s="261"/>
      <c r="S15" s="181"/>
      <c r="T15" s="181"/>
      <c r="U15" s="181"/>
      <c r="V15" s="181"/>
      <c r="W15" s="181"/>
      <c r="X15" s="181"/>
      <c r="Y15" s="181"/>
      <c r="Z15" s="181"/>
      <c r="AA15" s="181"/>
      <c r="AB15" s="181"/>
      <c r="AC15" s="181"/>
      <c r="AD15" s="181"/>
      <c r="AE15" s="181"/>
      <c r="AF15" s="181"/>
      <c r="AG15" s="181"/>
      <c r="AH15" s="181"/>
      <c r="AI15" s="181"/>
      <c r="AJ15" s="181"/>
      <c r="AK15" s="181"/>
      <c r="AL15" s="181"/>
      <c r="AM15" s="181"/>
      <c r="AN15" s="181"/>
      <c r="AO15" s="181"/>
      <c r="AP15" s="181"/>
      <c r="AQ15" s="181"/>
      <c r="AR15" s="181"/>
      <c r="AS15" s="181"/>
      <c r="AT15" s="181"/>
      <c r="AU15" s="181"/>
      <c r="AV15" s="181"/>
    </row>
    <row r="16" spans="1:48" ht="8.4" customHeight="1" thickBot="1">
      <c r="A16" s="261"/>
      <c r="B16" s="261"/>
      <c r="C16" s="261"/>
      <c r="D16" s="261"/>
      <c r="E16" s="261"/>
      <c r="F16" s="261"/>
      <c r="G16" s="261"/>
      <c r="H16" s="261"/>
      <c r="I16" s="168"/>
      <c r="J16" s="168"/>
      <c r="K16" s="168"/>
      <c r="L16" s="168"/>
      <c r="M16" s="168"/>
      <c r="N16" s="168"/>
      <c r="O16" s="168"/>
      <c r="P16" s="261"/>
      <c r="Q16" s="261"/>
      <c r="R16" s="261"/>
      <c r="S16" s="181"/>
      <c r="T16" s="181"/>
      <c r="U16" s="181"/>
      <c r="V16" s="181"/>
      <c r="W16" s="181"/>
      <c r="X16" s="181"/>
      <c r="Y16" s="181"/>
      <c r="Z16" s="181"/>
      <c r="AA16" s="181"/>
      <c r="AB16" s="181"/>
      <c r="AC16" s="181"/>
      <c r="AD16" s="181"/>
      <c r="AE16" s="181"/>
      <c r="AF16" s="181"/>
      <c r="AG16" s="181"/>
      <c r="AH16" s="181"/>
      <c r="AI16" s="181"/>
      <c r="AJ16" s="181"/>
      <c r="AK16" s="181"/>
      <c r="AL16" s="181"/>
      <c r="AM16" s="181"/>
      <c r="AN16" s="181"/>
      <c r="AO16" s="181"/>
      <c r="AP16" s="181"/>
      <c r="AQ16" s="181"/>
      <c r="AR16" s="181"/>
      <c r="AS16" s="181"/>
      <c r="AT16" s="181"/>
      <c r="AU16" s="181"/>
      <c r="AV16" s="181"/>
    </row>
    <row r="17" spans="1:48" ht="15.6" customHeight="1" thickBot="1">
      <c r="A17" s="261"/>
      <c r="B17" s="264">
        <v>2</v>
      </c>
      <c r="C17" s="330" t="s">
        <v>58</v>
      </c>
      <c r="D17" s="330"/>
      <c r="E17" s="330"/>
      <c r="F17" s="330"/>
      <c r="G17" s="330"/>
      <c r="H17" s="266"/>
      <c r="I17" s="298"/>
      <c r="J17" s="172" t="s">
        <v>490</v>
      </c>
      <c r="K17" s="298"/>
      <c r="L17" s="175" t="s">
        <v>19</v>
      </c>
      <c r="M17" s="298"/>
      <c r="N17" s="172" t="s">
        <v>490</v>
      </c>
      <c r="O17" s="298"/>
      <c r="P17" s="280" t="s">
        <v>576</v>
      </c>
      <c r="Q17" s="266"/>
      <c r="R17" s="261"/>
      <c r="S17" s="181"/>
      <c r="T17" s="181"/>
      <c r="U17" s="181"/>
      <c r="V17" s="181"/>
      <c r="W17" s="181"/>
      <c r="X17" s="181"/>
      <c r="Y17" s="181"/>
      <c r="Z17" s="181"/>
      <c r="AA17" s="181"/>
      <c r="AB17" s="181"/>
      <c r="AC17" s="181"/>
      <c r="AD17" s="181"/>
      <c r="AE17" s="181"/>
      <c r="AF17" s="181"/>
      <c r="AG17" s="181"/>
      <c r="AH17" s="181"/>
      <c r="AI17" s="181"/>
      <c r="AJ17" s="181"/>
      <c r="AK17" s="181"/>
      <c r="AL17" s="181"/>
      <c r="AM17" s="181"/>
      <c r="AN17" s="181"/>
      <c r="AO17" s="181"/>
      <c r="AP17" s="181"/>
      <c r="AQ17" s="181"/>
      <c r="AR17" s="181"/>
      <c r="AS17" s="181"/>
      <c r="AT17" s="181"/>
      <c r="AU17" s="181"/>
      <c r="AV17" s="181"/>
    </row>
    <row r="18" spans="1:48" ht="7.8" customHeight="1">
      <c r="A18" s="261"/>
      <c r="B18" s="261"/>
      <c r="C18" s="261"/>
      <c r="D18" s="261"/>
      <c r="E18" s="261"/>
      <c r="F18" s="261"/>
      <c r="G18" s="261"/>
      <c r="H18" s="261"/>
      <c r="I18" s="261"/>
      <c r="J18" s="261"/>
      <c r="K18" s="261"/>
      <c r="L18" s="261"/>
      <c r="M18" s="261"/>
      <c r="N18" s="261"/>
      <c r="O18" s="261"/>
      <c r="P18" s="261"/>
      <c r="Q18" s="261"/>
      <c r="R18" s="261"/>
      <c r="S18" s="181"/>
      <c r="T18" s="181"/>
      <c r="U18" s="181"/>
      <c r="V18" s="181"/>
      <c r="W18" s="181"/>
      <c r="X18" s="181"/>
      <c r="Y18" s="181"/>
      <c r="Z18" s="181"/>
      <c r="AA18" s="181"/>
      <c r="AB18" s="181"/>
      <c r="AC18" s="181"/>
      <c r="AD18" s="181"/>
      <c r="AE18" s="181"/>
      <c r="AF18" s="181"/>
      <c r="AG18" s="181"/>
      <c r="AH18" s="181"/>
      <c r="AI18" s="181"/>
      <c r="AJ18" s="181"/>
      <c r="AK18" s="181"/>
      <c r="AL18" s="181"/>
      <c r="AM18" s="181"/>
      <c r="AN18" s="181"/>
      <c r="AO18" s="181"/>
      <c r="AP18" s="181"/>
      <c r="AQ18" s="181"/>
      <c r="AR18" s="181"/>
      <c r="AS18" s="181"/>
      <c r="AT18" s="181"/>
      <c r="AU18" s="181"/>
      <c r="AV18" s="181"/>
    </row>
    <row r="19" spans="1:48">
      <c r="A19" s="261"/>
      <c r="B19" s="261"/>
      <c r="C19" s="261"/>
      <c r="D19" s="261"/>
      <c r="E19" s="261"/>
      <c r="F19" s="261"/>
      <c r="G19" s="261"/>
      <c r="H19" s="261"/>
      <c r="I19" s="261"/>
      <c r="J19" s="261"/>
      <c r="K19" s="261"/>
      <c r="L19" s="261"/>
      <c r="M19" s="261"/>
      <c r="N19" s="261"/>
      <c r="O19" s="261"/>
      <c r="P19" s="261"/>
      <c r="Q19" s="261"/>
      <c r="R19" s="261"/>
      <c r="S19" s="181"/>
      <c r="T19" s="181"/>
      <c r="U19" s="181"/>
      <c r="V19" s="181"/>
      <c r="W19" s="181"/>
      <c r="X19" s="181"/>
      <c r="Y19" s="181"/>
      <c r="Z19" s="181"/>
      <c r="AA19" s="181"/>
      <c r="AB19" s="181"/>
      <c r="AC19" s="181"/>
      <c r="AD19" s="181"/>
      <c r="AE19" s="181"/>
      <c r="AF19" s="181"/>
      <c r="AG19" s="181"/>
      <c r="AH19" s="181"/>
      <c r="AI19" s="181"/>
      <c r="AJ19" s="181"/>
      <c r="AK19" s="181"/>
      <c r="AL19" s="181"/>
      <c r="AM19" s="181"/>
      <c r="AN19" s="181"/>
      <c r="AO19" s="181"/>
      <c r="AP19" s="181"/>
      <c r="AQ19" s="181"/>
      <c r="AR19" s="181"/>
      <c r="AS19" s="181"/>
      <c r="AT19" s="181"/>
      <c r="AU19" s="181"/>
      <c r="AV19" s="181"/>
    </row>
    <row r="20" spans="1:48" ht="13.8" thickBot="1">
      <c r="A20" s="263" t="s">
        <v>20</v>
      </c>
      <c r="B20" s="329" t="s">
        <v>533</v>
      </c>
      <c r="C20" s="329"/>
      <c r="D20" s="329"/>
      <c r="E20" s="329"/>
      <c r="F20" s="329"/>
      <c r="G20" s="329"/>
      <c r="H20" s="329"/>
      <c r="I20" s="329"/>
      <c r="J20" s="329"/>
      <c r="K20" s="329"/>
      <c r="L20" s="329"/>
      <c r="M20" s="329"/>
      <c r="N20" s="329"/>
      <c r="O20" s="329"/>
      <c r="P20" s="329"/>
      <c r="Q20" s="329"/>
      <c r="R20" s="261"/>
      <c r="S20" s="181"/>
      <c r="T20" s="181"/>
      <c r="U20" s="181"/>
      <c r="V20" s="181"/>
      <c r="W20" s="181"/>
      <c r="X20" s="181"/>
      <c r="Y20" s="181"/>
      <c r="Z20" s="181"/>
      <c r="AA20" s="181"/>
      <c r="AB20" s="181"/>
      <c r="AC20" s="181"/>
      <c r="AD20" s="181"/>
      <c r="AE20" s="181"/>
      <c r="AF20" s="181"/>
      <c r="AG20" s="181"/>
      <c r="AH20" s="181"/>
      <c r="AI20" s="181"/>
      <c r="AJ20" s="181"/>
      <c r="AK20" s="181"/>
      <c r="AL20" s="181"/>
      <c r="AM20" s="181"/>
      <c r="AN20" s="181"/>
      <c r="AO20" s="181"/>
      <c r="AP20" s="181"/>
      <c r="AQ20" s="181"/>
      <c r="AR20" s="181"/>
      <c r="AS20" s="181"/>
      <c r="AT20" s="181"/>
      <c r="AU20" s="181"/>
      <c r="AV20" s="181"/>
    </row>
    <row r="21" spans="1:48" ht="30" customHeight="1">
      <c r="A21" s="261"/>
      <c r="B21" s="331" t="s">
        <v>534</v>
      </c>
      <c r="C21" s="331"/>
      <c r="D21" s="331"/>
      <c r="E21" s="331"/>
      <c r="F21" s="331"/>
      <c r="G21" s="331"/>
      <c r="H21" s="331"/>
      <c r="I21" s="331"/>
      <c r="J21" s="331"/>
      <c r="K21" s="331"/>
      <c r="L21" s="331"/>
      <c r="M21" s="331"/>
      <c r="N21" s="331"/>
      <c r="O21" s="331"/>
      <c r="P21" s="331"/>
      <c r="Q21" s="331"/>
      <c r="R21" s="261"/>
      <c r="S21" s="181"/>
      <c r="T21" s="181"/>
      <c r="U21" s="181"/>
      <c r="V21" s="181"/>
      <c r="W21" s="181"/>
      <c r="X21" s="181"/>
      <c r="Y21" s="181"/>
      <c r="Z21" s="181"/>
      <c r="AA21" s="181"/>
      <c r="AB21" s="181"/>
      <c r="AC21" s="181"/>
      <c r="AD21" s="181"/>
      <c r="AE21" s="181"/>
      <c r="AF21" s="181"/>
      <c r="AG21" s="181"/>
      <c r="AH21" s="181"/>
      <c r="AI21" s="181"/>
      <c r="AJ21" s="181"/>
      <c r="AK21" s="181"/>
      <c r="AL21" s="181"/>
      <c r="AM21" s="181"/>
      <c r="AN21" s="181"/>
      <c r="AO21" s="181"/>
      <c r="AP21" s="181"/>
      <c r="AQ21" s="181"/>
      <c r="AR21" s="181"/>
      <c r="AS21" s="181"/>
      <c r="AT21" s="181"/>
      <c r="AU21" s="181"/>
      <c r="AV21" s="181"/>
    </row>
    <row r="22" spans="1:48" ht="13.8" thickBot="1">
      <c r="A22" s="261"/>
      <c r="B22" s="261"/>
      <c r="C22" s="261"/>
      <c r="D22" s="261"/>
      <c r="E22" s="261"/>
      <c r="F22" s="261"/>
      <c r="G22" s="261"/>
      <c r="H22" s="261"/>
      <c r="I22" s="261"/>
      <c r="J22" s="261"/>
      <c r="K22" s="261"/>
      <c r="L22" s="261"/>
      <c r="M22" s="261"/>
      <c r="N22" s="261"/>
      <c r="O22" s="261"/>
      <c r="P22" s="261"/>
      <c r="Q22" s="261"/>
      <c r="R22" s="261"/>
      <c r="S22" s="181"/>
      <c r="T22" s="181"/>
      <c r="U22" s="181"/>
      <c r="V22" s="181"/>
      <c r="W22" s="181"/>
      <c r="X22" s="181"/>
      <c r="Y22" s="181"/>
      <c r="Z22" s="181"/>
      <c r="AA22" s="181"/>
      <c r="AB22" s="181"/>
      <c r="AC22" s="181"/>
      <c r="AD22" s="181"/>
      <c r="AE22" s="181"/>
      <c r="AF22" s="181"/>
      <c r="AG22" s="181"/>
      <c r="AH22" s="181"/>
      <c r="AI22" s="181"/>
      <c r="AJ22" s="181"/>
      <c r="AK22" s="181"/>
      <c r="AL22" s="181"/>
      <c r="AM22" s="181"/>
      <c r="AN22" s="181"/>
      <c r="AO22" s="181"/>
      <c r="AP22" s="181"/>
      <c r="AQ22" s="181"/>
      <c r="AR22" s="181"/>
      <c r="AS22" s="181"/>
      <c r="AT22" s="181"/>
      <c r="AU22" s="181"/>
      <c r="AV22" s="181"/>
    </row>
    <row r="23" spans="1:48" ht="25.5" customHeight="1" thickBot="1">
      <c r="A23" s="261"/>
      <c r="B23" s="270">
        <v>1</v>
      </c>
      <c r="C23" s="328" t="s">
        <v>535</v>
      </c>
      <c r="D23" s="328"/>
      <c r="E23" s="328"/>
      <c r="F23" s="328"/>
      <c r="G23" s="328"/>
      <c r="H23" s="301"/>
      <c r="I23" s="262" t="s">
        <v>536</v>
      </c>
      <c r="J23" s="261"/>
      <c r="K23" s="261"/>
      <c r="L23" s="261"/>
      <c r="M23" s="261"/>
      <c r="N23" s="261"/>
      <c r="O23" s="261"/>
      <c r="P23" s="261"/>
      <c r="Q23" s="261"/>
      <c r="R23" s="261"/>
      <c r="S23" s="181"/>
      <c r="T23" s="181"/>
      <c r="U23" s="181"/>
      <c r="V23" s="181"/>
      <c r="W23" s="181"/>
      <c r="X23" s="181"/>
      <c r="Y23" s="181"/>
      <c r="Z23" s="181"/>
      <c r="AA23" s="181"/>
      <c r="AB23" s="181"/>
      <c r="AC23" s="181"/>
      <c r="AD23" s="181"/>
      <c r="AE23" s="181"/>
      <c r="AF23" s="181"/>
      <c r="AG23" s="181"/>
      <c r="AH23" s="181"/>
      <c r="AI23" s="181"/>
      <c r="AJ23" s="181"/>
      <c r="AK23" s="181"/>
      <c r="AL23" s="181"/>
      <c r="AM23" s="181"/>
      <c r="AN23" s="181"/>
      <c r="AO23" s="181"/>
      <c r="AP23" s="181"/>
      <c r="AQ23" s="181"/>
      <c r="AR23" s="181"/>
      <c r="AS23" s="181"/>
      <c r="AT23" s="181"/>
      <c r="AU23" s="181"/>
      <c r="AV23" s="181"/>
    </row>
    <row r="24" spans="1:48" ht="13.8" thickBot="1">
      <c r="A24" s="261"/>
      <c r="B24" s="291"/>
      <c r="C24" s="291"/>
      <c r="D24" s="291"/>
      <c r="E24" s="291"/>
      <c r="F24" s="291"/>
      <c r="G24" s="291"/>
      <c r="H24" s="261"/>
      <c r="I24" s="261"/>
      <c r="J24" s="261"/>
      <c r="K24" s="261"/>
      <c r="L24" s="261"/>
      <c r="M24" s="261"/>
      <c r="N24" s="261"/>
      <c r="O24" s="261"/>
      <c r="P24" s="261"/>
      <c r="Q24" s="261"/>
      <c r="R24" s="261"/>
      <c r="S24" s="181"/>
      <c r="T24" s="181"/>
      <c r="U24" s="181"/>
      <c r="V24" s="181"/>
      <c r="W24" s="181"/>
      <c r="X24" s="181"/>
      <c r="Y24" s="181"/>
      <c r="Z24" s="181"/>
      <c r="AA24" s="181"/>
      <c r="AB24" s="181"/>
      <c r="AC24" s="181"/>
      <c r="AD24" s="181"/>
      <c r="AE24" s="181"/>
      <c r="AF24" s="181"/>
      <c r="AG24" s="181"/>
      <c r="AH24" s="181"/>
      <c r="AI24" s="181"/>
      <c r="AJ24" s="181"/>
      <c r="AK24" s="181"/>
      <c r="AL24" s="181"/>
      <c r="AM24" s="181"/>
      <c r="AN24" s="181"/>
      <c r="AO24" s="181"/>
      <c r="AP24" s="181"/>
      <c r="AQ24" s="181"/>
      <c r="AR24" s="181"/>
      <c r="AS24" s="181"/>
      <c r="AT24" s="181"/>
      <c r="AU24" s="181"/>
      <c r="AV24" s="181"/>
    </row>
    <row r="25" spans="1:48" ht="25.5" customHeight="1" thickBot="1">
      <c r="A25" s="261"/>
      <c r="B25" s="270">
        <v>2</v>
      </c>
      <c r="C25" s="328" t="s">
        <v>537</v>
      </c>
      <c r="D25" s="328"/>
      <c r="E25" s="328"/>
      <c r="F25" s="328"/>
      <c r="G25" s="328"/>
      <c r="H25" s="301"/>
      <c r="I25" s="262" t="s">
        <v>536</v>
      </c>
      <c r="J25" s="261"/>
      <c r="K25" s="261"/>
      <c r="L25" s="261"/>
      <c r="M25" s="261"/>
      <c r="N25" s="261"/>
      <c r="O25" s="261"/>
      <c r="P25" s="261"/>
      <c r="Q25" s="261"/>
      <c r="R25" s="261"/>
      <c r="S25" s="181"/>
      <c r="T25" s="181"/>
      <c r="U25" s="181"/>
      <c r="V25" s="181"/>
      <c r="W25" s="181"/>
      <c r="X25" s="181"/>
      <c r="Y25" s="181"/>
      <c r="Z25" s="181"/>
      <c r="AA25" s="181"/>
      <c r="AB25" s="181"/>
      <c r="AC25" s="181"/>
      <c r="AD25" s="181"/>
      <c r="AE25" s="181"/>
      <c r="AF25" s="181"/>
      <c r="AG25" s="181"/>
      <c r="AH25" s="181"/>
      <c r="AI25" s="181"/>
      <c r="AJ25" s="181"/>
      <c r="AK25" s="181"/>
      <c r="AL25" s="181"/>
      <c r="AM25" s="181"/>
      <c r="AN25" s="181"/>
      <c r="AO25" s="181"/>
      <c r="AP25" s="181"/>
      <c r="AQ25" s="181"/>
      <c r="AR25" s="181"/>
      <c r="AS25" s="181"/>
      <c r="AT25" s="181"/>
      <c r="AU25" s="181"/>
      <c r="AV25" s="181"/>
    </row>
    <row r="26" spans="1:48">
      <c r="A26" s="261"/>
      <c r="B26" s="291"/>
      <c r="C26" s="291"/>
      <c r="D26" s="291"/>
      <c r="E26" s="291"/>
      <c r="F26" s="291"/>
      <c r="G26" s="291"/>
      <c r="H26" s="261"/>
      <c r="I26" s="261"/>
      <c r="J26" s="261"/>
      <c r="K26" s="261"/>
      <c r="L26" s="261"/>
      <c r="M26" s="261"/>
      <c r="N26" s="261"/>
      <c r="O26" s="261"/>
      <c r="P26" s="261"/>
      <c r="Q26" s="261"/>
      <c r="R26" s="261"/>
      <c r="S26" s="181"/>
      <c r="T26" s="181"/>
      <c r="U26" s="181"/>
      <c r="V26" s="181"/>
      <c r="W26" s="181"/>
      <c r="X26" s="181"/>
      <c r="Y26" s="181"/>
      <c r="Z26" s="181"/>
      <c r="AA26" s="181"/>
      <c r="AB26" s="181"/>
      <c r="AC26" s="181"/>
      <c r="AD26" s="181"/>
      <c r="AE26" s="181"/>
      <c r="AF26" s="181"/>
      <c r="AG26" s="181"/>
      <c r="AH26" s="181"/>
      <c r="AI26" s="181"/>
      <c r="AJ26" s="181"/>
      <c r="AK26" s="181"/>
      <c r="AL26" s="181"/>
      <c r="AM26" s="181"/>
      <c r="AN26" s="181"/>
      <c r="AO26" s="181"/>
      <c r="AP26" s="181"/>
      <c r="AQ26" s="181"/>
      <c r="AR26" s="181"/>
      <c r="AS26" s="181"/>
      <c r="AT26" s="181"/>
      <c r="AU26" s="181"/>
      <c r="AV26" s="181"/>
    </row>
    <row r="27" spans="1:48" ht="25.5" customHeight="1">
      <c r="A27" s="261"/>
      <c r="B27" s="270">
        <v>3</v>
      </c>
      <c r="C27" s="328" t="s">
        <v>538</v>
      </c>
      <c r="D27" s="328"/>
      <c r="E27" s="328"/>
      <c r="F27" s="328"/>
      <c r="G27" s="328"/>
      <c r="H27" s="286">
        <f>H23-H25</f>
        <v>0</v>
      </c>
      <c r="I27" s="262" t="s">
        <v>536</v>
      </c>
      <c r="J27" s="283"/>
      <c r="K27" s="261"/>
      <c r="L27" s="261"/>
      <c r="M27" s="261"/>
      <c r="N27" s="261"/>
      <c r="O27" s="261"/>
      <c r="P27" s="261"/>
      <c r="Q27" s="261"/>
      <c r="R27" s="261"/>
      <c r="S27" s="181"/>
      <c r="T27" s="181"/>
      <c r="U27" s="181"/>
      <c r="V27" s="181"/>
      <c r="W27" s="181"/>
      <c r="X27" s="181"/>
      <c r="Y27" s="181"/>
      <c r="Z27" s="181"/>
      <c r="AA27" s="181"/>
      <c r="AB27" s="181"/>
      <c r="AC27" s="181"/>
      <c r="AD27" s="181"/>
      <c r="AE27" s="181"/>
      <c r="AF27" s="181"/>
      <c r="AG27" s="181"/>
      <c r="AH27" s="181"/>
      <c r="AI27" s="181"/>
      <c r="AJ27" s="181"/>
      <c r="AK27" s="181"/>
      <c r="AL27" s="181"/>
      <c r="AM27" s="181"/>
      <c r="AN27" s="181"/>
      <c r="AO27" s="181"/>
      <c r="AP27" s="181"/>
      <c r="AQ27" s="181"/>
      <c r="AR27" s="181"/>
      <c r="AS27" s="181"/>
      <c r="AT27" s="181"/>
      <c r="AU27" s="181"/>
      <c r="AV27" s="181"/>
    </row>
    <row r="28" spans="1:48" ht="13.8" thickBot="1">
      <c r="A28" s="261"/>
      <c r="B28" s="291"/>
      <c r="C28" s="291"/>
      <c r="D28" s="291"/>
      <c r="E28" s="291"/>
      <c r="F28" s="291"/>
      <c r="G28" s="291"/>
      <c r="H28" s="261"/>
      <c r="I28" s="261"/>
      <c r="J28" s="261"/>
      <c r="K28" s="261"/>
      <c r="L28" s="261"/>
      <c r="M28" s="261"/>
      <c r="N28" s="261"/>
      <c r="O28" s="261"/>
      <c r="P28" s="261"/>
      <c r="Q28" s="261"/>
      <c r="R28" s="261"/>
      <c r="S28" s="181"/>
      <c r="T28" s="181"/>
      <c r="U28" s="181"/>
      <c r="V28" s="181"/>
      <c r="W28" s="181"/>
      <c r="X28" s="181"/>
      <c r="Y28" s="181"/>
      <c r="Z28" s="181"/>
      <c r="AA28" s="181"/>
      <c r="AB28" s="181"/>
      <c r="AC28" s="181"/>
      <c r="AD28" s="181"/>
      <c r="AE28" s="181"/>
      <c r="AF28" s="181"/>
      <c r="AG28" s="181"/>
      <c r="AH28" s="181"/>
      <c r="AI28" s="181"/>
      <c r="AJ28" s="181"/>
      <c r="AK28" s="181"/>
      <c r="AL28" s="181"/>
      <c r="AM28" s="181"/>
      <c r="AN28" s="181"/>
      <c r="AO28" s="181"/>
      <c r="AP28" s="181"/>
      <c r="AQ28" s="181"/>
      <c r="AR28" s="181"/>
      <c r="AS28" s="181"/>
      <c r="AT28" s="181"/>
      <c r="AU28" s="181"/>
      <c r="AV28" s="181"/>
    </row>
    <row r="29" spans="1:48" ht="27" customHeight="1" thickBot="1">
      <c r="A29" s="261"/>
      <c r="B29" s="270">
        <v>4</v>
      </c>
      <c r="C29" s="328" t="s">
        <v>539</v>
      </c>
      <c r="D29" s="328"/>
      <c r="E29" s="328"/>
      <c r="F29" s="328"/>
      <c r="G29" s="328"/>
      <c r="H29" s="302"/>
      <c r="I29" s="262"/>
      <c r="J29" s="261"/>
      <c r="K29" s="261"/>
      <c r="L29" s="261"/>
      <c r="M29" s="261"/>
      <c r="N29" s="261"/>
      <c r="O29" s="261"/>
      <c r="P29" s="261"/>
      <c r="Q29" s="261"/>
      <c r="R29" s="261"/>
      <c r="S29" s="181"/>
      <c r="T29" s="181"/>
      <c r="U29" s="181"/>
      <c r="V29" s="181"/>
      <c r="W29" s="181"/>
      <c r="X29" s="181"/>
      <c r="Y29" s="181"/>
      <c r="Z29" s="181"/>
      <c r="AA29" s="181"/>
      <c r="AB29" s="181"/>
      <c r="AC29" s="181"/>
      <c r="AD29" s="181"/>
      <c r="AE29" s="181"/>
      <c r="AF29" s="181"/>
      <c r="AG29" s="181"/>
      <c r="AH29" s="181"/>
      <c r="AI29" s="181"/>
      <c r="AJ29" s="181"/>
      <c r="AK29" s="181"/>
      <c r="AL29" s="181"/>
      <c r="AM29" s="181"/>
      <c r="AN29" s="181"/>
      <c r="AO29" s="181"/>
      <c r="AP29" s="181"/>
      <c r="AQ29" s="181"/>
      <c r="AR29" s="181"/>
      <c r="AS29" s="181"/>
      <c r="AT29" s="181"/>
      <c r="AU29" s="181"/>
      <c r="AV29" s="181"/>
    </row>
    <row r="30" spans="1:48" ht="13.8" thickBot="1">
      <c r="A30" s="261"/>
      <c r="B30" s="291"/>
      <c r="C30" s="291"/>
      <c r="D30" s="291"/>
      <c r="E30" s="291"/>
      <c r="F30" s="291"/>
      <c r="G30" s="291"/>
      <c r="H30" s="261"/>
      <c r="I30" s="261"/>
      <c r="J30" s="261"/>
      <c r="K30" s="261"/>
      <c r="L30" s="261"/>
      <c r="M30" s="261"/>
      <c r="N30" s="261"/>
      <c r="O30" s="261"/>
      <c r="P30" s="261"/>
      <c r="Q30" s="261"/>
      <c r="R30" s="261"/>
      <c r="S30" s="181"/>
      <c r="T30" s="181"/>
      <c r="U30" s="181"/>
      <c r="V30" s="181"/>
      <c r="W30" s="181"/>
      <c r="X30" s="181"/>
      <c r="Y30" s="181"/>
      <c r="Z30" s="181"/>
      <c r="AA30" s="181"/>
      <c r="AB30" s="181"/>
      <c r="AC30" s="181"/>
      <c r="AD30" s="181"/>
      <c r="AE30" s="181"/>
      <c r="AF30" s="181"/>
      <c r="AG30" s="181"/>
      <c r="AH30" s="181"/>
      <c r="AI30" s="181"/>
      <c r="AJ30" s="181"/>
      <c r="AK30" s="181"/>
      <c r="AL30" s="181"/>
      <c r="AM30" s="181"/>
      <c r="AN30" s="181"/>
      <c r="AO30" s="181"/>
      <c r="AP30" s="181"/>
      <c r="AQ30" s="181"/>
      <c r="AR30" s="181"/>
      <c r="AS30" s="181"/>
      <c r="AT30" s="181"/>
      <c r="AU30" s="181"/>
      <c r="AV30" s="181"/>
    </row>
    <row r="31" spans="1:48" ht="25.5" customHeight="1" thickBot="1">
      <c r="A31" s="261"/>
      <c r="B31" s="270">
        <v>5</v>
      </c>
      <c r="C31" s="328" t="s">
        <v>540</v>
      </c>
      <c r="D31" s="328"/>
      <c r="E31" s="328"/>
      <c r="F31" s="328"/>
      <c r="G31" s="328"/>
      <c r="H31" s="301"/>
      <c r="I31" s="262" t="s">
        <v>30</v>
      </c>
      <c r="J31" s="261"/>
      <c r="K31" s="261"/>
      <c r="L31" s="261"/>
      <c r="M31" s="261"/>
      <c r="N31" s="261"/>
      <c r="O31" s="261"/>
      <c r="P31" s="261"/>
      <c r="Q31" s="261"/>
      <c r="R31" s="261"/>
      <c r="S31" s="181"/>
      <c r="T31" s="181"/>
      <c r="U31" s="181"/>
      <c r="V31" s="181"/>
      <c r="W31" s="181"/>
      <c r="X31" s="181"/>
      <c r="Y31" s="181"/>
      <c r="Z31" s="181"/>
      <c r="AA31" s="181"/>
      <c r="AB31" s="181"/>
      <c r="AC31" s="181"/>
      <c r="AD31" s="181"/>
      <c r="AE31" s="181"/>
      <c r="AF31" s="181"/>
      <c r="AG31" s="181"/>
      <c r="AH31" s="181"/>
      <c r="AI31" s="181"/>
      <c r="AJ31" s="181"/>
      <c r="AK31" s="181"/>
      <c r="AL31" s="181"/>
      <c r="AM31" s="181"/>
      <c r="AN31" s="181"/>
      <c r="AO31" s="181"/>
      <c r="AP31" s="181"/>
      <c r="AQ31" s="181"/>
      <c r="AR31" s="181"/>
      <c r="AS31" s="181"/>
      <c r="AT31" s="181"/>
      <c r="AU31" s="181"/>
      <c r="AV31" s="181"/>
    </row>
    <row r="32" spans="1:48" ht="13.8" thickBot="1">
      <c r="A32" s="261"/>
      <c r="B32" s="261"/>
      <c r="C32" s="261"/>
      <c r="D32" s="261"/>
      <c r="E32" s="261"/>
      <c r="F32" s="261"/>
      <c r="G32" s="261"/>
      <c r="H32" s="261"/>
      <c r="I32" s="261"/>
      <c r="J32" s="261"/>
      <c r="K32" s="261"/>
      <c r="L32" s="261"/>
      <c r="M32" s="261"/>
      <c r="N32" s="261"/>
      <c r="O32" s="261"/>
      <c r="P32" s="261"/>
      <c r="Q32" s="261"/>
      <c r="R32" s="261"/>
      <c r="S32" s="181"/>
      <c r="T32" s="181"/>
      <c r="U32" s="181"/>
      <c r="V32" s="181"/>
      <c r="W32" s="181"/>
      <c r="X32" s="181"/>
      <c r="Y32" s="181"/>
      <c r="Z32" s="181"/>
      <c r="AA32" s="181"/>
      <c r="AB32" s="181"/>
      <c r="AC32" s="181"/>
      <c r="AD32" s="181"/>
      <c r="AE32" s="181"/>
      <c r="AF32" s="181"/>
      <c r="AG32" s="181"/>
      <c r="AH32" s="181"/>
      <c r="AI32" s="181"/>
      <c r="AJ32" s="181"/>
      <c r="AK32" s="181"/>
      <c r="AL32" s="181"/>
      <c r="AM32" s="181"/>
      <c r="AN32" s="181"/>
      <c r="AO32" s="181"/>
      <c r="AP32" s="181"/>
      <c r="AQ32" s="181"/>
      <c r="AR32" s="181"/>
      <c r="AS32" s="181"/>
      <c r="AT32" s="181"/>
      <c r="AU32" s="181"/>
      <c r="AV32" s="181"/>
    </row>
    <row r="33" spans="1:48" ht="23.4" customHeight="1" thickBot="1">
      <c r="A33" s="261"/>
      <c r="B33" s="270">
        <v>6</v>
      </c>
      <c r="C33" s="328" t="s">
        <v>541</v>
      </c>
      <c r="D33" s="328"/>
      <c r="E33" s="328"/>
      <c r="F33" s="328"/>
      <c r="G33" s="328"/>
      <c r="H33" s="303">
        <f>IF(H29&gt;1,H31*101/H29,H31*101*H29)</f>
        <v>0</v>
      </c>
      <c r="I33" s="262" t="s">
        <v>542</v>
      </c>
      <c r="J33" s="261"/>
      <c r="K33" s="261"/>
      <c r="L33" s="261"/>
      <c r="M33" s="261"/>
      <c r="N33" s="261"/>
      <c r="O33" s="261"/>
      <c r="P33" s="261"/>
      <c r="Q33" s="261"/>
      <c r="R33" s="261"/>
      <c r="S33" s="181"/>
      <c r="T33" s="181"/>
      <c r="U33" s="181"/>
      <c r="V33" s="181"/>
      <c r="W33" s="181"/>
      <c r="X33" s="181"/>
      <c r="Y33" s="181"/>
      <c r="Z33" s="181"/>
      <c r="AA33" s="181"/>
      <c r="AB33" s="181"/>
      <c r="AC33" s="181"/>
      <c r="AD33" s="181"/>
      <c r="AE33" s="181"/>
      <c r="AF33" s="181"/>
      <c r="AG33" s="181"/>
      <c r="AH33" s="181"/>
      <c r="AI33" s="181"/>
      <c r="AJ33" s="181"/>
      <c r="AK33" s="181"/>
      <c r="AL33" s="181"/>
      <c r="AM33" s="181"/>
      <c r="AN33" s="181"/>
      <c r="AO33" s="181"/>
      <c r="AP33" s="181"/>
      <c r="AQ33" s="181"/>
      <c r="AR33" s="181"/>
      <c r="AS33" s="181"/>
      <c r="AT33" s="181"/>
      <c r="AU33" s="181"/>
      <c r="AV33" s="181"/>
    </row>
    <row r="34" spans="1:48">
      <c r="A34" s="261"/>
      <c r="B34" s="291"/>
      <c r="C34" s="291"/>
      <c r="D34" s="291"/>
      <c r="E34" s="291"/>
      <c r="F34" s="291"/>
      <c r="G34" s="291"/>
      <c r="H34" s="261"/>
      <c r="I34" s="261"/>
      <c r="J34" s="261"/>
      <c r="K34" s="261"/>
      <c r="L34" s="261"/>
      <c r="M34" s="261"/>
      <c r="N34" s="261"/>
      <c r="O34" s="261"/>
      <c r="P34" s="261"/>
      <c r="Q34" s="261"/>
      <c r="R34" s="261"/>
      <c r="S34" s="181"/>
      <c r="T34" s="181"/>
      <c r="U34" s="181"/>
      <c r="V34" s="181"/>
      <c r="W34" s="181"/>
      <c r="X34" s="181"/>
      <c r="Y34" s="181"/>
      <c r="Z34" s="181"/>
      <c r="AA34" s="181"/>
      <c r="AB34" s="181"/>
      <c r="AC34" s="181"/>
      <c r="AD34" s="181"/>
      <c r="AE34" s="181"/>
      <c r="AF34" s="181"/>
      <c r="AG34" s="181"/>
      <c r="AH34" s="181"/>
      <c r="AI34" s="181"/>
      <c r="AJ34" s="181"/>
      <c r="AK34" s="181"/>
      <c r="AL34" s="181"/>
      <c r="AM34" s="181"/>
      <c r="AN34" s="181"/>
      <c r="AO34" s="181"/>
      <c r="AP34" s="181"/>
      <c r="AQ34" s="181"/>
      <c r="AR34" s="181"/>
      <c r="AS34" s="181"/>
      <c r="AT34" s="181"/>
      <c r="AU34" s="181"/>
      <c r="AV34" s="181"/>
    </row>
    <row r="35" spans="1:48" ht="24" customHeight="1">
      <c r="A35" s="261"/>
      <c r="B35" s="270">
        <v>7</v>
      </c>
      <c r="C35" s="328" t="s">
        <v>543</v>
      </c>
      <c r="D35" s="328"/>
      <c r="E35" s="328"/>
      <c r="F35" s="328"/>
      <c r="G35" s="328"/>
      <c r="H35" s="289" t="e">
        <f>H27/H33</f>
        <v>#DIV/0!</v>
      </c>
      <c r="I35" s="262" t="s">
        <v>544</v>
      </c>
      <c r="J35" s="261"/>
      <c r="K35" s="261"/>
      <c r="L35" s="261"/>
      <c r="M35" s="261"/>
      <c r="N35" s="261"/>
      <c r="O35" s="261"/>
      <c r="P35" s="261"/>
      <c r="Q35" s="261"/>
      <c r="R35" s="261"/>
      <c r="S35" s="181"/>
      <c r="T35" s="181"/>
      <c r="U35" s="181"/>
      <c r="V35" s="181"/>
      <c r="W35" s="181"/>
      <c r="X35" s="181"/>
      <c r="Y35" s="181"/>
      <c r="Z35" s="181"/>
      <c r="AA35" s="181"/>
      <c r="AB35" s="181"/>
      <c r="AC35" s="181"/>
      <c r="AD35" s="181"/>
      <c r="AE35" s="181"/>
      <c r="AF35" s="181"/>
      <c r="AG35" s="181"/>
      <c r="AH35" s="181"/>
      <c r="AI35" s="181"/>
      <c r="AJ35" s="181"/>
      <c r="AK35" s="181"/>
      <c r="AL35" s="181"/>
      <c r="AM35" s="181"/>
      <c r="AN35" s="181"/>
      <c r="AO35" s="181"/>
      <c r="AP35" s="181"/>
      <c r="AQ35" s="181"/>
      <c r="AR35" s="181"/>
      <c r="AS35" s="181"/>
      <c r="AT35" s="181"/>
      <c r="AU35" s="181"/>
      <c r="AV35" s="181"/>
    </row>
    <row r="36" spans="1:48">
      <c r="A36" s="261"/>
      <c r="B36" s="291"/>
      <c r="C36" s="291"/>
      <c r="D36" s="291"/>
      <c r="E36" s="291"/>
      <c r="F36" s="291"/>
      <c r="G36" s="291"/>
      <c r="H36" s="261"/>
      <c r="I36" s="261"/>
      <c r="J36" s="261"/>
      <c r="K36" s="261"/>
      <c r="L36" s="261"/>
      <c r="M36" s="261"/>
      <c r="N36" s="261"/>
      <c r="O36" s="261"/>
      <c r="P36" s="261"/>
      <c r="Q36" s="261"/>
      <c r="R36" s="261"/>
      <c r="S36" s="181"/>
      <c r="T36" s="181"/>
      <c r="U36" s="181"/>
      <c r="V36" s="181"/>
      <c r="W36" s="181"/>
      <c r="X36" s="181"/>
      <c r="Y36" s="181"/>
      <c r="Z36" s="181"/>
      <c r="AA36" s="181"/>
      <c r="AB36" s="181"/>
      <c r="AC36" s="181"/>
      <c r="AD36" s="181"/>
      <c r="AE36" s="181"/>
      <c r="AF36" s="181"/>
      <c r="AG36" s="181"/>
      <c r="AH36" s="181"/>
      <c r="AI36" s="181"/>
      <c r="AJ36" s="181"/>
      <c r="AK36" s="181"/>
      <c r="AL36" s="181"/>
      <c r="AM36" s="181"/>
      <c r="AN36" s="181"/>
      <c r="AO36" s="181"/>
      <c r="AP36" s="181"/>
      <c r="AQ36" s="181"/>
      <c r="AR36" s="181"/>
      <c r="AS36" s="181"/>
      <c r="AT36" s="181"/>
      <c r="AU36" s="181"/>
      <c r="AV36" s="181"/>
    </row>
    <row r="37" spans="1:48" ht="25.5" customHeight="1">
      <c r="A37" s="261"/>
      <c r="B37" s="270">
        <v>8</v>
      </c>
      <c r="C37" s="328" t="s">
        <v>545</v>
      </c>
      <c r="D37" s="328"/>
      <c r="E37" s="328"/>
      <c r="F37" s="328"/>
      <c r="G37" s="328"/>
      <c r="H37" s="289" t="e">
        <f>(H31*H35)/60</f>
        <v>#DIV/0!</v>
      </c>
      <c r="I37" s="262" t="s">
        <v>83</v>
      </c>
      <c r="J37" s="261"/>
      <c r="K37" s="261"/>
      <c r="L37" s="261"/>
      <c r="M37" s="261"/>
      <c r="N37" s="261"/>
      <c r="O37" s="261"/>
      <c r="P37" s="261"/>
      <c r="Q37" s="261"/>
      <c r="R37" s="261"/>
      <c r="S37" s="181"/>
      <c r="T37" s="181"/>
      <c r="U37" s="181"/>
      <c r="V37" s="181"/>
      <c r="W37" s="181"/>
      <c r="X37" s="181"/>
      <c r="Y37" s="181"/>
      <c r="Z37" s="181"/>
      <c r="AA37" s="181"/>
      <c r="AB37" s="181"/>
      <c r="AC37" s="181"/>
      <c r="AD37" s="181"/>
      <c r="AE37" s="181"/>
      <c r="AF37" s="181"/>
      <c r="AG37" s="181"/>
      <c r="AH37" s="181"/>
      <c r="AI37" s="181"/>
      <c r="AJ37" s="181"/>
      <c r="AK37" s="181"/>
      <c r="AL37" s="181"/>
      <c r="AM37" s="181"/>
      <c r="AN37" s="181"/>
      <c r="AO37" s="181"/>
      <c r="AP37" s="181"/>
      <c r="AQ37" s="181"/>
      <c r="AR37" s="181"/>
      <c r="AS37" s="181"/>
      <c r="AT37" s="181"/>
      <c r="AU37" s="181"/>
      <c r="AV37" s="181"/>
    </row>
    <row r="38" spans="1:48" ht="13.8" thickBot="1">
      <c r="A38" s="261"/>
      <c r="B38" s="291"/>
      <c r="C38" s="291"/>
      <c r="D38" s="291"/>
      <c r="E38" s="291"/>
      <c r="F38" s="291"/>
      <c r="G38" s="291"/>
      <c r="H38" s="261"/>
      <c r="I38" s="261"/>
      <c r="J38" s="261"/>
      <c r="K38" s="261"/>
      <c r="L38" s="261"/>
      <c r="M38" s="261"/>
      <c r="N38" s="261"/>
      <c r="O38" s="261"/>
      <c r="P38" s="261"/>
      <c r="Q38" s="261"/>
      <c r="R38" s="261"/>
      <c r="S38" s="181"/>
      <c r="T38" s="181"/>
      <c r="U38" s="181"/>
      <c r="V38" s="181"/>
      <c r="W38" s="181"/>
      <c r="X38" s="181"/>
      <c r="Y38" s="181"/>
      <c r="Z38" s="181"/>
      <c r="AA38" s="181"/>
      <c r="AB38" s="181"/>
      <c r="AC38" s="181"/>
      <c r="AD38" s="181"/>
      <c r="AE38" s="181"/>
      <c r="AF38" s="181"/>
      <c r="AG38" s="181"/>
      <c r="AH38" s="181"/>
      <c r="AI38" s="181"/>
      <c r="AJ38" s="181"/>
      <c r="AK38" s="181"/>
      <c r="AL38" s="181"/>
      <c r="AM38" s="181"/>
      <c r="AN38" s="181"/>
      <c r="AO38" s="181"/>
      <c r="AP38" s="181"/>
      <c r="AQ38" s="181"/>
      <c r="AR38" s="181"/>
      <c r="AS38" s="181"/>
      <c r="AT38" s="181"/>
      <c r="AU38" s="181"/>
      <c r="AV38" s="181"/>
    </row>
    <row r="39" spans="1:48" ht="19.8" customHeight="1" thickBot="1">
      <c r="A39" s="261"/>
      <c r="B39" s="270">
        <v>9</v>
      </c>
      <c r="C39" s="328" t="s">
        <v>546</v>
      </c>
      <c r="D39" s="328"/>
      <c r="E39" s="328"/>
      <c r="F39" s="328"/>
      <c r="G39" s="328"/>
      <c r="H39" s="301"/>
      <c r="I39" s="262" t="s">
        <v>547</v>
      </c>
      <c r="J39" s="261"/>
      <c r="K39" s="261"/>
      <c r="L39" s="261"/>
      <c r="M39" s="261"/>
      <c r="N39" s="261"/>
      <c r="O39" s="261"/>
      <c r="P39" s="261"/>
      <c r="Q39" s="261"/>
      <c r="R39" s="261"/>
      <c r="S39" s="304" t="s">
        <v>337</v>
      </c>
      <c r="T39" s="181"/>
      <c r="U39" s="181"/>
      <c r="V39" s="181"/>
      <c r="W39" s="181"/>
      <c r="X39" s="181"/>
      <c r="Y39" s="181"/>
      <c r="Z39" s="181"/>
      <c r="AA39" s="181"/>
      <c r="AB39" s="181"/>
      <c r="AC39" s="181"/>
      <c r="AD39" s="181"/>
      <c r="AE39" s="181"/>
      <c r="AF39" s="181"/>
      <c r="AG39" s="181"/>
      <c r="AH39" s="181"/>
      <c r="AI39" s="181"/>
      <c r="AJ39" s="181"/>
      <c r="AK39" s="181"/>
      <c r="AL39" s="181"/>
      <c r="AM39" s="181"/>
      <c r="AN39" s="181"/>
      <c r="AO39" s="181"/>
      <c r="AP39" s="181"/>
      <c r="AQ39" s="181"/>
      <c r="AR39" s="181"/>
      <c r="AS39" s="181"/>
      <c r="AT39" s="181"/>
      <c r="AU39" s="181"/>
      <c r="AV39" s="181"/>
    </row>
    <row r="40" spans="1:48">
      <c r="A40" s="261"/>
      <c r="B40" s="291"/>
      <c r="C40" s="291"/>
      <c r="D40" s="291"/>
      <c r="E40" s="291"/>
      <c r="F40" s="291"/>
      <c r="G40" s="291"/>
      <c r="H40" s="261"/>
      <c r="I40" s="261"/>
      <c r="J40" s="261"/>
      <c r="K40" s="261"/>
      <c r="L40" s="261"/>
      <c r="M40" s="261"/>
      <c r="N40" s="261"/>
      <c r="O40" s="261"/>
      <c r="P40" s="261"/>
      <c r="Q40" s="261"/>
      <c r="R40" s="261"/>
      <c r="S40" s="181"/>
      <c r="T40" s="181"/>
      <c r="U40" s="181"/>
      <c r="V40" s="181"/>
      <c r="W40" s="181"/>
      <c r="X40" s="181"/>
      <c r="Y40" s="181"/>
      <c r="Z40" s="181"/>
      <c r="AA40" s="181"/>
      <c r="AB40" s="181"/>
      <c r="AC40" s="181"/>
      <c r="AD40" s="181"/>
      <c r="AE40" s="181"/>
      <c r="AF40" s="181"/>
      <c r="AG40" s="181"/>
      <c r="AH40" s="181"/>
      <c r="AI40" s="181"/>
      <c r="AJ40" s="181"/>
      <c r="AK40" s="181"/>
      <c r="AL40" s="181"/>
      <c r="AM40" s="181"/>
      <c r="AN40" s="181"/>
      <c r="AO40" s="181"/>
      <c r="AP40" s="181"/>
      <c r="AQ40" s="181"/>
      <c r="AR40" s="181"/>
      <c r="AS40" s="181"/>
      <c r="AT40" s="181"/>
      <c r="AU40" s="181"/>
      <c r="AV40" s="181"/>
    </row>
    <row r="41" spans="1:48" ht="21" customHeight="1">
      <c r="A41" s="261"/>
      <c r="B41" s="270">
        <v>10</v>
      </c>
      <c r="C41" s="332" t="s">
        <v>548</v>
      </c>
      <c r="D41" s="328"/>
      <c r="E41" s="328"/>
      <c r="F41" s="328"/>
      <c r="G41" s="328"/>
      <c r="H41" s="286">
        <f>VMA!I36</f>
        <v>0</v>
      </c>
      <c r="I41" s="262" t="s">
        <v>547</v>
      </c>
      <c r="J41" s="287">
        <f>VMA!K36</f>
        <v>0</v>
      </c>
      <c r="K41" s="262" t="s">
        <v>30</v>
      </c>
      <c r="L41" s="261"/>
      <c r="M41" s="261"/>
      <c r="N41" s="261"/>
      <c r="O41" s="261"/>
      <c r="P41" s="261"/>
      <c r="Q41" s="261"/>
      <c r="R41" s="261"/>
      <c r="S41" s="181"/>
      <c r="T41" s="181"/>
      <c r="U41" s="181"/>
      <c r="V41" s="181"/>
      <c r="W41" s="181"/>
      <c r="X41" s="181"/>
      <c r="Y41" s="181"/>
      <c r="Z41" s="181"/>
      <c r="AA41" s="181"/>
      <c r="AB41" s="181"/>
      <c r="AC41" s="181"/>
      <c r="AD41" s="181"/>
      <c r="AE41" s="181"/>
      <c r="AF41" s="181"/>
      <c r="AG41" s="181"/>
      <c r="AH41" s="181"/>
      <c r="AI41" s="181"/>
      <c r="AJ41" s="181"/>
      <c r="AK41" s="181"/>
      <c r="AL41" s="181"/>
      <c r="AM41" s="181"/>
      <c r="AN41" s="181"/>
      <c r="AO41" s="181"/>
      <c r="AP41" s="181"/>
      <c r="AQ41" s="181"/>
      <c r="AR41" s="181"/>
      <c r="AS41" s="181"/>
      <c r="AT41" s="181"/>
      <c r="AU41" s="181"/>
      <c r="AV41" s="181"/>
    </row>
    <row r="42" spans="1:48">
      <c r="A42" s="261"/>
      <c r="B42" s="291"/>
      <c r="C42" s="291"/>
      <c r="D42" s="291"/>
      <c r="E42" s="291"/>
      <c r="F42" s="291"/>
      <c r="G42" s="291"/>
      <c r="H42" s="261"/>
      <c r="I42" s="261"/>
      <c r="J42" s="261"/>
      <c r="K42" s="261"/>
      <c r="L42" s="261"/>
      <c r="M42" s="261"/>
      <c r="N42" s="261"/>
      <c r="O42" s="261"/>
      <c r="P42" s="261"/>
      <c r="Q42" s="261"/>
      <c r="R42" s="261"/>
      <c r="S42" s="181"/>
      <c r="T42" s="181"/>
      <c r="U42" s="181"/>
      <c r="V42" s="181"/>
      <c r="W42" s="181"/>
      <c r="X42" s="181"/>
      <c r="Y42" s="181"/>
      <c r="Z42" s="181"/>
      <c r="AA42" s="181"/>
      <c r="AB42" s="181"/>
      <c r="AC42" s="181"/>
      <c r="AD42" s="181"/>
      <c r="AE42" s="181"/>
      <c r="AF42" s="181"/>
      <c r="AG42" s="181"/>
      <c r="AH42" s="181"/>
      <c r="AI42" s="181"/>
      <c r="AJ42" s="181"/>
      <c r="AK42" s="181"/>
      <c r="AL42" s="181"/>
      <c r="AM42" s="181"/>
      <c r="AN42" s="181"/>
      <c r="AO42" s="181"/>
      <c r="AP42" s="181"/>
      <c r="AQ42" s="181"/>
      <c r="AR42" s="181"/>
      <c r="AS42" s="181"/>
      <c r="AT42" s="181"/>
      <c r="AU42" s="181"/>
      <c r="AV42" s="181"/>
    </row>
    <row r="43" spans="1:48" ht="20.399999999999999" customHeight="1">
      <c r="A43" s="261"/>
      <c r="B43" s="270">
        <v>11</v>
      </c>
      <c r="C43" s="332" t="s">
        <v>549</v>
      </c>
      <c r="D43" s="328"/>
      <c r="E43" s="328"/>
      <c r="F43" s="328"/>
      <c r="G43" s="328"/>
      <c r="H43" s="286">
        <f>IF(H41=0,0,IF(H41&gt;=181,H41-180,H41+180))</f>
        <v>0</v>
      </c>
      <c r="I43" s="262" t="s">
        <v>547</v>
      </c>
      <c r="J43" s="289" t="e">
        <f>(H35*J41)/60</f>
        <v>#DIV/0!</v>
      </c>
      <c r="K43" s="262" t="s">
        <v>83</v>
      </c>
      <c r="L43" s="261"/>
      <c r="M43" s="261"/>
      <c r="N43" s="261"/>
      <c r="O43" s="261"/>
      <c r="P43" s="261"/>
      <c r="Q43" s="261"/>
      <c r="R43" s="261"/>
      <c r="S43" s="297" t="s">
        <v>587</v>
      </c>
      <c r="T43" s="297" t="e">
        <f>IF(H39="",0,H37*SIN(H39*PI()/180))+J43*SIN(H43*PI()/180)</f>
        <v>#DIV/0!</v>
      </c>
      <c r="U43" s="297" t="s">
        <v>581</v>
      </c>
      <c r="V43" s="297">
        <f>I17+K17/60</f>
        <v>0</v>
      </c>
      <c r="W43" s="181"/>
      <c r="X43" s="181"/>
      <c r="Y43" s="181"/>
      <c r="Z43" s="181"/>
      <c r="AA43" s="181"/>
      <c r="AB43" s="181"/>
      <c r="AC43" s="181"/>
      <c r="AD43" s="181"/>
      <c r="AE43" s="181"/>
      <c r="AF43" s="181"/>
      <c r="AG43" s="181"/>
      <c r="AH43" s="181"/>
      <c r="AI43" s="181"/>
      <c r="AJ43" s="181"/>
      <c r="AK43" s="181"/>
      <c r="AL43" s="181"/>
      <c r="AM43" s="181"/>
      <c r="AN43" s="181"/>
      <c r="AO43" s="181"/>
      <c r="AP43" s="181"/>
      <c r="AQ43" s="181"/>
      <c r="AR43" s="181"/>
      <c r="AS43" s="181"/>
      <c r="AT43" s="181"/>
      <c r="AU43" s="181"/>
      <c r="AV43" s="181"/>
    </row>
    <row r="44" spans="1:48">
      <c r="A44" s="261"/>
      <c r="B44" s="291"/>
      <c r="C44" s="291"/>
      <c r="D44" s="291"/>
      <c r="E44" s="291"/>
      <c r="F44" s="291"/>
      <c r="G44" s="291"/>
      <c r="H44" s="261"/>
      <c r="I44" s="261"/>
      <c r="J44" s="261"/>
      <c r="K44" s="261"/>
      <c r="L44" s="261"/>
      <c r="M44" s="261"/>
      <c r="N44" s="261"/>
      <c r="O44" s="261"/>
      <c r="P44" s="261"/>
      <c r="Q44" s="261"/>
      <c r="R44" s="261"/>
      <c r="S44" s="297" t="s">
        <v>588</v>
      </c>
      <c r="T44" s="297" t="e">
        <f>IF(H39="",0,H37*COS(H39*PI()/180))+J43*COS(H43*PI()/180)</f>
        <v>#DIV/0!</v>
      </c>
      <c r="U44" s="297" t="s">
        <v>582</v>
      </c>
      <c r="V44" s="297">
        <f>M17+O17/60</f>
        <v>0</v>
      </c>
      <c r="W44" s="181"/>
      <c r="X44" s="181"/>
      <c r="Y44" s="181"/>
      <c r="Z44" s="181"/>
      <c r="AA44" s="181"/>
      <c r="AB44" s="181"/>
      <c r="AC44" s="181"/>
      <c r="AD44" s="181"/>
      <c r="AE44" s="181"/>
      <c r="AF44" s="181"/>
      <c r="AG44" s="181"/>
      <c r="AH44" s="181"/>
      <c r="AI44" s="181"/>
      <c r="AJ44" s="181"/>
      <c r="AK44" s="181"/>
      <c r="AL44" s="181"/>
      <c r="AM44" s="181"/>
      <c r="AN44" s="181"/>
      <c r="AO44" s="181"/>
      <c r="AP44" s="181"/>
      <c r="AQ44" s="181"/>
      <c r="AR44" s="181"/>
      <c r="AS44" s="181"/>
      <c r="AT44" s="181"/>
      <c r="AU44" s="181"/>
      <c r="AV44" s="181"/>
    </row>
    <row r="45" spans="1:48" ht="22.2" customHeight="1">
      <c r="A45" s="261"/>
      <c r="B45" s="270">
        <v>12</v>
      </c>
      <c r="C45" s="328" t="s">
        <v>550</v>
      </c>
      <c r="D45" s="328"/>
      <c r="E45" s="328"/>
      <c r="F45" s="328"/>
      <c r="G45" s="328"/>
      <c r="H45" s="286">
        <f>IFERROR(ROUND(IF(T43&lt;0,IF(T44&lt;0,T45+180,T45+360),IF(T44&lt;0,T45+180,T45)),0),0)</f>
        <v>0</v>
      </c>
      <c r="I45" s="262" t="s">
        <v>547</v>
      </c>
      <c r="J45" s="286" t="e">
        <f>ROUND(SQRT(T43^2+T44^2),1)</f>
        <v>#DIV/0!</v>
      </c>
      <c r="K45" s="262" t="s">
        <v>83</v>
      </c>
      <c r="L45" s="261"/>
      <c r="M45" s="261"/>
      <c r="N45" s="261"/>
      <c r="O45" s="261"/>
      <c r="P45" s="261"/>
      <c r="Q45" s="261"/>
      <c r="R45" s="261"/>
      <c r="S45" s="297" t="s">
        <v>589</v>
      </c>
      <c r="T45" s="297" t="e">
        <f>ATAN(T43/T44)*180/PI()</f>
        <v>#DIV/0!</v>
      </c>
      <c r="U45" s="297" t="s">
        <v>583</v>
      </c>
      <c r="V45" s="297" t="e">
        <f>COS(H45*PI()/180)*J45</f>
        <v>#DIV/0!</v>
      </c>
      <c r="W45" s="181"/>
      <c r="X45" s="181"/>
      <c r="Y45" s="181"/>
      <c r="Z45" s="181"/>
      <c r="AA45" s="181"/>
      <c r="AB45" s="181"/>
      <c r="AC45" s="181"/>
      <c r="AD45" s="181"/>
      <c r="AE45" s="181"/>
      <c r="AF45" s="181"/>
      <c r="AG45" s="181"/>
      <c r="AH45" s="181"/>
      <c r="AI45" s="181"/>
      <c r="AJ45" s="181"/>
      <c r="AK45" s="181"/>
      <c r="AL45" s="181"/>
      <c r="AM45" s="181"/>
      <c r="AN45" s="181"/>
      <c r="AO45" s="181"/>
      <c r="AP45" s="181"/>
      <c r="AQ45" s="181"/>
      <c r="AR45" s="181"/>
      <c r="AS45" s="181"/>
      <c r="AT45" s="181"/>
      <c r="AU45" s="181"/>
      <c r="AV45" s="181"/>
    </row>
    <row r="46" spans="1:48" ht="13.8" thickBot="1">
      <c r="A46" s="261"/>
      <c r="B46" s="291"/>
      <c r="C46" s="291"/>
      <c r="D46" s="291"/>
      <c r="E46" s="291"/>
      <c r="F46" s="291"/>
      <c r="G46" s="291"/>
      <c r="H46" s="261"/>
      <c r="I46" s="261"/>
      <c r="J46" s="261"/>
      <c r="K46" s="261"/>
      <c r="L46" s="261"/>
      <c r="M46" s="261"/>
      <c r="N46" s="261"/>
      <c r="O46" s="261"/>
      <c r="P46" s="261"/>
      <c r="Q46" s="261"/>
      <c r="R46" s="261"/>
      <c r="S46" s="181"/>
      <c r="T46" s="181"/>
      <c r="U46" s="297" t="s">
        <v>584</v>
      </c>
      <c r="V46" s="297" t="e">
        <f>SIN(H45*PI()/180)*J45</f>
        <v>#DIV/0!</v>
      </c>
      <c r="W46" s="181"/>
      <c r="X46" s="181"/>
      <c r="Y46" s="181"/>
      <c r="Z46" s="181"/>
      <c r="AA46" s="181"/>
      <c r="AB46" s="181"/>
      <c r="AC46" s="181"/>
      <c r="AD46" s="181"/>
      <c r="AE46" s="181"/>
      <c r="AF46" s="181"/>
      <c r="AG46" s="181"/>
      <c r="AH46" s="181"/>
      <c r="AI46" s="181"/>
      <c r="AJ46" s="181"/>
      <c r="AK46" s="181"/>
      <c r="AL46" s="181"/>
      <c r="AM46" s="181"/>
      <c r="AN46" s="181"/>
      <c r="AO46" s="181"/>
      <c r="AP46" s="181"/>
      <c r="AQ46" s="181"/>
      <c r="AR46" s="181"/>
      <c r="AS46" s="181"/>
      <c r="AT46" s="181"/>
      <c r="AU46" s="181"/>
      <c r="AV46" s="181"/>
    </row>
    <row r="47" spans="1:48" ht="25.5" customHeight="1" thickBot="1">
      <c r="A47" s="261"/>
      <c r="B47" s="270">
        <v>13</v>
      </c>
      <c r="C47" s="332" t="s">
        <v>580</v>
      </c>
      <c r="D47" s="328"/>
      <c r="E47" s="328"/>
      <c r="F47" s="328"/>
      <c r="G47" s="328"/>
      <c r="H47" s="298"/>
      <c r="I47" s="262" t="s">
        <v>531</v>
      </c>
      <c r="J47" s="261"/>
      <c r="K47" s="261"/>
      <c r="L47" s="261"/>
      <c r="M47" s="261"/>
      <c r="N47" s="261"/>
      <c r="O47" s="261"/>
      <c r="P47" s="261"/>
      <c r="Q47" s="261"/>
      <c r="R47" s="261"/>
      <c r="S47" s="181"/>
      <c r="T47" s="181"/>
      <c r="U47" s="297" t="s">
        <v>585</v>
      </c>
      <c r="V47" s="297" t="e">
        <f>IF(L17="N",V43+V45/60,V43-V45/60)</f>
        <v>#DIV/0!</v>
      </c>
      <c r="W47" s="181"/>
      <c r="X47" s="181"/>
      <c r="Y47" s="181"/>
      <c r="Z47" s="181"/>
      <c r="AA47" s="181"/>
      <c r="AB47" s="181"/>
      <c r="AC47" s="181"/>
      <c r="AD47" s="181"/>
      <c r="AE47" s="181"/>
      <c r="AF47" s="181"/>
      <c r="AG47" s="181"/>
      <c r="AH47" s="181"/>
      <c r="AI47" s="181"/>
      <c r="AJ47" s="181"/>
      <c r="AK47" s="181"/>
      <c r="AL47" s="181"/>
      <c r="AM47" s="181"/>
      <c r="AN47" s="181"/>
      <c r="AO47" s="181"/>
      <c r="AP47" s="181"/>
      <c r="AQ47" s="181"/>
      <c r="AR47" s="181"/>
      <c r="AS47" s="181"/>
      <c r="AT47" s="181"/>
      <c r="AU47" s="181"/>
      <c r="AV47" s="181"/>
    </row>
    <row r="48" spans="1:48">
      <c r="A48" s="261"/>
      <c r="B48" s="261"/>
      <c r="C48" s="261"/>
      <c r="D48" s="261"/>
      <c r="E48" s="261"/>
      <c r="F48" s="261"/>
      <c r="G48" s="261"/>
      <c r="H48" s="261"/>
      <c r="I48" s="261"/>
      <c r="J48" s="261"/>
      <c r="K48" s="261"/>
      <c r="L48" s="261"/>
      <c r="M48" s="261"/>
      <c r="N48" s="261"/>
      <c r="O48" s="261"/>
      <c r="P48" s="261"/>
      <c r="Q48" s="261"/>
      <c r="R48" s="261"/>
      <c r="S48" s="181"/>
      <c r="T48" s="181"/>
      <c r="U48" s="297" t="s">
        <v>586</v>
      </c>
      <c r="V48" s="297" t="e">
        <f>V44-(V46/COS(V47*PI()/180))/60</f>
        <v>#DIV/0!</v>
      </c>
      <c r="W48" s="181"/>
      <c r="X48" s="181"/>
      <c r="Y48" s="181"/>
      <c r="Z48" s="181"/>
      <c r="AA48" s="181"/>
      <c r="AB48" s="181"/>
      <c r="AC48" s="181"/>
      <c r="AD48" s="181"/>
      <c r="AE48" s="181"/>
      <c r="AF48" s="181"/>
      <c r="AG48" s="181"/>
      <c r="AH48" s="181"/>
      <c r="AI48" s="181"/>
      <c r="AJ48" s="181"/>
      <c r="AK48" s="181"/>
      <c r="AL48" s="181"/>
      <c r="AM48" s="181"/>
      <c r="AN48" s="181"/>
      <c r="AO48" s="181"/>
      <c r="AP48" s="181"/>
      <c r="AQ48" s="181"/>
      <c r="AR48" s="181"/>
      <c r="AS48" s="181"/>
      <c r="AT48" s="181"/>
      <c r="AU48" s="181"/>
      <c r="AV48" s="181"/>
    </row>
    <row r="49" spans="1:48" ht="30.6" customHeight="1">
      <c r="A49" s="261"/>
      <c r="B49" s="264">
        <v>14</v>
      </c>
      <c r="C49" s="334" t="s">
        <v>577</v>
      </c>
      <c r="D49" s="335"/>
      <c r="E49" s="335"/>
      <c r="F49" s="335"/>
      <c r="G49" s="335"/>
      <c r="H49" s="261"/>
      <c r="I49" s="292" t="e">
        <f>INT(V47)</f>
        <v>#DIV/0!</v>
      </c>
      <c r="J49" s="281" t="s">
        <v>490</v>
      </c>
      <c r="K49" s="292" t="e">
        <f>ROUND((V47-INT(V47))*60,1)</f>
        <v>#DIV/0!</v>
      </c>
      <c r="L49" s="293" t="s">
        <v>19</v>
      </c>
      <c r="M49" s="292" t="e">
        <f>INT(V48)</f>
        <v>#DIV/0!</v>
      </c>
      <c r="N49" s="281" t="s">
        <v>490</v>
      </c>
      <c r="O49" s="292" t="e">
        <f>ROUND((V48-INT(V48))*60,1)</f>
        <v>#DIV/0!</v>
      </c>
      <c r="P49" s="294" t="s">
        <v>576</v>
      </c>
      <c r="Q49" s="282"/>
      <c r="R49" s="261"/>
      <c r="S49" s="181"/>
      <c r="T49" s="181"/>
      <c r="U49" s="181"/>
      <c r="V49" s="181"/>
      <c r="W49" s="181"/>
      <c r="X49" s="181"/>
      <c r="Y49" s="181"/>
      <c r="Z49" s="181"/>
      <c r="AA49" s="181"/>
      <c r="AB49" s="181"/>
      <c r="AC49" s="181"/>
      <c r="AD49" s="181"/>
      <c r="AE49" s="181"/>
      <c r="AF49" s="181"/>
      <c r="AG49" s="181"/>
      <c r="AH49" s="181"/>
      <c r="AI49" s="181"/>
      <c r="AJ49" s="181"/>
      <c r="AK49" s="181"/>
      <c r="AL49" s="181"/>
      <c r="AM49" s="181"/>
      <c r="AN49" s="181"/>
      <c r="AO49" s="181"/>
      <c r="AP49" s="181"/>
      <c r="AQ49" s="181"/>
      <c r="AR49" s="181"/>
      <c r="AS49" s="181"/>
      <c r="AT49" s="181"/>
      <c r="AU49" s="181"/>
      <c r="AV49" s="181"/>
    </row>
    <row r="50" spans="1:48">
      <c r="A50" s="261"/>
      <c r="B50" s="261"/>
      <c r="C50" s="261"/>
      <c r="D50" s="261"/>
      <c r="E50" s="261"/>
      <c r="F50" s="261"/>
      <c r="G50" s="261"/>
      <c r="H50" s="261"/>
      <c r="I50" s="261"/>
      <c r="J50" s="261"/>
      <c r="K50" s="261"/>
      <c r="L50" s="261"/>
      <c r="M50" s="261"/>
      <c r="N50" s="261"/>
      <c r="O50" s="261"/>
      <c r="P50" s="261"/>
      <c r="Q50" s="261"/>
      <c r="R50" s="261"/>
      <c r="S50" s="181"/>
      <c r="T50" s="181"/>
      <c r="U50" s="181"/>
      <c r="V50" s="181"/>
      <c r="W50" s="181"/>
      <c r="X50" s="181"/>
      <c r="Y50" s="181"/>
      <c r="Z50" s="181"/>
      <c r="AA50" s="181"/>
      <c r="AB50" s="181"/>
      <c r="AC50" s="181"/>
      <c r="AD50" s="181"/>
      <c r="AE50" s="181"/>
      <c r="AF50" s="181"/>
      <c r="AG50" s="181"/>
      <c r="AH50" s="181"/>
      <c r="AI50" s="181"/>
      <c r="AJ50" s="181"/>
      <c r="AK50" s="181"/>
      <c r="AL50" s="181"/>
      <c r="AM50" s="181"/>
      <c r="AN50" s="181"/>
      <c r="AO50" s="181"/>
      <c r="AP50" s="181"/>
      <c r="AQ50" s="181"/>
      <c r="AR50" s="181"/>
      <c r="AS50" s="181"/>
      <c r="AT50" s="181"/>
      <c r="AU50" s="181"/>
      <c r="AV50" s="181"/>
    </row>
    <row r="51" spans="1:48">
      <c r="A51" s="261"/>
      <c r="B51" s="261"/>
      <c r="C51" s="261"/>
      <c r="D51" s="261"/>
      <c r="E51" s="261"/>
      <c r="F51" s="261"/>
      <c r="G51" s="261"/>
      <c r="H51" s="261"/>
      <c r="I51" s="261"/>
      <c r="J51" s="261"/>
      <c r="K51" s="261"/>
      <c r="L51" s="261"/>
      <c r="M51" s="261"/>
      <c r="N51" s="261"/>
      <c r="O51" s="261"/>
      <c r="P51" s="261"/>
      <c r="Q51" s="261"/>
      <c r="R51" s="261"/>
      <c r="S51" s="181"/>
      <c r="T51" s="181"/>
      <c r="U51" s="181"/>
      <c r="V51" s="181"/>
      <c r="W51" s="181"/>
      <c r="X51" s="181"/>
      <c r="Y51" s="181"/>
      <c r="Z51" s="181"/>
      <c r="AA51" s="181"/>
      <c r="AB51" s="181"/>
      <c r="AC51" s="181"/>
      <c r="AD51" s="181"/>
      <c r="AE51" s="181"/>
      <c r="AF51" s="181"/>
      <c r="AG51" s="181"/>
      <c r="AH51" s="181"/>
      <c r="AI51" s="181"/>
      <c r="AJ51" s="181"/>
      <c r="AK51" s="181"/>
      <c r="AL51" s="181"/>
      <c r="AM51" s="181"/>
      <c r="AN51" s="181"/>
      <c r="AO51" s="181"/>
      <c r="AP51" s="181"/>
      <c r="AQ51" s="181"/>
      <c r="AR51" s="181"/>
      <c r="AS51" s="181"/>
      <c r="AT51" s="181"/>
      <c r="AU51" s="181"/>
      <c r="AV51" s="181"/>
    </row>
    <row r="52" spans="1:48" ht="13.8" thickBot="1">
      <c r="A52" s="263" t="s">
        <v>25</v>
      </c>
      <c r="B52" s="329" t="s">
        <v>551</v>
      </c>
      <c r="C52" s="329"/>
      <c r="D52" s="329"/>
      <c r="E52" s="329"/>
      <c r="F52" s="329"/>
      <c r="G52" s="329"/>
      <c r="H52" s="329"/>
      <c r="I52" s="329"/>
      <c r="J52" s="329"/>
      <c r="K52" s="329"/>
      <c r="L52" s="329"/>
      <c r="M52" s="329"/>
      <c r="N52" s="329"/>
      <c r="O52" s="329"/>
      <c r="P52" s="329"/>
      <c r="Q52" s="329"/>
      <c r="R52" s="261"/>
      <c r="S52" s="304" t="s">
        <v>593</v>
      </c>
      <c r="T52" s="181"/>
      <c r="U52" s="181"/>
      <c r="V52" s="181"/>
      <c r="W52" s="181"/>
      <c r="X52" s="181"/>
      <c r="Y52" s="181"/>
      <c r="Z52" s="181"/>
      <c r="AA52" s="181"/>
      <c r="AB52" s="181"/>
      <c r="AC52" s="181"/>
      <c r="AD52" s="181"/>
      <c r="AE52" s="181"/>
      <c r="AF52" s="181"/>
      <c r="AG52" s="181"/>
      <c r="AH52" s="181"/>
      <c r="AI52" s="181"/>
      <c r="AJ52" s="181"/>
      <c r="AK52" s="181"/>
      <c r="AL52" s="181"/>
      <c r="AM52" s="181"/>
      <c r="AN52" s="181"/>
      <c r="AO52" s="181"/>
      <c r="AP52" s="181"/>
      <c r="AQ52" s="181"/>
      <c r="AR52" s="181"/>
      <c r="AS52" s="181"/>
      <c r="AT52" s="181"/>
      <c r="AU52" s="181"/>
      <c r="AV52" s="181"/>
    </row>
    <row r="53" spans="1:48">
      <c r="A53" s="261"/>
      <c r="B53" s="261"/>
      <c r="C53" s="261"/>
      <c r="D53" s="261"/>
      <c r="E53" s="261"/>
      <c r="F53" s="261"/>
      <c r="G53" s="261"/>
      <c r="H53" s="261"/>
      <c r="I53" s="261"/>
      <c r="J53" s="261"/>
      <c r="K53" s="261"/>
      <c r="L53" s="261"/>
      <c r="M53" s="261"/>
      <c r="N53" s="261"/>
      <c r="O53" s="261"/>
      <c r="P53" s="261"/>
      <c r="Q53" s="261"/>
      <c r="R53" s="261"/>
      <c r="S53" s="181"/>
      <c r="T53" s="181"/>
      <c r="U53" s="181"/>
      <c r="V53" s="181"/>
      <c r="W53" s="181"/>
      <c r="X53" s="181"/>
      <c r="Y53" s="181"/>
      <c r="Z53" s="181"/>
      <c r="AA53" s="181"/>
      <c r="AB53" s="181"/>
      <c r="AC53" s="181"/>
      <c r="AD53" s="181"/>
      <c r="AE53" s="181"/>
      <c r="AF53" s="181"/>
      <c r="AG53" s="181"/>
      <c r="AH53" s="181"/>
      <c r="AI53" s="181"/>
      <c r="AJ53" s="181"/>
      <c r="AK53" s="181"/>
      <c r="AL53" s="181"/>
      <c r="AM53" s="181"/>
      <c r="AN53" s="181"/>
      <c r="AO53" s="181"/>
      <c r="AP53" s="181"/>
      <c r="AQ53" s="181"/>
      <c r="AR53" s="181"/>
      <c r="AS53" s="181"/>
      <c r="AT53" s="181"/>
      <c r="AU53" s="181"/>
      <c r="AV53" s="181"/>
    </row>
    <row r="54" spans="1:48" ht="30" customHeight="1">
      <c r="A54" s="261"/>
      <c r="B54" s="264">
        <v>1</v>
      </c>
      <c r="C54" s="330" t="s">
        <v>552</v>
      </c>
      <c r="D54" s="330"/>
      <c r="E54" s="330"/>
      <c r="F54" s="330"/>
      <c r="G54" s="330"/>
      <c r="H54" s="261"/>
      <c r="I54" s="261"/>
      <c r="J54" s="261"/>
      <c r="K54" s="261"/>
      <c r="L54" s="261"/>
      <c r="M54" s="261"/>
      <c r="N54" s="261"/>
      <c r="O54" s="261"/>
      <c r="P54" s="261"/>
      <c r="Q54" s="261"/>
      <c r="R54" s="261"/>
      <c r="S54" s="181"/>
      <c r="T54" s="181"/>
      <c r="U54" s="181"/>
      <c r="V54" s="181"/>
      <c r="W54" s="181"/>
      <c r="X54" s="181"/>
      <c r="Y54" s="181"/>
      <c r="Z54" s="181"/>
      <c r="AA54" s="181"/>
      <c r="AB54" s="181"/>
      <c r="AC54" s="181"/>
      <c r="AD54" s="181"/>
      <c r="AE54" s="181"/>
      <c r="AF54" s="181"/>
      <c r="AG54" s="181"/>
      <c r="AH54" s="181"/>
      <c r="AI54" s="181"/>
      <c r="AJ54" s="181"/>
      <c r="AK54" s="181"/>
      <c r="AL54" s="181"/>
      <c r="AM54" s="181"/>
      <c r="AN54" s="181"/>
      <c r="AO54" s="181"/>
      <c r="AP54" s="181"/>
      <c r="AQ54" s="181"/>
      <c r="AR54" s="181"/>
      <c r="AS54" s="181"/>
      <c r="AT54" s="181"/>
      <c r="AU54" s="181"/>
      <c r="AV54" s="181"/>
    </row>
    <row r="55" spans="1:48">
      <c r="A55" s="261"/>
      <c r="B55" s="261"/>
      <c r="C55" s="261"/>
      <c r="D55" s="261"/>
      <c r="E55" s="261"/>
      <c r="F55" s="261"/>
      <c r="G55" s="261"/>
      <c r="H55" s="261"/>
      <c r="I55" s="261"/>
      <c r="J55" s="261"/>
      <c r="K55" s="261"/>
      <c r="L55" s="261"/>
      <c r="M55" s="261"/>
      <c r="N55" s="261"/>
      <c r="O55" s="261"/>
      <c r="P55" s="261"/>
      <c r="Q55" s="261"/>
      <c r="R55" s="261"/>
      <c r="S55" s="181"/>
      <c r="T55" s="181"/>
      <c r="U55" s="181"/>
      <c r="V55" s="181"/>
      <c r="W55" s="181"/>
      <c r="X55" s="181"/>
      <c r="Y55" s="181"/>
      <c r="Z55" s="181"/>
      <c r="AA55" s="181"/>
      <c r="AB55" s="181"/>
      <c r="AC55" s="181"/>
      <c r="AD55" s="181"/>
      <c r="AE55" s="181"/>
      <c r="AF55" s="181"/>
      <c r="AG55" s="181"/>
      <c r="AH55" s="181"/>
      <c r="AI55" s="181"/>
      <c r="AJ55" s="181"/>
      <c r="AK55" s="181"/>
      <c r="AL55" s="181"/>
      <c r="AM55" s="181"/>
      <c r="AN55" s="181"/>
      <c r="AO55" s="181"/>
      <c r="AP55" s="181"/>
      <c r="AQ55" s="181"/>
      <c r="AR55" s="181"/>
      <c r="AS55" s="181"/>
      <c r="AT55" s="181"/>
      <c r="AU55" s="181"/>
      <c r="AV55" s="181"/>
    </row>
    <row r="56" spans="1:48" ht="25.5" customHeight="1">
      <c r="A56" s="261"/>
      <c r="B56" s="264">
        <v>2</v>
      </c>
      <c r="C56" s="330" t="s">
        <v>530</v>
      </c>
      <c r="D56" s="330"/>
      <c r="E56" s="330"/>
      <c r="F56" s="330"/>
      <c r="G56" s="330"/>
      <c r="H56" s="265"/>
      <c r="I56" s="262" t="s">
        <v>531</v>
      </c>
      <c r="J56" s="261"/>
      <c r="K56" s="261"/>
      <c r="L56" s="261"/>
      <c r="M56" s="261"/>
      <c r="N56" s="261"/>
      <c r="O56" s="261"/>
      <c r="P56" s="261"/>
      <c r="Q56" s="261"/>
      <c r="R56" s="261"/>
      <c r="S56" s="181"/>
      <c r="T56" s="181"/>
      <c r="U56" s="181"/>
      <c r="V56" s="181"/>
      <c r="W56" s="181"/>
      <c r="X56" s="181"/>
      <c r="Y56" s="181"/>
      <c r="Z56" s="181"/>
      <c r="AA56" s="181"/>
      <c r="AB56" s="181"/>
      <c r="AC56" s="181"/>
      <c r="AD56" s="181"/>
      <c r="AE56" s="181"/>
      <c r="AF56" s="181"/>
      <c r="AG56" s="181"/>
      <c r="AH56" s="181"/>
      <c r="AI56" s="181"/>
      <c r="AJ56" s="181"/>
      <c r="AK56" s="181"/>
      <c r="AL56" s="181"/>
      <c r="AM56" s="181"/>
      <c r="AN56" s="181"/>
      <c r="AO56" s="181"/>
      <c r="AP56" s="181"/>
      <c r="AQ56" s="181"/>
      <c r="AR56" s="181"/>
      <c r="AS56" s="181"/>
      <c r="AT56" s="181"/>
      <c r="AU56" s="181"/>
      <c r="AV56" s="181"/>
    </row>
    <row r="57" spans="1:48">
      <c r="A57" s="261"/>
      <c r="B57" s="261"/>
      <c r="C57" s="261"/>
      <c r="D57" s="261"/>
      <c r="E57" s="261"/>
      <c r="F57" s="261"/>
      <c r="G57" s="261"/>
      <c r="H57" s="261"/>
      <c r="I57" s="261"/>
      <c r="J57" s="261"/>
      <c r="K57" s="261"/>
      <c r="L57" s="261"/>
      <c r="M57" s="261"/>
      <c r="N57" s="261"/>
      <c r="O57" s="261"/>
      <c r="P57" s="261"/>
      <c r="Q57" s="261"/>
      <c r="R57" s="261"/>
      <c r="S57" s="181"/>
      <c r="T57" s="181"/>
      <c r="U57" s="181"/>
      <c r="V57" s="181"/>
      <c r="W57" s="181"/>
      <c r="X57" s="181"/>
      <c r="Y57" s="181"/>
      <c r="Z57" s="181"/>
      <c r="AA57" s="181"/>
      <c r="AB57" s="181"/>
      <c r="AC57" s="181"/>
      <c r="AD57" s="181"/>
      <c r="AE57" s="181"/>
      <c r="AF57" s="181"/>
      <c r="AG57" s="181"/>
      <c r="AH57" s="181"/>
      <c r="AI57" s="181"/>
      <c r="AJ57" s="181"/>
      <c r="AK57" s="181"/>
      <c r="AL57" s="181"/>
      <c r="AM57" s="181"/>
      <c r="AN57" s="181"/>
      <c r="AO57" s="181"/>
      <c r="AP57" s="181"/>
      <c r="AQ57" s="181"/>
      <c r="AR57" s="181"/>
      <c r="AS57" s="181"/>
      <c r="AT57" s="181"/>
      <c r="AU57" s="181"/>
      <c r="AV57" s="181"/>
    </row>
    <row r="58" spans="1:48" ht="25.5" customHeight="1">
      <c r="A58" s="261"/>
      <c r="B58" s="264">
        <v>3</v>
      </c>
      <c r="C58" s="330" t="s">
        <v>58</v>
      </c>
      <c r="D58" s="330"/>
      <c r="E58" s="330"/>
      <c r="F58" s="330"/>
      <c r="G58" s="330"/>
      <c r="H58" s="265"/>
      <c r="I58" s="266" t="s">
        <v>490</v>
      </c>
      <c r="J58" s="265"/>
      <c r="K58" s="266" t="s">
        <v>532</v>
      </c>
      <c r="L58" s="267"/>
      <c r="M58" s="265"/>
      <c r="N58" s="266" t="s">
        <v>490</v>
      </c>
      <c r="O58" s="265"/>
      <c r="P58" s="266" t="s">
        <v>532</v>
      </c>
      <c r="Q58" s="267"/>
      <c r="R58" s="261"/>
      <c r="S58" s="181"/>
      <c r="T58" s="181"/>
      <c r="U58" s="181"/>
      <c r="V58" s="181"/>
      <c r="W58" s="181"/>
      <c r="X58" s="181"/>
      <c r="Y58" s="181"/>
      <c r="Z58" s="181"/>
      <c r="AA58" s="181"/>
      <c r="AB58" s="181"/>
      <c r="AC58" s="181"/>
      <c r="AD58" s="181"/>
      <c r="AE58" s="181"/>
      <c r="AF58" s="181"/>
      <c r="AG58" s="181"/>
      <c r="AH58" s="181"/>
      <c r="AI58" s="181"/>
      <c r="AJ58" s="181"/>
      <c r="AK58" s="181"/>
      <c r="AL58" s="181"/>
      <c r="AM58" s="181"/>
      <c r="AN58" s="181"/>
      <c r="AO58" s="181"/>
      <c r="AP58" s="181"/>
      <c r="AQ58" s="181"/>
      <c r="AR58" s="181"/>
      <c r="AS58" s="181"/>
      <c r="AT58" s="181"/>
      <c r="AU58" s="181"/>
      <c r="AV58" s="181"/>
    </row>
    <row r="59" spans="1:48">
      <c r="A59" s="261"/>
      <c r="B59" s="261"/>
      <c r="C59" s="261"/>
      <c r="D59" s="261"/>
      <c r="E59" s="261"/>
      <c r="F59" s="261"/>
      <c r="G59" s="261"/>
      <c r="H59" s="261"/>
      <c r="I59" s="261"/>
      <c r="J59" s="261"/>
      <c r="K59" s="261"/>
      <c r="L59" s="261"/>
      <c r="M59" s="261"/>
      <c r="N59" s="261"/>
      <c r="O59" s="261"/>
      <c r="P59" s="261"/>
      <c r="Q59" s="261"/>
      <c r="R59" s="261"/>
      <c r="S59" s="181"/>
      <c r="T59" s="181"/>
      <c r="U59" s="181"/>
      <c r="V59" s="181"/>
      <c r="W59" s="181"/>
      <c r="X59" s="181"/>
      <c r="Y59" s="181"/>
      <c r="Z59" s="181"/>
      <c r="AA59" s="181"/>
      <c r="AB59" s="181"/>
      <c r="AC59" s="181"/>
      <c r="AD59" s="181"/>
      <c r="AE59" s="181"/>
      <c r="AF59" s="181"/>
      <c r="AG59" s="181"/>
      <c r="AH59" s="181"/>
      <c r="AI59" s="181"/>
      <c r="AJ59" s="181"/>
      <c r="AK59" s="181"/>
      <c r="AL59" s="181"/>
      <c r="AM59" s="181"/>
      <c r="AN59" s="181"/>
      <c r="AO59" s="181"/>
      <c r="AP59" s="181"/>
      <c r="AQ59" s="181"/>
      <c r="AR59" s="181"/>
      <c r="AS59" s="181"/>
      <c r="AT59" s="181"/>
      <c r="AU59" s="181"/>
      <c r="AV59" s="181"/>
    </row>
    <row r="60" spans="1:48" ht="25.5" customHeight="1">
      <c r="A60" s="261"/>
      <c r="B60" s="264">
        <v>4</v>
      </c>
      <c r="C60" s="330" t="s">
        <v>553</v>
      </c>
      <c r="D60" s="330"/>
      <c r="E60" s="330"/>
      <c r="F60" s="330"/>
      <c r="G60" s="330"/>
      <c r="H60" s="265"/>
      <c r="I60" s="262" t="s">
        <v>536</v>
      </c>
      <c r="J60" s="261"/>
      <c r="K60" s="261"/>
      <c r="L60" s="261"/>
      <c r="M60" s="261"/>
      <c r="N60" s="261"/>
      <c r="O60" s="261"/>
      <c r="P60" s="261"/>
      <c r="Q60" s="261"/>
      <c r="R60" s="261"/>
      <c r="S60" s="181"/>
      <c r="T60" s="181"/>
      <c r="U60" s="181"/>
      <c r="V60" s="181"/>
      <c r="W60" s="181"/>
      <c r="X60" s="181"/>
      <c r="Y60" s="181"/>
      <c r="Z60" s="181"/>
      <c r="AA60" s="181"/>
      <c r="AB60" s="181"/>
      <c r="AC60" s="181"/>
      <c r="AD60" s="181"/>
      <c r="AE60" s="181"/>
      <c r="AF60" s="181"/>
      <c r="AG60" s="181"/>
      <c r="AH60" s="181"/>
      <c r="AI60" s="181"/>
      <c r="AJ60" s="181"/>
      <c r="AK60" s="181"/>
      <c r="AL60" s="181"/>
      <c r="AM60" s="181"/>
      <c r="AN60" s="181"/>
      <c r="AO60" s="181"/>
      <c r="AP60" s="181"/>
      <c r="AQ60" s="181"/>
      <c r="AR60" s="181"/>
      <c r="AS60" s="181"/>
      <c r="AT60" s="181"/>
      <c r="AU60" s="181"/>
      <c r="AV60" s="181"/>
    </row>
    <row r="61" spans="1:48">
      <c r="A61" s="261"/>
      <c r="B61" s="261"/>
      <c r="C61" s="261"/>
      <c r="D61" s="261"/>
      <c r="E61" s="261"/>
      <c r="F61" s="261"/>
      <c r="G61" s="261"/>
      <c r="H61" s="261"/>
      <c r="I61" s="261"/>
      <c r="J61" s="261"/>
      <c r="K61" s="261"/>
      <c r="L61" s="261"/>
      <c r="M61" s="261"/>
      <c r="N61" s="261"/>
      <c r="O61" s="261"/>
      <c r="P61" s="261"/>
      <c r="Q61" s="261"/>
      <c r="R61" s="261"/>
      <c r="S61" s="181"/>
      <c r="T61" s="181"/>
      <c r="U61" s="181"/>
      <c r="V61" s="181"/>
      <c r="W61" s="181"/>
      <c r="X61" s="181"/>
      <c r="Y61" s="181"/>
      <c r="Z61" s="181"/>
      <c r="AA61" s="181"/>
      <c r="AB61" s="181"/>
      <c r="AC61" s="181"/>
      <c r="AD61" s="181"/>
      <c r="AE61" s="181"/>
      <c r="AF61" s="181"/>
      <c r="AG61" s="181"/>
      <c r="AH61" s="181"/>
      <c r="AI61" s="181"/>
      <c r="AJ61" s="181"/>
      <c r="AK61" s="181"/>
      <c r="AL61" s="181"/>
      <c r="AM61" s="181"/>
      <c r="AN61" s="181"/>
      <c r="AO61" s="181"/>
      <c r="AP61" s="181"/>
      <c r="AQ61" s="181"/>
      <c r="AR61" s="181"/>
      <c r="AS61" s="181"/>
      <c r="AT61" s="181"/>
      <c r="AU61" s="181"/>
      <c r="AV61" s="181"/>
    </row>
    <row r="62" spans="1:48" ht="25.5" customHeight="1">
      <c r="A62" s="261"/>
      <c r="B62" s="264">
        <v>5</v>
      </c>
      <c r="C62" s="330" t="s">
        <v>554</v>
      </c>
      <c r="D62" s="330"/>
      <c r="E62" s="330"/>
      <c r="F62" s="330"/>
      <c r="G62" s="330"/>
      <c r="H62" s="265"/>
      <c r="I62" s="262" t="s">
        <v>536</v>
      </c>
      <c r="J62" s="261"/>
      <c r="K62" s="261"/>
      <c r="L62" s="261"/>
      <c r="M62" s="261"/>
      <c r="N62" s="261"/>
      <c r="O62" s="261"/>
      <c r="P62" s="261"/>
      <c r="Q62" s="261"/>
      <c r="R62" s="261"/>
      <c r="S62" s="181"/>
      <c r="T62" s="181"/>
      <c r="U62" s="181"/>
      <c r="V62" s="181"/>
      <c r="W62" s="181"/>
      <c r="X62" s="181"/>
      <c r="Y62" s="181"/>
      <c r="Z62" s="181"/>
      <c r="AA62" s="181"/>
      <c r="AB62" s="181"/>
      <c r="AC62" s="181"/>
      <c r="AD62" s="181"/>
      <c r="AE62" s="181"/>
      <c r="AF62" s="181"/>
      <c r="AG62" s="181"/>
      <c r="AH62" s="181"/>
      <c r="AI62" s="181"/>
      <c r="AJ62" s="181"/>
      <c r="AK62" s="181"/>
      <c r="AL62" s="181"/>
      <c r="AM62" s="181"/>
      <c r="AN62" s="181"/>
      <c r="AO62" s="181"/>
      <c r="AP62" s="181"/>
      <c r="AQ62" s="181"/>
      <c r="AR62" s="181"/>
      <c r="AS62" s="181"/>
      <c r="AT62" s="181"/>
      <c r="AU62" s="181"/>
      <c r="AV62" s="181"/>
    </row>
    <row r="63" spans="1:48">
      <c r="A63" s="261"/>
      <c r="B63" s="261"/>
      <c r="C63" s="261"/>
      <c r="D63" s="261"/>
      <c r="E63" s="261"/>
      <c r="F63" s="261"/>
      <c r="G63" s="261"/>
      <c r="H63" s="261"/>
      <c r="I63" s="261"/>
      <c r="J63" s="261"/>
      <c r="K63" s="261"/>
      <c r="L63" s="261"/>
      <c r="M63" s="261"/>
      <c r="N63" s="261"/>
      <c r="O63" s="261"/>
      <c r="P63" s="261"/>
      <c r="Q63" s="261"/>
      <c r="R63" s="261"/>
      <c r="S63" s="181"/>
      <c r="T63" s="181"/>
      <c r="U63" s="181"/>
      <c r="V63" s="181"/>
      <c r="W63" s="181"/>
      <c r="X63" s="181"/>
      <c r="Y63" s="181"/>
      <c r="Z63" s="181"/>
      <c r="AA63" s="181"/>
      <c r="AB63" s="181"/>
      <c r="AC63" s="181"/>
      <c r="AD63" s="181"/>
      <c r="AE63" s="181"/>
      <c r="AF63" s="181"/>
      <c r="AG63" s="181"/>
      <c r="AH63" s="181"/>
      <c r="AI63" s="181"/>
      <c r="AJ63" s="181"/>
      <c r="AK63" s="181"/>
      <c r="AL63" s="181"/>
      <c r="AM63" s="181"/>
      <c r="AN63" s="181"/>
      <c r="AO63" s="181"/>
      <c r="AP63" s="181"/>
      <c r="AQ63" s="181"/>
      <c r="AR63" s="181"/>
      <c r="AS63" s="181"/>
      <c r="AT63" s="181"/>
      <c r="AU63" s="181"/>
      <c r="AV63" s="181"/>
    </row>
    <row r="64" spans="1:48" ht="25.5" customHeight="1">
      <c r="A64" s="261"/>
      <c r="B64" s="264">
        <v>6</v>
      </c>
      <c r="C64" s="330" t="s">
        <v>538</v>
      </c>
      <c r="D64" s="330"/>
      <c r="E64" s="330"/>
      <c r="F64" s="330"/>
      <c r="G64" s="330"/>
      <c r="H64" s="265"/>
      <c r="I64" s="262" t="s">
        <v>536</v>
      </c>
      <c r="J64" s="261"/>
      <c r="K64" s="261"/>
      <c r="L64" s="261"/>
      <c r="M64" s="261"/>
      <c r="N64" s="261"/>
      <c r="O64" s="261"/>
      <c r="P64" s="261"/>
      <c r="Q64" s="261"/>
      <c r="R64" s="261"/>
      <c r="S64" s="181"/>
      <c r="T64" s="181"/>
      <c r="U64" s="181"/>
      <c r="V64" s="181"/>
      <c r="W64" s="181"/>
      <c r="X64" s="181"/>
      <c r="Y64" s="181"/>
      <c r="Z64" s="181"/>
      <c r="AA64" s="181"/>
      <c r="AB64" s="181"/>
      <c r="AC64" s="181"/>
      <c r="AD64" s="181"/>
      <c r="AE64" s="181"/>
      <c r="AF64" s="181"/>
      <c r="AG64" s="181"/>
      <c r="AH64" s="181"/>
      <c r="AI64" s="181"/>
      <c r="AJ64" s="181"/>
      <c r="AK64" s="181"/>
      <c r="AL64" s="181"/>
      <c r="AM64" s="181"/>
      <c r="AN64" s="181"/>
      <c r="AO64" s="181"/>
      <c r="AP64" s="181"/>
      <c r="AQ64" s="181"/>
      <c r="AR64" s="181"/>
      <c r="AS64" s="181"/>
      <c r="AT64" s="181"/>
      <c r="AU64" s="181"/>
      <c r="AV64" s="181"/>
    </row>
    <row r="65" spans="1:48">
      <c r="A65" s="261"/>
      <c r="B65" s="261"/>
      <c r="C65" s="261"/>
      <c r="D65" s="261"/>
      <c r="E65" s="261"/>
      <c r="F65" s="261"/>
      <c r="G65" s="261"/>
      <c r="H65" s="261"/>
      <c r="I65" s="261"/>
      <c r="J65" s="261"/>
      <c r="K65" s="261"/>
      <c r="L65" s="261"/>
      <c r="M65" s="261"/>
      <c r="N65" s="261"/>
      <c r="O65" s="261"/>
      <c r="P65" s="261"/>
      <c r="Q65" s="261"/>
      <c r="R65" s="261"/>
      <c r="S65" s="181"/>
      <c r="T65" s="181"/>
      <c r="U65" s="181"/>
      <c r="V65" s="181"/>
      <c r="W65" s="181"/>
      <c r="X65" s="181"/>
      <c r="Y65" s="181"/>
      <c r="Z65" s="181"/>
      <c r="AA65" s="181"/>
      <c r="AB65" s="181"/>
      <c r="AC65" s="181"/>
      <c r="AD65" s="181"/>
      <c r="AE65" s="181"/>
      <c r="AF65" s="181"/>
      <c r="AG65" s="181"/>
      <c r="AH65" s="181"/>
      <c r="AI65" s="181"/>
      <c r="AJ65" s="181"/>
      <c r="AK65" s="181"/>
      <c r="AL65" s="181"/>
      <c r="AM65" s="181"/>
      <c r="AN65" s="181"/>
      <c r="AO65" s="181"/>
      <c r="AP65" s="181"/>
      <c r="AQ65" s="181"/>
      <c r="AR65" s="181"/>
      <c r="AS65" s="181"/>
      <c r="AT65" s="181"/>
      <c r="AU65" s="181"/>
      <c r="AV65" s="181"/>
    </row>
    <row r="66" spans="1:48" ht="39.75" customHeight="1">
      <c r="A66" s="261"/>
      <c r="B66" s="264">
        <v>7</v>
      </c>
      <c r="C66" s="330" t="s">
        <v>555</v>
      </c>
      <c r="D66" s="330"/>
      <c r="E66" s="330"/>
      <c r="F66" s="330"/>
      <c r="G66" s="330"/>
      <c r="H66" s="265"/>
      <c r="I66" s="262" t="s">
        <v>547</v>
      </c>
      <c r="J66" s="265"/>
      <c r="K66" s="262" t="s">
        <v>30</v>
      </c>
      <c r="L66" s="261"/>
      <c r="M66" s="261"/>
      <c r="N66" s="261"/>
      <c r="O66" s="261"/>
      <c r="P66" s="261"/>
      <c r="Q66" s="261"/>
      <c r="R66" s="261"/>
      <c r="S66" s="181"/>
      <c r="T66" s="181"/>
      <c r="U66" s="181"/>
      <c r="V66" s="181"/>
      <c r="W66" s="181"/>
      <c r="X66" s="181"/>
      <c r="Y66" s="181"/>
      <c r="Z66" s="181"/>
      <c r="AA66" s="181"/>
      <c r="AB66" s="181"/>
      <c r="AC66" s="181"/>
      <c r="AD66" s="181"/>
      <c r="AE66" s="181"/>
      <c r="AF66" s="181"/>
      <c r="AG66" s="181"/>
      <c r="AH66" s="181"/>
      <c r="AI66" s="181"/>
      <c r="AJ66" s="181"/>
      <c r="AK66" s="181"/>
      <c r="AL66" s="181"/>
      <c r="AM66" s="181"/>
      <c r="AN66" s="181"/>
      <c r="AO66" s="181"/>
      <c r="AP66" s="181"/>
      <c r="AQ66" s="181"/>
      <c r="AR66" s="181"/>
      <c r="AS66" s="181"/>
      <c r="AT66" s="181"/>
      <c r="AU66" s="181"/>
      <c r="AV66" s="181"/>
    </row>
    <row r="67" spans="1:48">
      <c r="A67" s="261"/>
      <c r="B67" s="261"/>
      <c r="C67" s="261"/>
      <c r="D67" s="261"/>
      <c r="E67" s="261"/>
      <c r="F67" s="261"/>
      <c r="G67" s="261"/>
      <c r="H67" s="261"/>
      <c r="I67" s="261"/>
      <c r="J67" s="261"/>
      <c r="K67" s="261"/>
      <c r="L67" s="261"/>
      <c r="M67" s="261"/>
      <c r="N67" s="261"/>
      <c r="O67" s="261"/>
      <c r="P67" s="261"/>
      <c r="Q67" s="261"/>
      <c r="R67" s="261"/>
      <c r="S67" s="181"/>
      <c r="T67" s="181"/>
      <c r="U67" s="181"/>
      <c r="V67" s="181"/>
      <c r="W67" s="181"/>
      <c r="X67" s="181"/>
      <c r="Y67" s="181"/>
      <c r="Z67" s="181"/>
      <c r="AA67" s="181"/>
      <c r="AB67" s="181"/>
      <c r="AC67" s="181"/>
      <c r="AD67" s="181"/>
      <c r="AE67" s="181"/>
      <c r="AF67" s="181"/>
      <c r="AG67" s="181"/>
      <c r="AH67" s="181"/>
      <c r="AI67" s="181"/>
      <c r="AJ67" s="181"/>
      <c r="AK67" s="181"/>
      <c r="AL67" s="181"/>
      <c r="AM67" s="181"/>
      <c r="AN67" s="181"/>
      <c r="AO67" s="181"/>
      <c r="AP67" s="181"/>
      <c r="AQ67" s="181"/>
      <c r="AR67" s="181"/>
      <c r="AS67" s="181"/>
      <c r="AT67" s="181"/>
      <c r="AU67" s="181"/>
      <c r="AV67" s="181"/>
    </row>
    <row r="68" spans="1:48" ht="36" customHeight="1">
      <c r="A68" s="261"/>
      <c r="B68" s="264">
        <v>8</v>
      </c>
      <c r="C68" s="330" t="s">
        <v>556</v>
      </c>
      <c r="D68" s="330"/>
      <c r="E68" s="330"/>
      <c r="F68" s="330"/>
      <c r="G68" s="330"/>
      <c r="H68" s="265"/>
      <c r="I68" s="262" t="s">
        <v>83</v>
      </c>
      <c r="J68" s="261"/>
      <c r="K68" s="261"/>
      <c r="L68" s="261"/>
      <c r="M68" s="261"/>
      <c r="N68" s="261"/>
      <c r="O68" s="261"/>
      <c r="P68" s="261"/>
      <c r="Q68" s="261"/>
      <c r="R68" s="261"/>
      <c r="S68" s="181"/>
      <c r="T68" s="181"/>
      <c r="U68" s="181"/>
      <c r="V68" s="181"/>
      <c r="W68" s="181"/>
      <c r="X68" s="181"/>
      <c r="Y68" s="181"/>
      <c r="Z68" s="181"/>
      <c r="AA68" s="181"/>
      <c r="AB68" s="181"/>
      <c r="AC68" s="181"/>
      <c r="AD68" s="181"/>
      <c r="AE68" s="181"/>
      <c r="AF68" s="181"/>
      <c r="AG68" s="181"/>
      <c r="AH68" s="181"/>
      <c r="AI68" s="181"/>
      <c r="AJ68" s="181"/>
      <c r="AK68" s="181"/>
      <c r="AL68" s="181"/>
      <c r="AM68" s="181"/>
      <c r="AN68" s="181"/>
      <c r="AO68" s="181"/>
      <c r="AP68" s="181"/>
      <c r="AQ68" s="181"/>
      <c r="AR68" s="181"/>
      <c r="AS68" s="181"/>
      <c r="AT68" s="181"/>
      <c r="AU68" s="181"/>
      <c r="AV68" s="181"/>
    </row>
    <row r="69" spans="1:48">
      <c r="A69" s="261"/>
      <c r="B69" s="261"/>
      <c r="C69" s="261"/>
      <c r="D69" s="261"/>
      <c r="E69" s="261"/>
      <c r="F69" s="261"/>
      <c r="G69" s="261"/>
      <c r="H69" s="261"/>
      <c r="I69" s="261"/>
      <c r="J69" s="261"/>
      <c r="K69" s="261"/>
      <c r="L69" s="261"/>
      <c r="M69" s="261"/>
      <c r="N69" s="261"/>
      <c r="O69" s="261"/>
      <c r="P69" s="272"/>
      <c r="Q69" s="261"/>
      <c r="R69" s="261"/>
      <c r="S69" s="181"/>
      <c r="T69" s="181"/>
      <c r="U69" s="181"/>
      <c r="V69" s="181"/>
      <c r="W69" s="181"/>
      <c r="X69" s="181"/>
      <c r="Y69" s="181"/>
      <c r="Z69" s="181"/>
      <c r="AA69" s="181"/>
      <c r="AB69" s="181"/>
      <c r="AC69" s="181"/>
      <c r="AD69" s="181"/>
      <c r="AE69" s="181"/>
      <c r="AF69" s="181"/>
      <c r="AG69" s="181"/>
      <c r="AH69" s="181"/>
      <c r="AI69" s="181"/>
      <c r="AJ69" s="181"/>
      <c r="AK69" s="181"/>
      <c r="AL69" s="181"/>
      <c r="AM69" s="181"/>
      <c r="AN69" s="181"/>
      <c r="AO69" s="181"/>
      <c r="AP69" s="181"/>
      <c r="AQ69" s="181"/>
      <c r="AR69" s="181"/>
      <c r="AS69" s="181"/>
      <c r="AT69" s="181"/>
      <c r="AU69" s="181"/>
      <c r="AV69" s="181"/>
    </row>
    <row r="70" spans="1:48" ht="36" customHeight="1">
      <c r="A70" s="261"/>
      <c r="B70" s="264">
        <v>9</v>
      </c>
      <c r="C70" s="330" t="s">
        <v>557</v>
      </c>
      <c r="D70" s="330"/>
      <c r="E70" s="330"/>
      <c r="F70" s="330"/>
      <c r="G70" s="330"/>
      <c r="H70" s="265"/>
      <c r="I70" s="262" t="s">
        <v>83</v>
      </c>
      <c r="J70" s="261"/>
      <c r="K70" s="261"/>
      <c r="L70" s="261"/>
      <c r="M70" s="261"/>
      <c r="N70" s="261"/>
      <c r="O70" s="261"/>
      <c r="P70" s="261"/>
      <c r="Q70" s="261"/>
      <c r="R70" s="261"/>
      <c r="S70" s="181"/>
      <c r="T70" s="181"/>
      <c r="U70" s="181"/>
      <c r="V70" s="181"/>
      <c r="W70" s="181"/>
      <c r="X70" s="181"/>
      <c r="Y70" s="181"/>
      <c r="Z70" s="181"/>
      <c r="AA70" s="181"/>
      <c r="AB70" s="181"/>
      <c r="AC70" s="181"/>
      <c r="AD70" s="181"/>
      <c r="AE70" s="181"/>
      <c r="AF70" s="181"/>
      <c r="AG70" s="181"/>
      <c r="AH70" s="181"/>
      <c r="AI70" s="181"/>
      <c r="AJ70" s="181"/>
      <c r="AK70" s="181"/>
      <c r="AL70" s="181"/>
      <c r="AM70" s="181"/>
      <c r="AN70" s="181"/>
      <c r="AO70" s="181"/>
      <c r="AP70" s="181"/>
      <c r="AQ70" s="181"/>
      <c r="AR70" s="181"/>
      <c r="AS70" s="181"/>
      <c r="AT70" s="181"/>
      <c r="AU70" s="181"/>
      <c r="AV70" s="181"/>
    </row>
    <row r="71" spans="1:48">
      <c r="A71" s="273"/>
      <c r="B71" s="273"/>
      <c r="C71" s="273"/>
      <c r="D71" s="273"/>
      <c r="E71" s="273"/>
      <c r="F71" s="273"/>
      <c r="G71" s="273"/>
      <c r="H71" s="273"/>
      <c r="I71" s="273"/>
      <c r="J71" s="273"/>
      <c r="K71" s="273"/>
      <c r="L71" s="273"/>
      <c r="M71" s="273"/>
      <c r="N71" s="273"/>
      <c r="O71" s="273"/>
      <c r="P71" s="273"/>
      <c r="Q71" s="273"/>
      <c r="R71" s="273"/>
      <c r="S71" s="181"/>
      <c r="T71" s="181"/>
      <c r="U71" s="181"/>
      <c r="V71" s="181"/>
      <c r="W71" s="181"/>
      <c r="X71" s="181"/>
      <c r="Y71" s="181"/>
      <c r="Z71" s="181"/>
      <c r="AA71" s="181"/>
      <c r="AB71" s="181"/>
      <c r="AC71" s="181"/>
      <c r="AD71" s="181"/>
      <c r="AE71" s="181"/>
      <c r="AF71" s="181"/>
      <c r="AG71" s="181"/>
      <c r="AH71" s="181"/>
      <c r="AI71" s="181"/>
      <c r="AJ71" s="181"/>
      <c r="AK71" s="181"/>
      <c r="AL71" s="181"/>
      <c r="AM71" s="181"/>
      <c r="AN71" s="181"/>
      <c r="AO71" s="181"/>
      <c r="AP71" s="181"/>
      <c r="AQ71" s="181"/>
      <c r="AR71" s="181"/>
      <c r="AS71" s="181"/>
      <c r="AT71" s="181"/>
      <c r="AU71" s="181"/>
      <c r="AV71" s="181"/>
    </row>
    <row r="72" spans="1:48" ht="25.5" customHeight="1">
      <c r="A72" s="273"/>
      <c r="B72" s="274">
        <v>10</v>
      </c>
      <c r="C72" s="333" t="s">
        <v>558</v>
      </c>
      <c r="D72" s="333"/>
      <c r="E72" s="333"/>
      <c r="F72" s="333"/>
      <c r="G72" s="333"/>
      <c r="H72" s="275"/>
      <c r="I72" s="276" t="s">
        <v>547</v>
      </c>
      <c r="J72" s="275"/>
      <c r="K72" s="276" t="s">
        <v>83</v>
      </c>
      <c r="L72" s="273"/>
      <c r="M72" s="273"/>
      <c r="N72" s="273"/>
      <c r="O72" s="273"/>
      <c r="P72" s="273"/>
      <c r="Q72" s="273"/>
      <c r="R72" s="273"/>
      <c r="S72" s="181"/>
      <c r="T72" s="181"/>
      <c r="U72" s="181"/>
      <c r="V72" s="181"/>
      <c r="W72" s="181"/>
      <c r="X72" s="181"/>
      <c r="Y72" s="181"/>
      <c r="Z72" s="181"/>
      <c r="AA72" s="181"/>
      <c r="AB72" s="181"/>
      <c r="AC72" s="181"/>
      <c r="AD72" s="181"/>
      <c r="AE72" s="181"/>
      <c r="AF72" s="181"/>
      <c r="AG72" s="181"/>
      <c r="AH72" s="181"/>
      <c r="AI72" s="181"/>
      <c r="AJ72" s="181"/>
      <c r="AK72" s="181"/>
      <c r="AL72" s="181"/>
      <c r="AM72" s="181"/>
      <c r="AN72" s="181"/>
      <c r="AO72" s="181"/>
      <c r="AP72" s="181"/>
      <c r="AQ72" s="181"/>
      <c r="AR72" s="181"/>
      <c r="AS72" s="181"/>
      <c r="AT72" s="181"/>
      <c r="AU72" s="181"/>
      <c r="AV72" s="181"/>
    </row>
    <row r="73" spans="1:48">
      <c r="A73" s="273"/>
      <c r="B73" s="273"/>
      <c r="C73" s="273"/>
      <c r="D73" s="273"/>
      <c r="E73" s="273"/>
      <c r="F73" s="273"/>
      <c r="G73" s="273"/>
      <c r="H73" s="273"/>
      <c r="I73" s="273"/>
      <c r="J73" s="273"/>
      <c r="K73" s="273"/>
      <c r="L73" s="273"/>
      <c r="M73" s="273"/>
      <c r="N73" s="273"/>
      <c r="O73" s="273"/>
      <c r="P73" s="273"/>
      <c r="Q73" s="273"/>
      <c r="R73" s="273"/>
      <c r="S73" s="181"/>
      <c r="T73" s="181"/>
      <c r="U73" s="181"/>
      <c r="V73" s="181"/>
      <c r="W73" s="181"/>
      <c r="X73" s="181"/>
      <c r="Y73" s="181"/>
      <c r="Z73" s="181"/>
      <c r="AA73" s="181"/>
      <c r="AB73" s="181"/>
      <c r="AC73" s="181"/>
      <c r="AD73" s="181"/>
      <c r="AE73" s="181"/>
      <c r="AF73" s="181"/>
      <c r="AG73" s="181"/>
      <c r="AH73" s="181"/>
      <c r="AI73" s="181"/>
      <c r="AJ73" s="181"/>
      <c r="AK73" s="181"/>
      <c r="AL73" s="181"/>
      <c r="AM73" s="181"/>
      <c r="AN73" s="181"/>
      <c r="AO73" s="181"/>
      <c r="AP73" s="181"/>
      <c r="AQ73" s="181"/>
      <c r="AR73" s="181"/>
      <c r="AS73" s="181"/>
      <c r="AT73" s="181"/>
      <c r="AU73" s="181"/>
      <c r="AV73" s="181"/>
    </row>
    <row r="74" spans="1:48" ht="25.5" customHeight="1">
      <c r="A74" s="273"/>
      <c r="B74" s="274">
        <v>11</v>
      </c>
      <c r="C74" s="333" t="s">
        <v>559</v>
      </c>
      <c r="D74" s="333"/>
      <c r="E74" s="333"/>
      <c r="F74" s="333"/>
      <c r="G74" s="333"/>
      <c r="H74" s="275"/>
      <c r="I74" s="276" t="s">
        <v>531</v>
      </c>
      <c r="J74" s="273"/>
      <c r="K74" s="273"/>
      <c r="L74" s="273"/>
      <c r="M74" s="273"/>
      <c r="N74" s="273"/>
      <c r="O74" s="273"/>
      <c r="P74" s="273"/>
      <c r="Q74" s="273"/>
      <c r="R74" s="273"/>
      <c r="S74" s="181"/>
      <c r="T74" s="181"/>
      <c r="U74" s="181"/>
      <c r="V74" s="181"/>
      <c r="W74" s="181"/>
      <c r="X74" s="181"/>
      <c r="Y74" s="181"/>
      <c r="Z74" s="181"/>
      <c r="AA74" s="181"/>
      <c r="AB74" s="181"/>
      <c r="AC74" s="181"/>
      <c r="AD74" s="181"/>
      <c r="AE74" s="181"/>
      <c r="AF74" s="181"/>
      <c r="AG74" s="181"/>
      <c r="AH74" s="181"/>
      <c r="AI74" s="181"/>
      <c r="AJ74" s="181"/>
      <c r="AK74" s="181"/>
      <c r="AL74" s="181"/>
      <c r="AM74" s="181"/>
      <c r="AN74" s="181"/>
      <c r="AO74" s="181"/>
      <c r="AP74" s="181"/>
      <c r="AQ74" s="181"/>
      <c r="AR74" s="181"/>
      <c r="AS74" s="181"/>
      <c r="AT74" s="181"/>
      <c r="AU74" s="181"/>
      <c r="AV74" s="181"/>
    </row>
    <row r="75" spans="1:48">
      <c r="A75" s="273"/>
      <c r="B75" s="273"/>
      <c r="C75" s="273"/>
      <c r="D75" s="273"/>
      <c r="E75" s="273"/>
      <c r="F75" s="273"/>
      <c r="G75" s="273"/>
      <c r="H75" s="273"/>
      <c r="I75" s="273"/>
      <c r="J75" s="273"/>
      <c r="K75" s="273"/>
      <c r="L75" s="273"/>
      <c r="M75" s="273"/>
      <c r="N75" s="273"/>
      <c r="O75" s="273"/>
      <c r="P75" s="273"/>
      <c r="Q75" s="273"/>
      <c r="R75" s="273"/>
      <c r="S75" s="181"/>
      <c r="T75" s="181"/>
      <c r="U75" s="181"/>
      <c r="V75" s="181"/>
      <c r="W75" s="181"/>
      <c r="X75" s="181"/>
      <c r="Y75" s="181"/>
      <c r="Z75" s="181"/>
      <c r="AA75" s="181"/>
      <c r="AB75" s="181"/>
      <c r="AC75" s="181"/>
      <c r="AD75" s="181"/>
      <c r="AE75" s="181"/>
      <c r="AF75" s="181"/>
      <c r="AG75" s="181"/>
      <c r="AH75" s="181"/>
      <c r="AI75" s="181"/>
      <c r="AJ75" s="181"/>
      <c r="AK75" s="181"/>
      <c r="AL75" s="181"/>
      <c r="AM75" s="181"/>
      <c r="AN75" s="181"/>
      <c r="AO75" s="181"/>
      <c r="AP75" s="181"/>
      <c r="AQ75" s="181"/>
      <c r="AR75" s="181"/>
      <c r="AS75" s="181"/>
      <c r="AT75" s="181"/>
      <c r="AU75" s="181"/>
      <c r="AV75" s="181"/>
    </row>
    <row r="76" spans="1:48" ht="25.5" customHeight="1">
      <c r="A76" s="273"/>
      <c r="B76" s="274">
        <v>12</v>
      </c>
      <c r="C76" s="333" t="s">
        <v>58</v>
      </c>
      <c r="D76" s="333"/>
      <c r="E76" s="333"/>
      <c r="F76" s="333"/>
      <c r="G76" s="333"/>
      <c r="H76" s="275"/>
      <c r="I76" s="277" t="s">
        <v>490</v>
      </c>
      <c r="J76" s="275"/>
      <c r="K76" s="277" t="s">
        <v>532</v>
      </c>
      <c r="L76" s="278"/>
      <c r="M76" s="275"/>
      <c r="N76" s="277" t="s">
        <v>490</v>
      </c>
      <c r="O76" s="275"/>
      <c r="P76" s="277" t="s">
        <v>532</v>
      </c>
      <c r="Q76" s="278"/>
      <c r="R76" s="273"/>
      <c r="S76" s="181"/>
      <c r="T76" s="181"/>
      <c r="U76" s="181"/>
      <c r="V76" s="181"/>
      <c r="W76" s="181"/>
      <c r="X76" s="181"/>
      <c r="Y76" s="181"/>
      <c r="Z76" s="181"/>
      <c r="AA76" s="181"/>
      <c r="AB76" s="181"/>
      <c r="AC76" s="181"/>
      <c r="AD76" s="181"/>
      <c r="AE76" s="181"/>
      <c r="AF76" s="181"/>
      <c r="AG76" s="181"/>
      <c r="AH76" s="181"/>
      <c r="AI76" s="181"/>
      <c r="AJ76" s="181"/>
      <c r="AK76" s="181"/>
      <c r="AL76" s="181"/>
      <c r="AM76" s="181"/>
      <c r="AN76" s="181"/>
      <c r="AO76" s="181"/>
      <c r="AP76" s="181"/>
      <c r="AQ76" s="181"/>
      <c r="AR76" s="181"/>
      <c r="AS76" s="181"/>
      <c r="AT76" s="181"/>
      <c r="AU76" s="181"/>
      <c r="AV76" s="181"/>
    </row>
    <row r="77" spans="1:48">
      <c r="A77" s="273"/>
      <c r="B77" s="273"/>
      <c r="C77" s="273"/>
      <c r="D77" s="273"/>
      <c r="E77" s="273"/>
      <c r="F77" s="273"/>
      <c r="G77" s="273"/>
      <c r="H77" s="273"/>
      <c r="I77" s="273"/>
      <c r="J77" s="273"/>
      <c r="K77" s="273"/>
      <c r="L77" s="273"/>
      <c r="M77" s="273"/>
      <c r="N77" s="273"/>
      <c r="O77" s="273"/>
      <c r="P77" s="273"/>
      <c r="Q77" s="273"/>
      <c r="R77" s="273"/>
      <c r="S77" s="181"/>
      <c r="T77" s="181"/>
      <c r="U77" s="181"/>
      <c r="V77" s="181"/>
      <c r="W77" s="181"/>
      <c r="X77" s="181"/>
      <c r="Y77" s="181"/>
      <c r="Z77" s="181"/>
      <c r="AA77" s="181"/>
      <c r="AB77" s="181"/>
      <c r="AC77" s="181"/>
      <c r="AD77" s="181"/>
      <c r="AE77" s="181"/>
      <c r="AF77" s="181"/>
      <c r="AG77" s="181"/>
      <c r="AH77" s="181"/>
      <c r="AI77" s="181"/>
      <c r="AJ77" s="181"/>
      <c r="AK77" s="181"/>
      <c r="AL77" s="181"/>
      <c r="AM77" s="181"/>
      <c r="AN77" s="181"/>
      <c r="AO77" s="181"/>
      <c r="AP77" s="181"/>
      <c r="AQ77" s="181"/>
      <c r="AR77" s="181"/>
      <c r="AS77" s="181"/>
      <c r="AT77" s="181"/>
      <c r="AU77" s="181"/>
      <c r="AV77" s="181"/>
    </row>
    <row r="78" spans="1:48">
      <c r="A78" s="273"/>
      <c r="B78" s="273"/>
      <c r="C78" s="273"/>
      <c r="D78" s="273"/>
      <c r="E78" s="273"/>
      <c r="F78" s="273"/>
      <c r="G78" s="273"/>
      <c r="H78" s="273"/>
      <c r="I78" s="273"/>
      <c r="J78" s="273"/>
      <c r="K78" s="273"/>
      <c r="L78" s="273"/>
      <c r="M78" s="273"/>
      <c r="N78" s="273"/>
      <c r="O78" s="273"/>
      <c r="P78" s="273"/>
      <c r="Q78" s="273"/>
      <c r="R78" s="273"/>
      <c r="S78" s="181"/>
      <c r="T78" s="181"/>
      <c r="U78" s="181"/>
      <c r="V78" s="181"/>
      <c r="W78" s="181"/>
      <c r="X78" s="181"/>
      <c r="Y78" s="181"/>
      <c r="Z78" s="181"/>
      <c r="AA78" s="181"/>
      <c r="AB78" s="181"/>
      <c r="AC78" s="181"/>
      <c r="AD78" s="181"/>
      <c r="AE78" s="181"/>
      <c r="AF78" s="181"/>
      <c r="AG78" s="181"/>
      <c r="AH78" s="181"/>
      <c r="AI78" s="181"/>
      <c r="AJ78" s="181"/>
      <c r="AK78" s="181"/>
      <c r="AL78" s="181"/>
      <c r="AM78" s="181"/>
      <c r="AN78" s="181"/>
      <c r="AO78" s="181"/>
      <c r="AP78" s="181"/>
      <c r="AQ78" s="181"/>
      <c r="AR78" s="181"/>
      <c r="AS78" s="181"/>
      <c r="AT78" s="181"/>
      <c r="AU78" s="181"/>
      <c r="AV78" s="181"/>
    </row>
    <row r="79" spans="1:48">
      <c r="A79" s="273"/>
      <c r="B79" s="273"/>
      <c r="C79" s="273"/>
      <c r="D79" s="273"/>
      <c r="E79" s="273"/>
      <c r="F79" s="273"/>
      <c r="G79" s="273"/>
      <c r="H79" s="273"/>
      <c r="I79" s="273"/>
      <c r="J79" s="273"/>
      <c r="K79" s="273"/>
      <c r="L79" s="273"/>
      <c r="M79" s="273"/>
      <c r="N79" s="273"/>
      <c r="O79" s="273"/>
      <c r="P79" s="273"/>
      <c r="Q79" s="273"/>
      <c r="R79" s="273"/>
      <c r="S79" s="181"/>
      <c r="T79" s="181"/>
      <c r="U79" s="181"/>
      <c r="V79" s="181"/>
      <c r="W79" s="181"/>
      <c r="X79" s="181"/>
      <c r="Y79" s="181"/>
      <c r="Z79" s="181"/>
      <c r="AA79" s="181"/>
      <c r="AB79" s="181"/>
      <c r="AC79" s="181"/>
      <c r="AD79" s="181"/>
      <c r="AE79" s="181"/>
      <c r="AF79" s="181"/>
      <c r="AG79" s="181"/>
      <c r="AH79" s="181"/>
      <c r="AI79" s="181"/>
      <c r="AJ79" s="181"/>
      <c r="AK79" s="181"/>
      <c r="AL79" s="181"/>
      <c r="AM79" s="181"/>
      <c r="AN79" s="181"/>
      <c r="AO79" s="181"/>
      <c r="AP79" s="181"/>
      <c r="AQ79" s="181"/>
      <c r="AR79" s="181"/>
      <c r="AS79" s="181"/>
      <c r="AT79" s="181"/>
      <c r="AU79" s="181"/>
      <c r="AV79" s="181"/>
    </row>
    <row r="80" spans="1:48">
      <c r="A80" s="273"/>
      <c r="B80" s="273"/>
      <c r="C80" s="273"/>
      <c r="D80" s="273"/>
      <c r="E80" s="273"/>
      <c r="F80" s="273"/>
      <c r="G80" s="273"/>
      <c r="H80" s="273"/>
      <c r="I80" s="273"/>
      <c r="J80" s="273"/>
      <c r="K80" s="273"/>
      <c r="L80" s="273"/>
      <c r="M80" s="273"/>
      <c r="N80" s="273"/>
      <c r="O80" s="273"/>
      <c r="P80" s="273"/>
      <c r="Q80" s="273"/>
      <c r="R80" s="273"/>
      <c r="S80" s="181"/>
      <c r="T80" s="181"/>
      <c r="U80" s="181"/>
      <c r="V80" s="181"/>
      <c r="W80" s="181"/>
      <c r="X80" s="181"/>
      <c r="Y80" s="181"/>
      <c r="Z80" s="181"/>
      <c r="AA80" s="181"/>
      <c r="AB80" s="181"/>
      <c r="AC80" s="181"/>
      <c r="AD80" s="181"/>
      <c r="AE80" s="181"/>
      <c r="AF80" s="181"/>
      <c r="AG80" s="181"/>
      <c r="AH80" s="181"/>
      <c r="AI80" s="181"/>
      <c r="AJ80" s="181"/>
      <c r="AK80" s="181"/>
      <c r="AL80" s="181"/>
      <c r="AM80" s="181"/>
      <c r="AN80" s="181"/>
      <c r="AO80" s="181"/>
      <c r="AP80" s="181"/>
      <c r="AQ80" s="181"/>
      <c r="AR80" s="181"/>
      <c r="AS80" s="181"/>
      <c r="AT80" s="181"/>
      <c r="AU80" s="181"/>
      <c r="AV80" s="181"/>
    </row>
    <row r="81" spans="3:36">
      <c r="C81" s="181"/>
      <c r="D81" s="181"/>
      <c r="E81" s="181"/>
      <c r="F81" s="181"/>
      <c r="G81" s="181"/>
      <c r="H81" s="181"/>
      <c r="I81" s="181"/>
      <c r="J81" s="181"/>
      <c r="K81" s="181"/>
      <c r="L81" s="181"/>
      <c r="M81" s="181"/>
      <c r="N81" s="181"/>
      <c r="O81" s="181"/>
      <c r="P81" s="181"/>
      <c r="Q81" s="181"/>
      <c r="R81" s="181"/>
      <c r="S81" s="181"/>
      <c r="T81" s="181"/>
      <c r="U81" s="181"/>
      <c r="V81" s="181"/>
      <c r="W81" s="181"/>
      <c r="X81" s="181"/>
      <c r="Y81" s="181"/>
      <c r="Z81" s="181"/>
      <c r="AA81" s="181"/>
      <c r="AB81" s="181"/>
      <c r="AC81" s="181"/>
      <c r="AD81" s="181"/>
      <c r="AE81" s="181"/>
      <c r="AF81" s="181"/>
      <c r="AG81" s="181"/>
      <c r="AH81" s="181"/>
      <c r="AI81" s="181"/>
      <c r="AJ81" s="181"/>
    </row>
    <row r="82" spans="3:36">
      <c r="C82" s="181"/>
      <c r="D82" s="181"/>
      <c r="E82" s="181"/>
      <c r="F82" s="181"/>
      <c r="G82" s="181"/>
      <c r="H82" s="181"/>
      <c r="I82" s="181"/>
      <c r="J82" s="181"/>
      <c r="K82" s="181"/>
      <c r="L82" s="181"/>
      <c r="M82" s="181"/>
      <c r="N82" s="181"/>
      <c r="O82" s="181"/>
      <c r="P82" s="181"/>
      <c r="Q82" s="181"/>
      <c r="R82" s="181"/>
      <c r="S82" s="181"/>
      <c r="T82" s="181"/>
      <c r="U82" s="181"/>
      <c r="V82" s="181"/>
      <c r="W82" s="181"/>
      <c r="X82" s="181"/>
      <c r="Y82" s="181"/>
      <c r="Z82" s="181"/>
      <c r="AA82" s="181"/>
      <c r="AB82" s="181"/>
      <c r="AC82" s="181"/>
      <c r="AD82" s="181"/>
      <c r="AE82" s="181"/>
      <c r="AF82" s="181"/>
      <c r="AG82" s="181"/>
      <c r="AH82" s="181"/>
      <c r="AI82" s="181"/>
      <c r="AJ82" s="181"/>
    </row>
    <row r="83" spans="3:36">
      <c r="C83" s="181"/>
      <c r="D83" s="181"/>
      <c r="E83" s="181"/>
      <c r="F83" s="181"/>
      <c r="G83" s="181"/>
      <c r="H83" s="181"/>
      <c r="I83" s="181"/>
      <c r="J83" s="181"/>
      <c r="K83" s="181"/>
      <c r="L83" s="181"/>
      <c r="M83" s="181"/>
      <c r="N83" s="181"/>
      <c r="O83" s="181"/>
      <c r="P83" s="181"/>
      <c r="Q83" s="181"/>
      <c r="R83" s="181"/>
      <c r="S83" s="181"/>
      <c r="T83" s="181"/>
      <c r="U83" s="181"/>
      <c r="V83" s="181"/>
      <c r="W83" s="181"/>
      <c r="X83" s="181"/>
      <c r="Y83" s="181"/>
      <c r="Z83" s="181"/>
      <c r="AA83" s="181"/>
      <c r="AB83" s="181"/>
      <c r="AC83" s="181"/>
      <c r="AD83" s="181"/>
      <c r="AE83" s="181"/>
      <c r="AF83" s="181"/>
      <c r="AG83" s="181"/>
      <c r="AH83" s="181"/>
      <c r="AI83" s="181"/>
      <c r="AJ83" s="181"/>
    </row>
    <row r="84" spans="3:36">
      <c r="C84" s="181"/>
      <c r="D84" s="181"/>
      <c r="E84" s="181"/>
      <c r="F84" s="181"/>
      <c r="G84" s="181"/>
      <c r="H84" s="181"/>
      <c r="I84" s="181"/>
      <c r="J84" s="181"/>
      <c r="K84" s="181"/>
      <c r="L84" s="181"/>
      <c r="M84" s="181"/>
      <c r="N84" s="181"/>
      <c r="O84" s="181"/>
      <c r="P84" s="181"/>
      <c r="Q84" s="181"/>
      <c r="R84" s="181"/>
      <c r="S84" s="181"/>
      <c r="T84" s="181"/>
      <c r="U84" s="181"/>
      <c r="V84" s="181"/>
      <c r="W84" s="181"/>
      <c r="X84" s="181"/>
      <c r="Y84" s="181"/>
      <c r="Z84" s="181"/>
      <c r="AA84" s="181"/>
      <c r="AB84" s="181"/>
      <c r="AC84" s="181"/>
      <c r="AD84" s="181"/>
      <c r="AE84" s="181"/>
      <c r="AF84" s="181"/>
      <c r="AG84" s="181"/>
      <c r="AH84" s="181"/>
      <c r="AI84" s="181"/>
      <c r="AJ84" s="181"/>
    </row>
    <row r="85" spans="3:36">
      <c r="C85" s="181"/>
      <c r="D85" s="181"/>
      <c r="E85" s="181"/>
      <c r="F85" s="181"/>
      <c r="G85" s="181"/>
      <c r="H85" s="181"/>
      <c r="I85" s="181"/>
      <c r="J85" s="181"/>
      <c r="K85" s="181"/>
      <c r="L85" s="181"/>
      <c r="M85" s="181"/>
      <c r="N85" s="181"/>
      <c r="O85" s="181"/>
      <c r="P85" s="181"/>
      <c r="Q85" s="181"/>
      <c r="R85" s="181"/>
      <c r="S85" s="181"/>
      <c r="T85" s="181"/>
      <c r="U85" s="181"/>
      <c r="V85" s="181"/>
      <c r="W85" s="181"/>
      <c r="X85" s="181"/>
      <c r="Y85" s="181"/>
      <c r="Z85" s="181"/>
      <c r="AA85" s="181"/>
      <c r="AB85" s="181"/>
      <c r="AC85" s="181"/>
      <c r="AD85" s="181"/>
      <c r="AE85" s="181"/>
      <c r="AF85" s="181"/>
      <c r="AG85" s="181"/>
      <c r="AH85" s="181"/>
      <c r="AI85" s="181"/>
      <c r="AJ85" s="181"/>
    </row>
    <row r="86" spans="3:36">
      <c r="C86" s="181"/>
      <c r="D86" s="181"/>
      <c r="E86" s="181"/>
      <c r="F86" s="181"/>
      <c r="G86" s="181"/>
      <c r="H86" s="181"/>
      <c r="I86" s="181"/>
      <c r="J86" s="181"/>
      <c r="K86" s="181"/>
      <c r="L86" s="181"/>
      <c r="M86" s="181"/>
      <c r="N86" s="181"/>
      <c r="O86" s="181"/>
      <c r="P86" s="181"/>
      <c r="Q86" s="181"/>
      <c r="R86" s="181"/>
      <c r="S86" s="181"/>
      <c r="T86" s="181"/>
      <c r="U86" s="181"/>
      <c r="V86" s="181"/>
      <c r="W86" s="181"/>
      <c r="X86" s="181"/>
      <c r="Y86" s="181"/>
      <c r="Z86" s="181"/>
      <c r="AA86" s="181"/>
      <c r="AB86" s="181"/>
      <c r="AC86" s="181"/>
      <c r="AD86" s="181"/>
      <c r="AE86" s="181"/>
      <c r="AF86" s="181"/>
      <c r="AG86" s="181"/>
      <c r="AH86" s="181"/>
      <c r="AI86" s="181"/>
      <c r="AJ86" s="181"/>
    </row>
    <row r="87" spans="3:36">
      <c r="C87" s="181"/>
      <c r="D87" s="181"/>
      <c r="E87" s="181"/>
      <c r="F87" s="181"/>
      <c r="G87" s="181"/>
      <c r="H87" s="181"/>
      <c r="I87" s="181"/>
      <c r="J87" s="181"/>
      <c r="K87" s="181"/>
      <c r="L87" s="181"/>
      <c r="M87" s="181"/>
      <c r="N87" s="181"/>
      <c r="O87" s="181"/>
      <c r="P87" s="181"/>
      <c r="Q87" s="181"/>
      <c r="R87" s="181"/>
      <c r="S87" s="181"/>
      <c r="T87" s="181"/>
      <c r="U87" s="181"/>
      <c r="V87" s="181"/>
      <c r="W87" s="181"/>
      <c r="X87" s="181"/>
      <c r="Y87" s="181"/>
      <c r="Z87" s="181"/>
      <c r="AA87" s="181"/>
      <c r="AB87" s="181"/>
      <c r="AC87" s="181"/>
      <c r="AD87" s="181"/>
      <c r="AE87" s="181"/>
      <c r="AF87" s="181"/>
      <c r="AG87" s="181"/>
      <c r="AH87" s="181"/>
      <c r="AI87" s="181"/>
      <c r="AJ87" s="181"/>
    </row>
    <row r="88" spans="3:36">
      <c r="C88" s="181"/>
      <c r="D88" s="181"/>
      <c r="E88" s="181"/>
      <c r="F88" s="181"/>
      <c r="G88" s="181"/>
      <c r="H88" s="181"/>
      <c r="I88" s="181"/>
      <c r="J88" s="181"/>
      <c r="K88" s="181"/>
      <c r="L88" s="181"/>
      <c r="M88" s="181"/>
      <c r="N88" s="181"/>
      <c r="O88" s="181"/>
      <c r="P88" s="181"/>
      <c r="Q88" s="181"/>
      <c r="R88" s="181"/>
      <c r="S88" s="181"/>
      <c r="T88" s="181"/>
      <c r="U88" s="181"/>
      <c r="V88" s="181"/>
      <c r="W88" s="181"/>
      <c r="X88" s="181"/>
      <c r="Y88" s="181"/>
      <c r="Z88" s="181"/>
      <c r="AA88" s="181"/>
      <c r="AB88" s="181"/>
      <c r="AC88" s="181"/>
      <c r="AD88" s="181"/>
      <c r="AE88" s="181"/>
      <c r="AF88" s="181"/>
      <c r="AG88" s="181"/>
      <c r="AH88" s="181"/>
      <c r="AI88" s="181"/>
      <c r="AJ88" s="181"/>
    </row>
    <row r="89" spans="3:36">
      <c r="C89" s="181"/>
      <c r="D89" s="181"/>
      <c r="E89" s="181"/>
      <c r="F89" s="181"/>
      <c r="G89" s="181"/>
      <c r="H89" s="181"/>
      <c r="I89" s="181"/>
      <c r="J89" s="181"/>
      <c r="K89" s="181"/>
      <c r="L89" s="181"/>
      <c r="M89" s="181"/>
      <c r="N89" s="181"/>
      <c r="O89" s="181"/>
      <c r="P89" s="181"/>
      <c r="Q89" s="181"/>
      <c r="R89" s="181"/>
      <c r="S89" s="181"/>
      <c r="T89" s="181"/>
      <c r="U89" s="181"/>
      <c r="V89" s="181"/>
      <c r="W89" s="181"/>
      <c r="X89" s="181"/>
      <c r="Y89" s="181"/>
      <c r="Z89" s="181"/>
      <c r="AA89" s="181"/>
      <c r="AB89" s="181"/>
      <c r="AC89" s="181"/>
      <c r="AD89" s="181"/>
      <c r="AE89" s="181"/>
      <c r="AF89" s="181"/>
      <c r="AG89" s="181"/>
      <c r="AH89" s="181"/>
      <c r="AI89" s="181"/>
      <c r="AJ89" s="181"/>
    </row>
    <row r="90" spans="3:36">
      <c r="C90" s="181"/>
      <c r="D90" s="181"/>
      <c r="E90" s="181"/>
      <c r="F90" s="181"/>
      <c r="G90" s="181"/>
      <c r="H90" s="181"/>
      <c r="I90" s="181"/>
      <c r="J90" s="181"/>
      <c r="K90" s="181"/>
      <c r="L90" s="181"/>
      <c r="M90" s="181"/>
      <c r="N90" s="181"/>
      <c r="O90" s="181"/>
      <c r="P90" s="181"/>
      <c r="Q90" s="181"/>
      <c r="R90" s="181"/>
      <c r="S90" s="181"/>
      <c r="T90" s="181"/>
      <c r="U90" s="181"/>
      <c r="V90" s="181"/>
      <c r="W90" s="181"/>
      <c r="X90" s="181"/>
      <c r="Y90" s="181"/>
      <c r="Z90" s="181"/>
      <c r="AA90" s="181"/>
      <c r="AB90" s="181"/>
      <c r="AC90" s="181"/>
      <c r="AD90" s="181"/>
      <c r="AE90" s="181"/>
      <c r="AF90" s="181"/>
      <c r="AG90" s="181"/>
      <c r="AH90" s="181"/>
      <c r="AI90" s="181"/>
      <c r="AJ90" s="181"/>
    </row>
    <row r="91" spans="3:36">
      <c r="C91" s="181"/>
      <c r="D91" s="181"/>
      <c r="E91" s="181"/>
      <c r="F91" s="181"/>
      <c r="G91" s="181"/>
      <c r="H91" s="181"/>
      <c r="I91" s="181"/>
      <c r="J91" s="181"/>
      <c r="K91" s="181"/>
      <c r="L91" s="181"/>
      <c r="M91" s="181"/>
      <c r="N91" s="181"/>
      <c r="O91" s="181"/>
      <c r="P91" s="181"/>
      <c r="Q91" s="181"/>
      <c r="R91" s="181"/>
      <c r="S91" s="181"/>
      <c r="T91" s="181"/>
      <c r="U91" s="181"/>
      <c r="V91" s="181"/>
      <c r="W91" s="181"/>
      <c r="X91" s="181"/>
      <c r="Y91" s="181"/>
      <c r="Z91" s="181"/>
      <c r="AA91" s="181"/>
      <c r="AB91" s="181"/>
      <c r="AC91" s="181"/>
      <c r="AD91" s="181"/>
      <c r="AE91" s="181"/>
      <c r="AF91" s="181"/>
      <c r="AG91" s="181"/>
      <c r="AH91" s="181"/>
      <c r="AI91" s="181"/>
      <c r="AJ91" s="181"/>
    </row>
    <row r="92" spans="3:36">
      <c r="C92" s="181"/>
      <c r="D92" s="181"/>
      <c r="E92" s="181"/>
      <c r="F92" s="181"/>
      <c r="G92" s="181"/>
      <c r="H92" s="181"/>
      <c r="I92" s="181"/>
      <c r="J92" s="181"/>
      <c r="K92" s="181"/>
      <c r="L92" s="181"/>
      <c r="M92" s="181"/>
      <c r="N92" s="181"/>
      <c r="O92" s="181"/>
      <c r="P92" s="181"/>
      <c r="Q92" s="181"/>
      <c r="R92" s="181"/>
      <c r="S92" s="181"/>
      <c r="T92" s="181"/>
      <c r="U92" s="181"/>
      <c r="V92" s="181"/>
      <c r="W92" s="181"/>
      <c r="X92" s="181"/>
      <c r="Y92" s="181"/>
      <c r="Z92" s="181"/>
      <c r="AA92" s="181"/>
      <c r="AB92" s="181"/>
      <c r="AC92" s="181"/>
      <c r="AD92" s="181"/>
      <c r="AE92" s="181"/>
      <c r="AF92" s="181"/>
      <c r="AG92" s="181"/>
      <c r="AH92" s="181"/>
      <c r="AI92" s="181"/>
      <c r="AJ92" s="181"/>
    </row>
    <row r="93" spans="3:36">
      <c r="C93" s="181"/>
      <c r="D93" s="181"/>
      <c r="E93" s="181"/>
      <c r="F93" s="181"/>
      <c r="G93" s="181"/>
      <c r="H93" s="181"/>
      <c r="I93" s="181"/>
      <c r="J93" s="181"/>
      <c r="K93" s="181"/>
      <c r="L93" s="181"/>
      <c r="M93" s="181"/>
      <c r="N93" s="181"/>
      <c r="O93" s="181"/>
      <c r="P93" s="181"/>
      <c r="Q93" s="181"/>
      <c r="R93" s="181"/>
      <c r="S93" s="181"/>
      <c r="T93" s="181"/>
      <c r="U93" s="181"/>
      <c r="V93" s="181"/>
      <c r="W93" s="181"/>
      <c r="X93" s="181"/>
      <c r="Y93" s="181"/>
      <c r="Z93" s="181"/>
      <c r="AA93" s="181"/>
      <c r="AB93" s="181"/>
      <c r="AC93" s="181"/>
      <c r="AD93" s="181"/>
      <c r="AE93" s="181"/>
      <c r="AF93" s="181"/>
      <c r="AG93" s="181"/>
      <c r="AH93" s="181"/>
      <c r="AI93" s="181"/>
      <c r="AJ93" s="181"/>
    </row>
    <row r="94" spans="3:36">
      <c r="C94" s="181"/>
      <c r="D94" s="181"/>
      <c r="E94" s="181"/>
      <c r="F94" s="181"/>
      <c r="G94" s="181"/>
      <c r="H94" s="181"/>
      <c r="I94" s="181"/>
      <c r="J94" s="181"/>
      <c r="K94" s="181"/>
      <c r="L94" s="181"/>
      <c r="M94" s="181"/>
      <c r="N94" s="181"/>
      <c r="O94" s="181"/>
      <c r="P94" s="181"/>
      <c r="Q94" s="181"/>
      <c r="R94" s="181"/>
      <c r="S94" s="181"/>
      <c r="T94" s="181"/>
      <c r="U94" s="181"/>
      <c r="V94" s="181"/>
      <c r="W94" s="181"/>
      <c r="X94" s="181"/>
      <c r="Y94" s="181"/>
      <c r="Z94" s="181"/>
      <c r="AA94" s="181"/>
      <c r="AB94" s="181"/>
      <c r="AC94" s="181"/>
      <c r="AD94" s="181"/>
      <c r="AE94" s="181"/>
      <c r="AF94" s="181"/>
      <c r="AG94" s="181"/>
      <c r="AH94" s="181"/>
      <c r="AI94" s="181"/>
      <c r="AJ94" s="181"/>
    </row>
    <row r="95" spans="3:36">
      <c r="C95" s="181"/>
      <c r="D95" s="181"/>
      <c r="E95" s="181"/>
      <c r="F95" s="181"/>
      <c r="G95" s="181"/>
      <c r="H95" s="181"/>
      <c r="I95" s="181"/>
      <c r="J95" s="181"/>
      <c r="K95" s="181"/>
      <c r="L95" s="181"/>
      <c r="M95" s="181"/>
      <c r="N95" s="181"/>
      <c r="O95" s="181"/>
      <c r="P95" s="181"/>
      <c r="Q95" s="181"/>
      <c r="R95" s="181"/>
      <c r="S95" s="181"/>
      <c r="T95" s="181"/>
      <c r="U95" s="181"/>
      <c r="V95" s="181"/>
      <c r="W95" s="181"/>
      <c r="X95" s="181"/>
      <c r="Y95" s="181"/>
      <c r="Z95" s="181"/>
      <c r="AA95" s="181"/>
      <c r="AB95" s="181"/>
      <c r="AC95" s="181"/>
      <c r="AD95" s="181"/>
      <c r="AE95" s="181"/>
      <c r="AF95" s="181"/>
      <c r="AG95" s="181"/>
      <c r="AH95" s="181"/>
      <c r="AI95" s="181"/>
      <c r="AJ95" s="181"/>
    </row>
    <row r="96" spans="3:36">
      <c r="C96" s="181"/>
      <c r="D96" s="181"/>
      <c r="E96" s="181"/>
      <c r="F96" s="181"/>
      <c r="G96" s="181"/>
      <c r="H96" s="181"/>
      <c r="I96" s="181"/>
      <c r="J96" s="181"/>
      <c r="K96" s="181"/>
      <c r="L96" s="181"/>
      <c r="M96" s="181"/>
      <c r="N96" s="181"/>
      <c r="O96" s="181"/>
      <c r="P96" s="181"/>
      <c r="Q96" s="181"/>
      <c r="R96" s="181"/>
      <c r="S96" s="181"/>
      <c r="T96" s="181"/>
      <c r="U96" s="181"/>
      <c r="V96" s="181"/>
      <c r="W96" s="181"/>
      <c r="X96" s="181"/>
      <c r="Y96" s="181"/>
      <c r="Z96" s="181"/>
      <c r="AA96" s="181"/>
      <c r="AB96" s="181"/>
      <c r="AC96" s="181"/>
      <c r="AD96" s="181"/>
      <c r="AE96" s="181"/>
      <c r="AF96" s="181"/>
      <c r="AG96" s="181"/>
      <c r="AH96" s="181"/>
      <c r="AI96" s="181"/>
      <c r="AJ96" s="181"/>
    </row>
    <row r="97" spans="3:36">
      <c r="C97" s="181"/>
      <c r="D97" s="181"/>
      <c r="E97" s="181"/>
      <c r="F97" s="181"/>
      <c r="G97" s="181"/>
      <c r="H97" s="181"/>
      <c r="I97" s="181"/>
      <c r="J97" s="181"/>
      <c r="K97" s="181"/>
      <c r="L97" s="181"/>
      <c r="M97" s="181"/>
      <c r="N97" s="181"/>
      <c r="O97" s="181"/>
      <c r="P97" s="181"/>
      <c r="Q97" s="181"/>
      <c r="R97" s="181"/>
      <c r="S97" s="181"/>
      <c r="T97" s="181"/>
      <c r="U97" s="181"/>
      <c r="V97" s="181"/>
      <c r="W97" s="181"/>
      <c r="X97" s="181"/>
      <c r="Y97" s="181"/>
      <c r="Z97" s="181"/>
      <c r="AA97" s="181"/>
      <c r="AB97" s="181"/>
      <c r="AC97" s="181"/>
      <c r="AD97" s="181"/>
      <c r="AE97" s="181"/>
      <c r="AF97" s="181"/>
      <c r="AG97" s="181"/>
      <c r="AH97" s="181"/>
      <c r="AI97" s="181"/>
      <c r="AJ97" s="181"/>
    </row>
    <row r="98" spans="3:36">
      <c r="C98" s="181"/>
      <c r="D98" s="181"/>
      <c r="E98" s="181"/>
      <c r="F98" s="181"/>
      <c r="G98" s="181"/>
      <c r="H98" s="181"/>
      <c r="I98" s="181"/>
      <c r="J98" s="181"/>
      <c r="K98" s="181"/>
      <c r="L98" s="181"/>
      <c r="M98" s="181"/>
      <c r="N98" s="181"/>
      <c r="O98" s="181"/>
      <c r="P98" s="181"/>
      <c r="Q98" s="181"/>
      <c r="R98" s="181"/>
      <c r="S98" s="181"/>
      <c r="T98" s="181"/>
      <c r="U98" s="181"/>
      <c r="V98" s="181"/>
      <c r="W98" s="181"/>
      <c r="X98" s="181"/>
      <c r="Y98" s="181"/>
      <c r="Z98" s="181"/>
      <c r="AA98" s="181"/>
      <c r="AB98" s="181"/>
      <c r="AC98" s="181"/>
      <c r="AD98" s="181"/>
      <c r="AE98" s="181"/>
      <c r="AF98" s="181"/>
      <c r="AG98" s="181"/>
      <c r="AH98" s="181"/>
      <c r="AI98" s="181"/>
      <c r="AJ98" s="181"/>
    </row>
    <row r="99" spans="3:36">
      <c r="C99" s="181"/>
      <c r="D99" s="181"/>
      <c r="E99" s="181"/>
      <c r="F99" s="181"/>
      <c r="G99" s="181"/>
      <c r="H99" s="181"/>
      <c r="I99" s="181"/>
      <c r="J99" s="181"/>
      <c r="K99" s="181"/>
      <c r="L99" s="181"/>
      <c r="M99" s="181"/>
      <c r="N99" s="181"/>
      <c r="O99" s="181"/>
      <c r="P99" s="181"/>
      <c r="Q99" s="181"/>
      <c r="R99" s="181"/>
      <c r="S99" s="181"/>
      <c r="T99" s="181"/>
      <c r="U99" s="181"/>
      <c r="V99" s="181"/>
      <c r="W99" s="181"/>
      <c r="X99" s="181"/>
      <c r="Y99" s="181"/>
      <c r="Z99" s="181"/>
      <c r="AA99" s="181"/>
      <c r="AB99" s="181"/>
      <c r="AC99" s="181"/>
      <c r="AD99" s="181"/>
      <c r="AE99" s="181"/>
      <c r="AF99" s="181"/>
      <c r="AG99" s="181"/>
      <c r="AH99" s="181"/>
      <c r="AI99" s="181"/>
      <c r="AJ99" s="181"/>
    </row>
    <row r="100" spans="3:36">
      <c r="C100" s="181"/>
      <c r="D100" s="181"/>
      <c r="E100" s="181"/>
      <c r="F100" s="181"/>
      <c r="G100" s="181"/>
      <c r="H100" s="181"/>
      <c r="I100" s="181"/>
      <c r="J100" s="181"/>
      <c r="K100" s="181"/>
      <c r="L100" s="181"/>
      <c r="M100" s="181"/>
      <c r="N100" s="181"/>
      <c r="O100" s="181"/>
      <c r="P100" s="181"/>
      <c r="Q100" s="181"/>
      <c r="R100" s="181"/>
      <c r="S100" s="181"/>
      <c r="T100" s="181"/>
      <c r="U100" s="181"/>
      <c r="V100" s="181"/>
      <c r="W100" s="181"/>
      <c r="X100" s="181"/>
      <c r="Y100" s="181"/>
      <c r="Z100" s="181"/>
      <c r="AA100" s="181"/>
      <c r="AB100" s="181"/>
      <c r="AC100" s="181"/>
      <c r="AD100" s="181"/>
      <c r="AE100" s="181"/>
      <c r="AF100" s="181"/>
      <c r="AG100" s="181"/>
      <c r="AH100" s="181"/>
      <c r="AI100" s="181"/>
      <c r="AJ100" s="181"/>
    </row>
    <row r="101" spans="3:36">
      <c r="C101" s="181"/>
      <c r="D101" s="181"/>
      <c r="E101" s="181"/>
      <c r="F101" s="181"/>
      <c r="G101" s="181"/>
      <c r="H101" s="181"/>
      <c r="I101" s="181"/>
      <c r="J101" s="181"/>
      <c r="K101" s="181"/>
      <c r="L101" s="181"/>
      <c r="M101" s="181"/>
      <c r="N101" s="181"/>
      <c r="O101" s="181"/>
      <c r="P101" s="181"/>
      <c r="Q101" s="181"/>
      <c r="R101" s="181"/>
      <c r="S101" s="181"/>
      <c r="T101" s="181"/>
      <c r="U101" s="181"/>
      <c r="V101" s="181"/>
      <c r="W101" s="181"/>
      <c r="X101" s="181"/>
      <c r="Y101" s="181"/>
      <c r="Z101" s="181"/>
      <c r="AA101" s="181"/>
      <c r="AB101" s="181"/>
      <c r="AC101" s="181"/>
      <c r="AD101" s="181"/>
      <c r="AE101" s="181"/>
      <c r="AF101" s="181"/>
      <c r="AG101" s="181"/>
      <c r="AH101" s="181"/>
      <c r="AI101" s="181"/>
      <c r="AJ101" s="181"/>
    </row>
    <row r="102" spans="3:36">
      <c r="C102" s="181"/>
      <c r="D102" s="181"/>
      <c r="E102" s="181"/>
      <c r="F102" s="181"/>
      <c r="G102" s="181"/>
      <c r="H102" s="181"/>
      <c r="I102" s="181"/>
      <c r="J102" s="181"/>
      <c r="K102" s="181"/>
      <c r="L102" s="181"/>
      <c r="M102" s="181"/>
      <c r="N102" s="181"/>
      <c r="O102" s="181"/>
      <c r="P102" s="181"/>
      <c r="Q102" s="181"/>
      <c r="R102" s="181"/>
      <c r="S102" s="181"/>
      <c r="T102" s="181"/>
      <c r="U102" s="181"/>
      <c r="V102" s="181"/>
      <c r="W102" s="181"/>
      <c r="X102" s="181"/>
      <c r="Y102" s="181"/>
      <c r="Z102" s="181"/>
      <c r="AA102" s="181"/>
      <c r="AB102" s="181"/>
      <c r="AC102" s="181"/>
      <c r="AD102" s="181"/>
      <c r="AE102" s="181"/>
      <c r="AF102" s="181"/>
      <c r="AG102" s="181"/>
      <c r="AH102" s="181"/>
      <c r="AI102" s="181"/>
      <c r="AJ102" s="181"/>
    </row>
    <row r="103" spans="3:36">
      <c r="C103" s="181"/>
      <c r="D103" s="181"/>
      <c r="E103" s="181"/>
      <c r="F103" s="181"/>
      <c r="G103" s="181"/>
      <c r="H103" s="181"/>
      <c r="I103" s="181"/>
      <c r="J103" s="181"/>
      <c r="K103" s="181"/>
      <c r="L103" s="181"/>
      <c r="M103" s="181"/>
      <c r="N103" s="181"/>
      <c r="O103" s="181"/>
      <c r="P103" s="181"/>
      <c r="Q103" s="181"/>
      <c r="R103" s="181"/>
      <c r="S103" s="181"/>
      <c r="T103" s="181"/>
      <c r="U103" s="181"/>
      <c r="V103" s="181"/>
      <c r="W103" s="181"/>
      <c r="X103" s="181"/>
      <c r="Y103" s="181"/>
      <c r="Z103" s="181"/>
      <c r="AA103" s="181"/>
      <c r="AB103" s="181"/>
      <c r="AC103" s="181"/>
      <c r="AD103" s="181"/>
      <c r="AE103" s="181"/>
      <c r="AF103" s="181"/>
      <c r="AG103" s="181"/>
      <c r="AH103" s="181"/>
      <c r="AI103" s="181"/>
      <c r="AJ103" s="181"/>
    </row>
    <row r="104" spans="3:36">
      <c r="C104" s="181"/>
      <c r="D104" s="181"/>
      <c r="E104" s="181"/>
      <c r="F104" s="181"/>
      <c r="G104" s="181"/>
      <c r="H104" s="181"/>
      <c r="I104" s="181"/>
      <c r="J104" s="181"/>
      <c r="K104" s="181"/>
      <c r="L104" s="181"/>
      <c r="M104" s="181"/>
      <c r="N104" s="181"/>
      <c r="O104" s="181"/>
      <c r="P104" s="181"/>
      <c r="Q104" s="181"/>
      <c r="R104" s="181"/>
      <c r="S104" s="181"/>
      <c r="T104" s="181"/>
      <c r="U104" s="181"/>
      <c r="V104" s="181"/>
      <c r="W104" s="181"/>
      <c r="X104" s="181"/>
      <c r="Y104" s="181"/>
      <c r="Z104" s="181"/>
      <c r="AA104" s="181"/>
      <c r="AB104" s="181"/>
      <c r="AC104" s="181"/>
      <c r="AD104" s="181"/>
      <c r="AE104" s="181"/>
      <c r="AF104" s="181"/>
      <c r="AG104" s="181"/>
      <c r="AH104" s="181"/>
      <c r="AI104" s="181"/>
      <c r="AJ104" s="181"/>
    </row>
    <row r="105" spans="3:36">
      <c r="C105" s="181"/>
      <c r="D105" s="181"/>
      <c r="E105" s="181"/>
      <c r="F105" s="181"/>
      <c r="G105" s="181"/>
      <c r="H105" s="181"/>
      <c r="I105" s="181"/>
      <c r="J105" s="181"/>
      <c r="K105" s="181"/>
      <c r="L105" s="181"/>
      <c r="M105" s="181"/>
      <c r="N105" s="181"/>
      <c r="O105" s="181"/>
      <c r="P105" s="181"/>
      <c r="Q105" s="181"/>
      <c r="R105" s="181"/>
      <c r="S105" s="181"/>
      <c r="T105" s="181"/>
      <c r="U105" s="181"/>
      <c r="V105" s="181"/>
      <c r="W105" s="181"/>
      <c r="X105" s="181"/>
      <c r="Y105" s="181"/>
      <c r="Z105" s="181"/>
      <c r="AA105" s="181"/>
      <c r="AB105" s="181"/>
      <c r="AC105" s="181"/>
      <c r="AD105" s="181"/>
      <c r="AE105" s="181"/>
      <c r="AF105" s="181"/>
      <c r="AG105" s="181"/>
      <c r="AH105" s="181"/>
      <c r="AI105" s="181"/>
      <c r="AJ105" s="181"/>
    </row>
    <row r="106" spans="3:36">
      <c r="C106" s="181"/>
      <c r="D106" s="181"/>
      <c r="E106" s="181"/>
      <c r="F106" s="181"/>
      <c r="G106" s="181"/>
      <c r="H106" s="181"/>
      <c r="I106" s="181"/>
      <c r="J106" s="181"/>
      <c r="K106" s="181"/>
      <c r="L106" s="181"/>
      <c r="M106" s="181"/>
      <c r="N106" s="181"/>
      <c r="O106" s="181"/>
      <c r="P106" s="181"/>
      <c r="Q106" s="181"/>
      <c r="R106" s="181"/>
      <c r="S106" s="181"/>
      <c r="T106" s="181"/>
      <c r="U106" s="181"/>
      <c r="V106" s="181"/>
      <c r="W106" s="181"/>
      <c r="X106" s="181"/>
      <c r="Y106" s="181"/>
      <c r="Z106" s="181"/>
      <c r="AA106" s="181"/>
      <c r="AB106" s="181"/>
      <c r="AC106" s="181"/>
      <c r="AD106" s="181"/>
      <c r="AE106" s="181"/>
      <c r="AF106" s="181"/>
      <c r="AG106" s="181"/>
      <c r="AH106" s="181"/>
      <c r="AI106" s="181"/>
      <c r="AJ106" s="181"/>
    </row>
    <row r="107" spans="3:36">
      <c r="C107" s="181"/>
      <c r="D107" s="181"/>
      <c r="E107" s="181"/>
      <c r="F107" s="181"/>
      <c r="G107" s="181"/>
      <c r="H107" s="181"/>
      <c r="I107" s="181"/>
      <c r="J107" s="181"/>
      <c r="K107" s="181"/>
      <c r="L107" s="181"/>
      <c r="M107" s="181"/>
      <c r="N107" s="181"/>
      <c r="O107" s="181"/>
      <c r="P107" s="181"/>
      <c r="Q107" s="181"/>
      <c r="R107" s="181"/>
      <c r="S107" s="181"/>
      <c r="T107" s="181"/>
      <c r="U107" s="181"/>
      <c r="V107" s="181"/>
      <c r="W107" s="181"/>
      <c r="X107" s="181"/>
      <c r="Y107" s="181"/>
      <c r="Z107" s="181"/>
      <c r="AA107" s="181"/>
      <c r="AB107" s="181"/>
      <c r="AC107" s="181"/>
      <c r="AD107" s="181"/>
      <c r="AE107" s="181"/>
      <c r="AF107" s="181"/>
      <c r="AG107" s="181"/>
      <c r="AH107" s="181"/>
      <c r="AI107" s="181"/>
      <c r="AJ107" s="181"/>
    </row>
    <row r="108" spans="3:36">
      <c r="C108" s="181"/>
      <c r="D108" s="181"/>
      <c r="E108" s="181"/>
      <c r="F108" s="181"/>
      <c r="G108" s="181"/>
      <c r="H108" s="181"/>
      <c r="I108" s="181"/>
      <c r="J108" s="181"/>
      <c r="K108" s="181"/>
      <c r="L108" s="181"/>
      <c r="M108" s="181"/>
      <c r="N108" s="181"/>
      <c r="O108" s="181"/>
      <c r="P108" s="181"/>
      <c r="Q108" s="181"/>
      <c r="R108" s="181"/>
      <c r="S108" s="181"/>
      <c r="T108" s="181"/>
      <c r="U108" s="181"/>
      <c r="V108" s="181"/>
      <c r="W108" s="181"/>
      <c r="X108" s="181"/>
      <c r="Y108" s="181"/>
      <c r="Z108" s="181"/>
      <c r="AA108" s="181"/>
      <c r="AB108" s="181"/>
      <c r="AC108" s="181"/>
      <c r="AD108" s="181"/>
      <c r="AE108" s="181"/>
      <c r="AF108" s="181"/>
      <c r="AG108" s="181"/>
      <c r="AH108" s="181"/>
      <c r="AI108" s="181"/>
      <c r="AJ108" s="181"/>
    </row>
    <row r="109" spans="3:36">
      <c r="C109" s="181"/>
      <c r="D109" s="181"/>
      <c r="E109" s="181"/>
      <c r="F109" s="181"/>
      <c r="G109" s="181"/>
      <c r="H109" s="181"/>
      <c r="I109" s="181"/>
      <c r="J109" s="181"/>
      <c r="K109" s="181"/>
      <c r="L109" s="181"/>
      <c r="M109" s="181"/>
      <c r="N109" s="181"/>
      <c r="O109" s="181"/>
      <c r="P109" s="181"/>
      <c r="Q109" s="181"/>
      <c r="R109" s="181"/>
      <c r="S109" s="181"/>
      <c r="T109" s="181"/>
      <c r="U109" s="181"/>
      <c r="V109" s="181"/>
      <c r="W109" s="181"/>
      <c r="X109" s="181"/>
      <c r="Y109" s="181"/>
      <c r="Z109" s="181"/>
      <c r="AA109" s="181"/>
      <c r="AB109" s="181"/>
      <c r="AC109" s="181"/>
      <c r="AD109" s="181"/>
      <c r="AE109" s="181"/>
      <c r="AF109" s="181"/>
      <c r="AG109" s="181"/>
      <c r="AH109" s="181"/>
      <c r="AI109" s="181"/>
      <c r="AJ109" s="181"/>
    </row>
    <row r="110" spans="3:36">
      <c r="C110" s="181"/>
      <c r="D110" s="181"/>
      <c r="E110" s="181"/>
      <c r="F110" s="181"/>
      <c r="G110" s="181"/>
      <c r="H110" s="181"/>
      <c r="I110" s="181"/>
      <c r="J110" s="181"/>
      <c r="K110" s="181"/>
      <c r="L110" s="181"/>
      <c r="M110" s="181"/>
      <c r="N110" s="181"/>
      <c r="O110" s="181"/>
      <c r="P110" s="181"/>
      <c r="Q110" s="181"/>
      <c r="R110" s="181"/>
      <c r="S110" s="181"/>
      <c r="T110" s="181"/>
      <c r="U110" s="181"/>
      <c r="V110" s="181"/>
      <c r="W110" s="181"/>
      <c r="X110" s="181"/>
      <c r="Y110" s="181"/>
      <c r="Z110" s="181"/>
      <c r="AA110" s="181"/>
      <c r="AB110" s="181"/>
      <c r="AC110" s="181"/>
      <c r="AD110" s="181"/>
      <c r="AE110" s="181"/>
      <c r="AF110" s="181"/>
      <c r="AG110" s="181"/>
      <c r="AH110" s="181"/>
      <c r="AI110" s="181"/>
      <c r="AJ110" s="181"/>
    </row>
    <row r="111" spans="3:36">
      <c r="C111" s="181"/>
      <c r="D111" s="181"/>
      <c r="E111" s="181"/>
      <c r="F111" s="181"/>
      <c r="G111" s="181"/>
      <c r="H111" s="181"/>
      <c r="I111" s="181"/>
      <c r="J111" s="181"/>
      <c r="K111" s="181"/>
      <c r="L111" s="181"/>
      <c r="M111" s="181"/>
      <c r="N111" s="181"/>
      <c r="O111" s="181"/>
      <c r="P111" s="181"/>
      <c r="Q111" s="181"/>
      <c r="R111" s="181"/>
      <c r="S111" s="181"/>
      <c r="T111" s="181"/>
      <c r="U111" s="181"/>
      <c r="V111" s="181"/>
      <c r="W111" s="181"/>
      <c r="X111" s="181"/>
      <c r="Y111" s="181"/>
      <c r="Z111" s="181"/>
      <c r="AA111" s="181"/>
      <c r="AB111" s="181"/>
      <c r="AC111" s="181"/>
      <c r="AD111" s="181"/>
      <c r="AE111" s="181"/>
      <c r="AF111" s="181"/>
      <c r="AG111" s="181"/>
      <c r="AH111" s="181"/>
      <c r="AI111" s="181"/>
      <c r="AJ111" s="181"/>
    </row>
    <row r="112" spans="3:36">
      <c r="C112" s="181"/>
      <c r="D112" s="181"/>
      <c r="E112" s="181"/>
      <c r="F112" s="181"/>
      <c r="G112" s="181"/>
      <c r="H112" s="181"/>
      <c r="I112" s="181"/>
      <c r="J112" s="181"/>
      <c r="K112" s="181"/>
      <c r="L112" s="181"/>
      <c r="M112" s="181"/>
      <c r="N112" s="181"/>
      <c r="O112" s="181"/>
      <c r="P112" s="181"/>
      <c r="Q112" s="181"/>
      <c r="R112" s="181"/>
      <c r="S112" s="181"/>
      <c r="T112" s="181"/>
      <c r="U112" s="181"/>
      <c r="V112" s="181"/>
      <c r="W112" s="181"/>
      <c r="X112" s="181"/>
      <c r="Y112" s="181"/>
      <c r="Z112" s="181"/>
      <c r="AA112" s="181"/>
      <c r="AB112" s="181"/>
      <c r="AC112" s="181"/>
      <c r="AD112" s="181"/>
      <c r="AE112" s="181"/>
      <c r="AF112" s="181"/>
      <c r="AG112" s="181"/>
      <c r="AH112" s="181"/>
      <c r="AI112" s="181"/>
      <c r="AJ112" s="181"/>
    </row>
    <row r="113" spans="3:36">
      <c r="C113" s="181"/>
      <c r="D113" s="181"/>
      <c r="E113" s="181"/>
      <c r="F113" s="181"/>
      <c r="G113" s="181"/>
      <c r="H113" s="181"/>
      <c r="I113" s="181"/>
      <c r="J113" s="181"/>
      <c r="K113" s="181"/>
      <c r="L113" s="181"/>
      <c r="M113" s="181"/>
      <c r="N113" s="181"/>
      <c r="O113" s="181"/>
      <c r="P113" s="181"/>
      <c r="Q113" s="181"/>
      <c r="R113" s="181"/>
      <c r="S113" s="181"/>
      <c r="T113" s="181"/>
      <c r="U113" s="181"/>
      <c r="V113" s="181"/>
      <c r="W113" s="181"/>
      <c r="X113" s="181"/>
      <c r="Y113" s="181"/>
      <c r="Z113" s="181"/>
      <c r="AA113" s="181"/>
      <c r="AB113" s="181"/>
      <c r="AC113" s="181"/>
      <c r="AD113" s="181"/>
      <c r="AE113" s="181"/>
      <c r="AF113" s="181"/>
      <c r="AG113" s="181"/>
      <c r="AH113" s="181"/>
      <c r="AI113" s="181"/>
      <c r="AJ113" s="181"/>
    </row>
    <row r="114" spans="3:36">
      <c r="C114" s="181"/>
      <c r="D114" s="181"/>
      <c r="E114" s="181"/>
      <c r="F114" s="181"/>
      <c r="G114" s="181"/>
      <c r="H114" s="181"/>
      <c r="I114" s="181"/>
      <c r="J114" s="181"/>
      <c r="K114" s="181"/>
      <c r="L114" s="181"/>
      <c r="M114" s="181"/>
      <c r="N114" s="181"/>
      <c r="O114" s="181"/>
      <c r="P114" s="181"/>
      <c r="Q114" s="181"/>
      <c r="R114" s="181"/>
      <c r="S114" s="181"/>
      <c r="T114" s="181"/>
      <c r="U114" s="181"/>
      <c r="V114" s="181"/>
      <c r="W114" s="181"/>
      <c r="X114" s="181"/>
      <c r="Y114" s="181"/>
      <c r="Z114" s="181"/>
      <c r="AA114" s="181"/>
      <c r="AB114" s="181"/>
      <c r="AC114" s="181"/>
      <c r="AD114" s="181"/>
      <c r="AE114" s="181"/>
      <c r="AF114" s="181"/>
      <c r="AG114" s="181"/>
      <c r="AH114" s="181"/>
      <c r="AI114" s="181"/>
      <c r="AJ114" s="181"/>
    </row>
    <row r="115" spans="3:36">
      <c r="C115" s="181"/>
      <c r="D115" s="181"/>
      <c r="E115" s="181"/>
      <c r="F115" s="181"/>
      <c r="G115" s="181"/>
      <c r="H115" s="181"/>
      <c r="I115" s="181"/>
      <c r="J115" s="181"/>
      <c r="K115" s="181"/>
      <c r="L115" s="181"/>
      <c r="M115" s="181"/>
      <c r="N115" s="181"/>
      <c r="O115" s="181"/>
      <c r="P115" s="181"/>
      <c r="Q115" s="181"/>
      <c r="R115" s="181"/>
      <c r="S115" s="181"/>
      <c r="T115" s="181"/>
      <c r="U115" s="181"/>
      <c r="V115" s="181"/>
      <c r="W115" s="181"/>
      <c r="X115" s="181"/>
      <c r="Y115" s="181"/>
      <c r="Z115" s="181"/>
      <c r="AA115" s="181"/>
      <c r="AB115" s="181"/>
      <c r="AC115" s="181"/>
      <c r="AD115" s="181"/>
      <c r="AE115" s="181"/>
      <c r="AF115" s="181"/>
      <c r="AG115" s="181"/>
      <c r="AH115" s="181"/>
      <c r="AI115" s="181"/>
      <c r="AJ115" s="181"/>
    </row>
    <row r="116" spans="3:36">
      <c r="C116" s="181"/>
      <c r="D116" s="181"/>
      <c r="E116" s="181"/>
      <c r="F116" s="181"/>
      <c r="G116" s="181"/>
      <c r="H116" s="181"/>
      <c r="I116" s="181"/>
      <c r="J116" s="181"/>
      <c r="K116" s="181"/>
      <c r="L116" s="181"/>
      <c r="M116" s="181"/>
      <c r="N116" s="181"/>
      <c r="O116" s="181"/>
      <c r="P116" s="181"/>
      <c r="Q116" s="181"/>
      <c r="R116" s="181"/>
      <c r="S116" s="181"/>
      <c r="T116" s="181"/>
      <c r="U116" s="181"/>
      <c r="V116" s="181"/>
      <c r="W116" s="181"/>
      <c r="X116" s="181"/>
      <c r="Y116" s="181"/>
      <c r="Z116" s="181"/>
      <c r="AA116" s="181"/>
      <c r="AB116" s="181"/>
      <c r="AC116" s="181"/>
      <c r="AD116" s="181"/>
      <c r="AE116" s="181"/>
      <c r="AF116" s="181"/>
      <c r="AG116" s="181"/>
      <c r="AH116" s="181"/>
      <c r="AI116" s="181"/>
      <c r="AJ116" s="181"/>
    </row>
    <row r="117" spans="3:36">
      <c r="C117" s="181"/>
      <c r="D117" s="181"/>
      <c r="E117" s="181"/>
      <c r="F117" s="181"/>
      <c r="G117" s="181"/>
      <c r="H117" s="181"/>
      <c r="I117" s="181"/>
      <c r="J117" s="181"/>
      <c r="K117" s="181"/>
      <c r="L117" s="181"/>
      <c r="M117" s="181"/>
      <c r="N117" s="181"/>
      <c r="O117" s="181"/>
      <c r="P117" s="181"/>
      <c r="Q117" s="181"/>
      <c r="R117" s="181"/>
      <c r="S117" s="181"/>
      <c r="T117" s="181"/>
      <c r="U117" s="181"/>
      <c r="V117" s="181"/>
      <c r="W117" s="181"/>
      <c r="X117" s="181"/>
      <c r="Y117" s="181"/>
      <c r="Z117" s="181"/>
      <c r="AA117" s="181"/>
      <c r="AB117" s="181"/>
      <c r="AC117" s="181"/>
      <c r="AD117" s="181"/>
      <c r="AE117" s="181"/>
      <c r="AF117" s="181"/>
      <c r="AG117" s="181"/>
      <c r="AH117" s="181"/>
      <c r="AI117" s="181"/>
      <c r="AJ117" s="181"/>
    </row>
    <row r="118" spans="3:36">
      <c r="C118" s="181"/>
      <c r="D118" s="181"/>
      <c r="E118" s="181"/>
      <c r="F118" s="181"/>
      <c r="G118" s="181"/>
      <c r="H118" s="181"/>
      <c r="I118" s="181"/>
      <c r="J118" s="181"/>
      <c r="K118" s="181"/>
      <c r="L118" s="181"/>
      <c r="M118" s="181"/>
      <c r="N118" s="181"/>
      <c r="O118" s="181"/>
      <c r="P118" s="181"/>
      <c r="Q118" s="181"/>
      <c r="R118" s="181"/>
      <c r="S118" s="181"/>
      <c r="T118" s="181"/>
      <c r="U118" s="181"/>
      <c r="V118" s="181"/>
      <c r="W118" s="181"/>
      <c r="X118" s="181"/>
      <c r="Y118" s="181"/>
      <c r="Z118" s="181"/>
      <c r="AA118" s="181"/>
      <c r="AB118" s="181"/>
      <c r="AC118" s="181"/>
      <c r="AD118" s="181"/>
      <c r="AE118" s="181"/>
      <c r="AF118" s="181"/>
      <c r="AG118" s="181"/>
      <c r="AH118" s="181"/>
      <c r="AI118" s="181"/>
      <c r="AJ118" s="181"/>
    </row>
    <row r="119" spans="3:36">
      <c r="C119" s="181"/>
      <c r="D119" s="181"/>
      <c r="E119" s="181"/>
      <c r="F119" s="181"/>
      <c r="G119" s="181"/>
      <c r="H119" s="181"/>
      <c r="I119" s="181"/>
      <c r="J119" s="181"/>
      <c r="K119" s="181"/>
      <c r="L119" s="181"/>
      <c r="M119" s="181"/>
      <c r="N119" s="181"/>
      <c r="O119" s="181"/>
      <c r="P119" s="181"/>
      <c r="Q119" s="181"/>
      <c r="R119" s="181"/>
      <c r="S119" s="181"/>
      <c r="T119" s="181"/>
      <c r="U119" s="181"/>
      <c r="V119" s="181"/>
      <c r="W119" s="181"/>
      <c r="X119" s="181"/>
      <c r="Y119" s="181"/>
      <c r="Z119" s="181"/>
      <c r="AA119" s="181"/>
      <c r="AB119" s="181"/>
      <c r="AC119" s="181"/>
      <c r="AD119" s="181"/>
      <c r="AE119" s="181"/>
      <c r="AF119" s="181"/>
      <c r="AG119" s="181"/>
      <c r="AH119" s="181"/>
      <c r="AI119" s="181"/>
      <c r="AJ119" s="181"/>
    </row>
    <row r="120" spans="3:36">
      <c r="C120" s="181"/>
      <c r="D120" s="181"/>
      <c r="E120" s="181"/>
      <c r="F120" s="181"/>
      <c r="G120" s="181"/>
      <c r="H120" s="181"/>
      <c r="I120" s="181"/>
      <c r="J120" s="181"/>
      <c r="K120" s="181"/>
      <c r="L120" s="181"/>
      <c r="M120" s="181"/>
      <c r="N120" s="181"/>
      <c r="O120" s="181"/>
      <c r="P120" s="181"/>
      <c r="Q120" s="181"/>
      <c r="R120" s="181"/>
      <c r="S120" s="181"/>
      <c r="T120" s="181"/>
      <c r="U120" s="181"/>
      <c r="V120" s="181"/>
      <c r="W120" s="181"/>
      <c r="X120" s="181"/>
      <c r="Y120" s="181"/>
      <c r="Z120" s="181"/>
      <c r="AA120" s="181"/>
      <c r="AB120" s="181"/>
      <c r="AC120" s="181"/>
      <c r="AD120" s="181"/>
      <c r="AE120" s="181"/>
      <c r="AF120" s="181"/>
      <c r="AG120" s="181"/>
      <c r="AH120" s="181"/>
      <c r="AI120" s="181"/>
      <c r="AJ120" s="181"/>
    </row>
    <row r="121" spans="3:36">
      <c r="C121" s="181"/>
      <c r="D121" s="181"/>
      <c r="E121" s="181"/>
      <c r="F121" s="181"/>
      <c r="G121" s="181"/>
      <c r="H121" s="181"/>
      <c r="I121" s="181"/>
      <c r="J121" s="181"/>
      <c r="K121" s="181"/>
      <c r="L121" s="181"/>
      <c r="M121" s="181"/>
      <c r="N121" s="181"/>
      <c r="O121" s="181"/>
      <c r="P121" s="181"/>
      <c r="Q121" s="181"/>
      <c r="R121" s="181"/>
      <c r="S121" s="181"/>
      <c r="T121" s="181"/>
      <c r="U121" s="181"/>
      <c r="V121" s="181"/>
      <c r="W121" s="181"/>
      <c r="X121" s="181"/>
      <c r="Y121" s="181"/>
      <c r="Z121" s="181"/>
      <c r="AA121" s="181"/>
      <c r="AB121" s="181"/>
      <c r="AC121" s="181"/>
      <c r="AD121" s="181"/>
      <c r="AE121" s="181"/>
      <c r="AF121" s="181"/>
      <c r="AG121" s="181"/>
      <c r="AH121" s="181"/>
      <c r="AI121" s="181"/>
      <c r="AJ121" s="181"/>
    </row>
    <row r="122" spans="3:36">
      <c r="C122" s="181"/>
      <c r="D122" s="181"/>
      <c r="E122" s="181"/>
      <c r="F122" s="181"/>
      <c r="G122" s="181"/>
      <c r="H122" s="181"/>
      <c r="I122" s="181"/>
      <c r="J122" s="181"/>
      <c r="K122" s="181"/>
      <c r="L122" s="181"/>
      <c r="M122" s="181"/>
      <c r="N122" s="181"/>
      <c r="O122" s="181"/>
      <c r="P122" s="181"/>
      <c r="Q122" s="181"/>
      <c r="R122" s="181"/>
      <c r="S122" s="181"/>
      <c r="T122" s="181"/>
      <c r="U122" s="181"/>
      <c r="V122" s="181"/>
      <c r="W122" s="181"/>
      <c r="X122" s="181"/>
      <c r="Y122" s="181"/>
      <c r="Z122" s="181"/>
      <c r="AA122" s="181"/>
      <c r="AB122" s="181"/>
      <c r="AC122" s="181"/>
      <c r="AD122" s="181"/>
      <c r="AE122" s="181"/>
      <c r="AF122" s="181"/>
      <c r="AG122" s="181"/>
      <c r="AH122" s="181"/>
      <c r="AI122" s="181"/>
      <c r="AJ122" s="181"/>
    </row>
    <row r="123" spans="3:36">
      <c r="C123" s="181"/>
      <c r="D123" s="181"/>
      <c r="E123" s="181"/>
      <c r="F123" s="181"/>
      <c r="G123" s="181"/>
      <c r="H123" s="181"/>
      <c r="I123" s="181"/>
      <c r="J123" s="181"/>
      <c r="K123" s="181"/>
      <c r="L123" s="181"/>
      <c r="M123" s="181"/>
      <c r="N123" s="181"/>
      <c r="O123" s="181"/>
      <c r="P123" s="181"/>
      <c r="Q123" s="181"/>
      <c r="R123" s="181"/>
      <c r="S123" s="181"/>
      <c r="T123" s="181"/>
      <c r="U123" s="181"/>
      <c r="V123" s="181"/>
      <c r="W123" s="181"/>
      <c r="X123" s="181"/>
      <c r="Y123" s="181"/>
      <c r="Z123" s="181"/>
      <c r="AA123" s="181"/>
      <c r="AB123" s="181"/>
      <c r="AC123" s="181"/>
      <c r="AD123" s="181"/>
      <c r="AE123" s="181"/>
      <c r="AF123" s="181"/>
      <c r="AG123" s="181"/>
      <c r="AH123" s="181"/>
      <c r="AI123" s="181"/>
      <c r="AJ123" s="181"/>
    </row>
    <row r="124" spans="3:36">
      <c r="C124" s="181"/>
      <c r="D124" s="181"/>
      <c r="E124" s="181"/>
      <c r="F124" s="181"/>
      <c r="G124" s="181"/>
      <c r="H124" s="181"/>
      <c r="I124" s="181"/>
      <c r="J124" s="181"/>
      <c r="K124" s="181"/>
      <c r="L124" s="181"/>
      <c r="M124" s="181"/>
      <c r="N124" s="181"/>
      <c r="O124" s="181"/>
      <c r="P124" s="181"/>
      <c r="Q124" s="181"/>
      <c r="R124" s="181"/>
      <c r="S124" s="181"/>
      <c r="T124" s="181"/>
      <c r="U124" s="181"/>
      <c r="V124" s="181"/>
      <c r="W124" s="181"/>
      <c r="X124" s="181"/>
      <c r="Y124" s="181"/>
      <c r="Z124" s="181"/>
      <c r="AA124" s="181"/>
      <c r="AB124" s="181"/>
      <c r="AC124" s="181"/>
      <c r="AD124" s="181"/>
      <c r="AE124" s="181"/>
      <c r="AF124" s="181"/>
      <c r="AG124" s="181"/>
      <c r="AH124" s="181"/>
      <c r="AI124" s="181"/>
      <c r="AJ124" s="181"/>
    </row>
  </sheetData>
  <sheetProtection algorithmName="SHA-512" hashValue="9/jmgr3k+2zvgYr1yRcjMI19e2CclYuqRWY1qdD94A4XJsCNowK8FKv/BfSvU+8QsFCbId0aYnoBfM+K6KVwSQ==" saltValue="IKRGZKQJA36SjsFvuDWpSw==" spinCount="100000" sheet="1" objects="1" scenarios="1" selectLockedCells="1"/>
  <mergeCells count="41">
    <mergeCell ref="C74:G74"/>
    <mergeCell ref="C76:G76"/>
    <mergeCell ref="C60:G60"/>
    <mergeCell ref="C62:G62"/>
    <mergeCell ref="C64:G64"/>
    <mergeCell ref="C66:G66"/>
    <mergeCell ref="C68:G68"/>
    <mergeCell ref="C70:G70"/>
    <mergeCell ref="C39:G39"/>
    <mergeCell ref="C41:G41"/>
    <mergeCell ref="C43:G43"/>
    <mergeCell ref="D11:I11"/>
    <mergeCell ref="C72:G72"/>
    <mergeCell ref="C47:G47"/>
    <mergeCell ref="C49:G49"/>
    <mergeCell ref="B52:Q52"/>
    <mergeCell ref="C54:G54"/>
    <mergeCell ref="C56:G56"/>
    <mergeCell ref="C58:G58"/>
    <mergeCell ref="C45:G45"/>
    <mergeCell ref="C33:G33"/>
    <mergeCell ref="B13:Q13"/>
    <mergeCell ref="C15:G15"/>
    <mergeCell ref="C17:G17"/>
    <mergeCell ref="B20:Q20"/>
    <mergeCell ref="B21:Q21"/>
    <mergeCell ref="I15:K15"/>
    <mergeCell ref="C23:G23"/>
    <mergeCell ref="C25:G25"/>
    <mergeCell ref="C27:G27"/>
    <mergeCell ref="C29:G29"/>
    <mergeCell ref="C31:G31"/>
    <mergeCell ref="M15:O15"/>
    <mergeCell ref="C35:G35"/>
    <mergeCell ref="C37:G37"/>
    <mergeCell ref="B3:Q4"/>
    <mergeCell ref="D7:F7"/>
    <mergeCell ref="J7:K7"/>
    <mergeCell ref="N7:P7"/>
    <mergeCell ref="D9:F9"/>
    <mergeCell ref="J9:K9"/>
  </mergeCells>
  <conditionalFormatting sqref="A1:Q6 A8:Q8 A7:C7 A10:Q10 A9:C9 G9:I9 A12:Q14 A11:C11 J11:Q11 G7:I7 P9:Q9 L7:M7 L9:N9 Q7 A18:Q22 A17:H17 J17 L17 N17 P17:Q17 A16:Q16 A15:H15 L15 P15:Q15 A24:Q24 A23:G23 I23:Q23 A26:Q28 A25:G25 I25:Q25 A30:Q30 A29:G29 I29:Q29 A32:Q32 A31:G31 I31:Q31 A34:Q38 A33:G33 I33:Q33 A40:Q46 A39:G39 I39:Q39 A48:Q80 A47:G47 I47:Q47">
    <cfRule type="expression" dxfId="190" priority="42">
      <formula>AND(_xlfn.ISFORMULA(A1),IFERROR(A1=0,TRUE))</formula>
    </cfRule>
  </conditionalFormatting>
  <conditionalFormatting sqref="R43:R48">
    <cfRule type="expression" dxfId="189" priority="43">
      <formula>AND(_xlfn.ISFORMULA(R43),IFERROR(R43=0,TRUE))</formula>
    </cfRule>
  </conditionalFormatting>
  <conditionalFormatting sqref="S43:T48">
    <cfRule type="expression" dxfId="188" priority="44">
      <formula>AND(_xlfn.ISFORMULA(S43),IFERROR(S43=0,TRUE))</formula>
    </cfRule>
  </conditionalFormatting>
  <conditionalFormatting sqref="D7:F7">
    <cfRule type="containsBlanks" dxfId="187" priority="41" stopIfTrue="1">
      <formula>LEN(TRIM(D7))=0</formula>
    </cfRule>
  </conditionalFormatting>
  <conditionalFormatting sqref="D7:F7">
    <cfRule type="expression" dxfId="186" priority="40" stopIfTrue="1">
      <formula>AND(D7&lt;&gt;"",OR(D7=0,D7="0"))</formula>
    </cfRule>
  </conditionalFormatting>
  <conditionalFormatting sqref="D9:F9">
    <cfRule type="containsBlanks" dxfId="185" priority="39" stopIfTrue="1">
      <formula>LEN(TRIM(D9))=0</formula>
    </cfRule>
  </conditionalFormatting>
  <conditionalFormatting sqref="D9:F9">
    <cfRule type="expression" dxfId="184" priority="38" stopIfTrue="1">
      <formula>AND(D9&lt;&gt;"",OR(D9=0,D9="0"))</formula>
    </cfRule>
  </conditionalFormatting>
  <conditionalFormatting sqref="D11">
    <cfRule type="containsBlanks" dxfId="183" priority="37" stopIfTrue="1">
      <formula>LEN(TRIM(D11))=0</formula>
    </cfRule>
  </conditionalFormatting>
  <conditionalFormatting sqref="D11">
    <cfRule type="expression" dxfId="182" priority="36" stopIfTrue="1">
      <formula>AND(D11&lt;&gt;"",OR(D11=0,D11="0"))</formula>
    </cfRule>
  </conditionalFormatting>
  <conditionalFormatting sqref="O9">
    <cfRule type="containsBlanks" dxfId="181" priority="35" stopIfTrue="1">
      <formula>LEN(TRIM(O9))=0</formula>
    </cfRule>
  </conditionalFormatting>
  <conditionalFormatting sqref="O9">
    <cfRule type="expression" dxfId="180" priority="34" stopIfTrue="1">
      <formula>AND(O9&lt;&gt;"",OR(O9=0,O9="0"))</formula>
    </cfRule>
  </conditionalFormatting>
  <conditionalFormatting sqref="J7">
    <cfRule type="containsBlanks" dxfId="179" priority="33" stopIfTrue="1">
      <formula>LEN(TRIM(J7))=0</formula>
    </cfRule>
  </conditionalFormatting>
  <conditionalFormatting sqref="J7">
    <cfRule type="expression" dxfId="178" priority="32" stopIfTrue="1">
      <formula>AND(J7&lt;&gt;"",OR(J7=0,J7="0"))</formula>
    </cfRule>
  </conditionalFormatting>
  <conditionalFormatting sqref="J9">
    <cfRule type="containsBlanks" dxfId="177" priority="31" stopIfTrue="1">
      <formula>LEN(TRIM(J9))=0</formula>
    </cfRule>
  </conditionalFormatting>
  <conditionalFormatting sqref="J9">
    <cfRule type="expression" dxfId="176" priority="30" stopIfTrue="1">
      <formula>AND(J9&lt;&gt;"",OR(J9=0,J9="0"))</formula>
    </cfRule>
  </conditionalFormatting>
  <conditionalFormatting sqref="N7">
    <cfRule type="containsBlanks" dxfId="175" priority="29" stopIfTrue="1">
      <formula>LEN(TRIM(N7))=0</formula>
    </cfRule>
  </conditionalFormatting>
  <conditionalFormatting sqref="N7">
    <cfRule type="expression" dxfId="174" priority="28" stopIfTrue="1">
      <formula>AND(N7&lt;&gt;"",OR(N7=0,N7="0"))</formula>
    </cfRule>
  </conditionalFormatting>
  <conditionalFormatting sqref="I17">
    <cfRule type="containsBlanks" dxfId="173" priority="27" stopIfTrue="1">
      <formula>LEN(TRIM(I17))=0</formula>
    </cfRule>
  </conditionalFormatting>
  <conditionalFormatting sqref="I17">
    <cfRule type="expression" dxfId="172" priority="26" stopIfTrue="1">
      <formula>AND(I17&lt;&gt;"",OR(I17=0,I17="0"))</formula>
    </cfRule>
  </conditionalFormatting>
  <conditionalFormatting sqref="K17">
    <cfRule type="containsBlanks" dxfId="171" priority="25" stopIfTrue="1">
      <formula>LEN(TRIM(K17))=0</formula>
    </cfRule>
  </conditionalFormatting>
  <conditionalFormatting sqref="K17">
    <cfRule type="expression" dxfId="170" priority="24" stopIfTrue="1">
      <formula>AND(K17&lt;&gt;"",OR(K17=0,K17="0"))</formula>
    </cfRule>
  </conditionalFormatting>
  <conditionalFormatting sqref="M17">
    <cfRule type="containsBlanks" dxfId="169" priority="23" stopIfTrue="1">
      <formula>LEN(TRIM(M17))=0</formula>
    </cfRule>
  </conditionalFormatting>
  <conditionalFormatting sqref="M17">
    <cfRule type="expression" dxfId="168" priority="22" stopIfTrue="1">
      <formula>AND(M17&lt;&gt;"",OR(M17=0,M17="0"))</formula>
    </cfRule>
  </conditionalFormatting>
  <conditionalFormatting sqref="O17">
    <cfRule type="containsBlanks" dxfId="167" priority="21" stopIfTrue="1">
      <formula>LEN(TRIM(O17))=0</formula>
    </cfRule>
  </conditionalFormatting>
  <conditionalFormatting sqref="O17">
    <cfRule type="expression" dxfId="166" priority="20" stopIfTrue="1">
      <formula>AND(O17&lt;&gt;"",OR(O17=0,O17="0"))</formula>
    </cfRule>
  </conditionalFormatting>
  <conditionalFormatting sqref="I15">
    <cfRule type="containsBlanks" dxfId="165" priority="19" stopIfTrue="1">
      <formula>LEN(TRIM(I15))=0</formula>
    </cfRule>
  </conditionalFormatting>
  <conditionalFormatting sqref="I15">
    <cfRule type="expression" dxfId="164" priority="18" stopIfTrue="1">
      <formula>AND(I15&lt;&gt;"",OR(I15=0,I15="0"))</formula>
    </cfRule>
  </conditionalFormatting>
  <conditionalFormatting sqref="M15">
    <cfRule type="containsBlanks" dxfId="163" priority="17" stopIfTrue="1">
      <formula>LEN(TRIM(M15))=0</formula>
    </cfRule>
  </conditionalFormatting>
  <conditionalFormatting sqref="M15">
    <cfRule type="expression" dxfId="162" priority="16" stopIfTrue="1">
      <formula>AND(M15&lt;&gt;"",OR(M15=0,M15="0"))</formula>
    </cfRule>
  </conditionalFormatting>
  <conditionalFormatting sqref="H23">
    <cfRule type="containsBlanks" dxfId="161" priority="15" stopIfTrue="1">
      <formula>LEN(TRIM(H23))=0</formula>
    </cfRule>
  </conditionalFormatting>
  <conditionalFormatting sqref="H23">
    <cfRule type="expression" dxfId="160" priority="14" stopIfTrue="1">
      <formula>AND(H23&lt;&gt;"",OR(H23=0,H23="0"))</formula>
    </cfRule>
  </conditionalFormatting>
  <conditionalFormatting sqref="H25">
    <cfRule type="containsBlanks" dxfId="159" priority="13" stopIfTrue="1">
      <formula>LEN(TRIM(H25))=0</formula>
    </cfRule>
  </conditionalFormatting>
  <conditionalFormatting sqref="H25">
    <cfRule type="expression" dxfId="158" priority="12" stopIfTrue="1">
      <formula>AND(H25&lt;&gt;"",OR(H25=0,H25="0"))</formula>
    </cfRule>
  </conditionalFormatting>
  <conditionalFormatting sqref="H29">
    <cfRule type="containsBlanks" dxfId="157" priority="11" stopIfTrue="1">
      <formula>LEN(TRIM(H29))=0</formula>
    </cfRule>
  </conditionalFormatting>
  <conditionalFormatting sqref="H29">
    <cfRule type="expression" dxfId="156" priority="10" stopIfTrue="1">
      <formula>AND(H29&lt;&gt;"",OR(H29=0,H29="0"))</formula>
    </cfRule>
  </conditionalFormatting>
  <conditionalFormatting sqref="H31">
    <cfRule type="containsBlanks" dxfId="155" priority="9" stopIfTrue="1">
      <formula>LEN(TRIM(H31))=0</formula>
    </cfRule>
  </conditionalFormatting>
  <conditionalFormatting sqref="H31">
    <cfRule type="expression" dxfId="154" priority="8" stopIfTrue="1">
      <formula>AND(H31&lt;&gt;"",OR(H31=0,H31="0"))</formula>
    </cfRule>
  </conditionalFormatting>
  <conditionalFormatting sqref="H33">
    <cfRule type="cellIs" dxfId="153" priority="1" operator="equal">
      <formula>0</formula>
    </cfRule>
    <cfRule type="containsBlanks" dxfId="152" priority="7" stopIfTrue="1">
      <formula>LEN(TRIM(H33))=0</formula>
    </cfRule>
  </conditionalFormatting>
  <conditionalFormatting sqref="H39">
    <cfRule type="containsBlanks" dxfId="151" priority="5" stopIfTrue="1">
      <formula>LEN(TRIM(H39))=0</formula>
    </cfRule>
  </conditionalFormatting>
  <conditionalFormatting sqref="H39">
    <cfRule type="expression" dxfId="150" priority="4" stopIfTrue="1">
      <formula>AND(H39&lt;&gt;"",OR(H39=0,H39="0"))</formula>
    </cfRule>
  </conditionalFormatting>
  <conditionalFormatting sqref="H47">
    <cfRule type="containsBlanks" dxfId="149" priority="3" stopIfTrue="1">
      <formula>LEN(TRIM(H47))=0</formula>
    </cfRule>
  </conditionalFormatting>
  <conditionalFormatting sqref="H47">
    <cfRule type="expression" dxfId="148" priority="2" stopIfTrue="1">
      <formula>AND(H47&lt;&gt;"",OR(H47=0,H47="0"))</formula>
    </cfRule>
  </conditionalFormatting>
  <hyperlinks>
    <hyperlink ref="S39" location="'Guía de trabajo'!A1" display="Volver" xr:uid="{01D2BC39-8EB8-40A2-BC73-53D65E2B50AC}"/>
    <hyperlink ref="S52" location="'Guía de trabajo'!A33" display="Ir a E" xr:uid="{6E77E3D3-481E-4719-BAEB-0E5BF96A6825}"/>
  </hyperlinks>
  <pageMargins left="0.7" right="0.7" top="0.75" bottom="0.75" header="0.3" footer="0.3"/>
  <pageSetup paperSize="9" orientation="portrait" r:id="rId1"/>
  <ignoredErrors>
    <ignoredError sqref="H35 H37 J43 J45 T43" evalError="1"/>
  </ignoredErrors>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F8367F-8939-4A5D-A14E-B117E5B0BE43}">
  <sheetPr codeName="Hoja16"/>
  <dimension ref="A1:AV97"/>
  <sheetViews>
    <sheetView zoomScale="120" zoomScaleNormal="120" workbookViewId="0">
      <selection activeCell="A18" sqref="A18"/>
    </sheetView>
  </sheetViews>
  <sheetFormatPr baseColWidth="10" defaultColWidth="8.6640625" defaultRowHeight="13.2"/>
  <cols>
    <col min="1" max="1" width="10.109375" customWidth="1"/>
    <col min="2" max="2" width="3.21875" customWidth="1"/>
    <col min="3" max="3" width="9" customWidth="1"/>
    <col min="4" max="4" width="3.33203125" customWidth="1"/>
    <col min="5" max="5" width="9" customWidth="1"/>
    <col min="6" max="6" width="3.5546875" customWidth="1"/>
    <col min="7" max="7" width="9" customWidth="1"/>
    <col min="8" max="8" width="2.77734375" customWidth="1"/>
    <col min="9" max="9" width="9" customWidth="1"/>
    <col min="10" max="10" width="3.6640625" customWidth="1"/>
    <col min="11" max="11" width="8.21875" customWidth="1"/>
    <col min="12" max="12" width="2" customWidth="1"/>
    <col min="13" max="13" width="8.44140625" customWidth="1"/>
    <col min="14" max="14" width="8.33203125" customWidth="1"/>
    <col min="15" max="15" width="6" customWidth="1"/>
    <col min="16" max="16" width="3.5546875" customWidth="1"/>
  </cols>
  <sheetData>
    <row r="1" spans="1:48" ht="13.8" thickBot="1">
      <c r="A1" s="261"/>
      <c r="B1" s="261"/>
      <c r="C1" s="261"/>
      <c r="D1" s="261"/>
      <c r="E1" s="261"/>
      <c r="F1" s="261"/>
      <c r="G1" s="261"/>
      <c r="H1" s="261"/>
      <c r="I1" s="261"/>
      <c r="J1" s="261"/>
      <c r="K1" s="261"/>
      <c r="L1" s="261"/>
      <c r="M1" s="261"/>
      <c r="N1" s="261"/>
      <c r="O1" s="261"/>
      <c r="P1" s="261"/>
      <c r="Q1" s="181"/>
      <c r="R1" s="181"/>
      <c r="S1" s="181"/>
      <c r="T1" s="181"/>
      <c r="U1" s="181"/>
      <c r="V1" s="181"/>
      <c r="W1" s="181"/>
      <c r="X1" s="181"/>
      <c r="Y1" s="181"/>
      <c r="Z1" s="181"/>
      <c r="AA1" s="181"/>
      <c r="AB1" s="181"/>
      <c r="AC1" s="181"/>
      <c r="AD1" s="181"/>
      <c r="AE1" s="181"/>
      <c r="AF1" s="181"/>
      <c r="AG1" s="181"/>
      <c r="AH1" s="181"/>
      <c r="AI1" s="181"/>
      <c r="AJ1" s="181"/>
      <c r="AK1" s="181"/>
      <c r="AL1" s="181"/>
      <c r="AM1" s="181"/>
      <c r="AN1" s="181"/>
      <c r="AO1" s="181"/>
      <c r="AP1" s="181"/>
      <c r="AQ1" s="181"/>
      <c r="AR1" s="181"/>
      <c r="AS1" s="181"/>
      <c r="AT1" s="181"/>
      <c r="AU1" s="181"/>
      <c r="AV1" s="181"/>
    </row>
    <row r="2" spans="1:48" ht="15" customHeight="1" thickTop="1" thickBot="1">
      <c r="A2" s="336" t="s">
        <v>560</v>
      </c>
      <c r="B2" s="336"/>
      <c r="C2" s="336"/>
      <c r="D2" s="336"/>
      <c r="E2" s="336"/>
      <c r="F2" s="336"/>
      <c r="G2" s="336"/>
      <c r="H2" s="336"/>
      <c r="I2" s="336"/>
      <c r="J2" s="336"/>
      <c r="K2" s="336"/>
      <c r="L2" s="336"/>
      <c r="M2" s="336"/>
      <c r="N2" s="336"/>
      <c r="O2" s="336"/>
      <c r="P2" s="336"/>
      <c r="Q2" s="181"/>
      <c r="R2" s="181"/>
      <c r="S2" s="181"/>
      <c r="T2" s="181"/>
      <c r="U2" s="181"/>
      <c r="V2" s="181"/>
      <c r="W2" s="181"/>
      <c r="X2" s="181"/>
      <c r="Y2" s="181"/>
      <c r="Z2" s="181"/>
      <c r="AA2" s="181"/>
      <c r="AB2" s="181"/>
      <c r="AC2" s="181"/>
      <c r="AD2" s="181"/>
      <c r="AE2" s="181"/>
      <c r="AF2" s="181"/>
      <c r="AG2" s="181"/>
      <c r="AH2" s="181"/>
      <c r="AI2" s="181"/>
      <c r="AJ2" s="181"/>
      <c r="AK2" s="181"/>
      <c r="AL2" s="181"/>
      <c r="AM2" s="181"/>
      <c r="AN2" s="181"/>
      <c r="AO2" s="181"/>
      <c r="AP2" s="181"/>
      <c r="AQ2" s="181"/>
      <c r="AR2" s="181"/>
      <c r="AS2" s="181"/>
      <c r="AT2" s="181"/>
      <c r="AU2" s="181"/>
      <c r="AV2" s="181"/>
    </row>
    <row r="3" spans="1:48" ht="13.8" thickTop="1">
      <c r="A3" s="336"/>
      <c r="B3" s="336"/>
      <c r="C3" s="336"/>
      <c r="D3" s="336"/>
      <c r="E3" s="336"/>
      <c r="F3" s="336"/>
      <c r="G3" s="336"/>
      <c r="H3" s="336"/>
      <c r="I3" s="336"/>
      <c r="J3" s="336"/>
      <c r="K3" s="336"/>
      <c r="L3" s="336"/>
      <c r="M3" s="336"/>
      <c r="N3" s="336"/>
      <c r="O3" s="336"/>
      <c r="P3" s="336"/>
      <c r="Q3" s="181"/>
      <c r="R3" s="181"/>
      <c r="S3" s="181"/>
      <c r="T3" s="181"/>
      <c r="U3" s="181"/>
      <c r="V3" s="181"/>
      <c r="W3" s="181"/>
      <c r="X3" s="181"/>
      <c r="Y3" s="181"/>
      <c r="Z3" s="181"/>
      <c r="AA3" s="181"/>
      <c r="AB3" s="181"/>
      <c r="AC3" s="181"/>
      <c r="AD3" s="181"/>
      <c r="AE3" s="181"/>
      <c r="AF3" s="181"/>
      <c r="AG3" s="181"/>
      <c r="AH3" s="181"/>
      <c r="AI3" s="181"/>
      <c r="AJ3" s="181"/>
      <c r="AK3" s="181"/>
      <c r="AL3" s="181"/>
      <c r="AM3" s="181"/>
      <c r="AN3" s="181"/>
      <c r="AO3" s="181"/>
      <c r="AP3" s="181"/>
      <c r="AQ3" s="181"/>
      <c r="AR3" s="181"/>
      <c r="AS3" s="181"/>
      <c r="AT3" s="181"/>
      <c r="AU3" s="181"/>
      <c r="AV3" s="181"/>
    </row>
    <row r="4" spans="1:48">
      <c r="A4" s="261"/>
      <c r="B4" s="261"/>
      <c r="C4" s="261"/>
      <c r="D4" s="261"/>
      <c r="E4" s="261"/>
      <c r="F4" s="261"/>
      <c r="G4" s="261"/>
      <c r="H4" s="261"/>
      <c r="I4" s="261"/>
      <c r="J4" s="261"/>
      <c r="K4" s="261"/>
      <c r="L4" s="261"/>
      <c r="M4" s="261"/>
      <c r="N4" s="261"/>
      <c r="O4" s="261"/>
      <c r="P4" s="261"/>
      <c r="Q4" s="181"/>
      <c r="R4" s="181"/>
      <c r="S4" s="181"/>
      <c r="T4" s="181"/>
      <c r="U4" s="181"/>
      <c r="V4" s="181"/>
      <c r="W4" s="181"/>
      <c r="X4" s="181"/>
      <c r="Y4" s="181"/>
      <c r="Z4" s="181"/>
      <c r="AA4" s="181"/>
      <c r="AB4" s="181"/>
      <c r="AC4" s="181"/>
      <c r="AD4" s="181"/>
      <c r="AE4" s="181"/>
      <c r="AF4" s="181"/>
      <c r="AG4" s="181"/>
      <c r="AH4" s="181"/>
      <c r="AI4" s="181"/>
      <c r="AJ4" s="181"/>
      <c r="AK4" s="181"/>
      <c r="AL4" s="181"/>
      <c r="AM4" s="181"/>
      <c r="AN4" s="181"/>
      <c r="AO4" s="181"/>
      <c r="AP4" s="181"/>
      <c r="AQ4" s="181"/>
      <c r="AR4" s="181"/>
      <c r="AS4" s="181"/>
      <c r="AT4" s="181"/>
      <c r="AU4" s="181"/>
      <c r="AV4" s="181"/>
    </row>
    <row r="5" spans="1:48">
      <c r="A5" s="261"/>
      <c r="B5" s="261"/>
      <c r="C5" s="261"/>
      <c r="D5" s="261"/>
      <c r="E5" s="261"/>
      <c r="F5" s="261"/>
      <c r="G5" s="261"/>
      <c r="H5" s="261"/>
      <c r="I5" s="261"/>
      <c r="J5" s="261"/>
      <c r="K5" s="261"/>
      <c r="L5" s="261"/>
      <c r="M5" s="261"/>
      <c r="N5" s="261"/>
      <c r="O5" s="261"/>
      <c r="P5" s="261"/>
      <c r="Q5" s="181"/>
      <c r="R5" s="181"/>
      <c r="S5" s="181"/>
      <c r="T5" s="181"/>
      <c r="U5" s="181"/>
      <c r="V5" s="181"/>
      <c r="W5" s="181"/>
      <c r="X5" s="181"/>
      <c r="Y5" s="181"/>
      <c r="Z5" s="181"/>
      <c r="AA5" s="181"/>
      <c r="AB5" s="181"/>
      <c r="AC5" s="181"/>
      <c r="AD5" s="181"/>
      <c r="AE5" s="181"/>
      <c r="AF5" s="181"/>
      <c r="AG5" s="181"/>
      <c r="AH5" s="181"/>
      <c r="AI5" s="181"/>
      <c r="AJ5" s="181"/>
      <c r="AK5" s="181"/>
      <c r="AL5" s="181"/>
      <c r="AM5" s="181"/>
      <c r="AN5" s="181"/>
      <c r="AO5" s="181"/>
      <c r="AP5" s="181"/>
      <c r="AQ5" s="181"/>
      <c r="AR5" s="181"/>
      <c r="AS5" s="181"/>
      <c r="AT5" s="181"/>
      <c r="AU5" s="181"/>
      <c r="AV5" s="181"/>
    </row>
    <row r="6" spans="1:48">
      <c r="A6" s="262" t="s">
        <v>0</v>
      </c>
      <c r="B6" s="261"/>
      <c r="C6" s="261"/>
      <c r="D6" s="337">
        <f>'Datum Aer'!D7</f>
        <v>0</v>
      </c>
      <c r="E6" s="337"/>
      <c r="F6" s="337"/>
      <c r="G6" s="337"/>
      <c r="H6" s="261"/>
      <c r="I6" s="262" t="s">
        <v>1</v>
      </c>
      <c r="J6" s="261"/>
      <c r="K6" s="338">
        <f>'Datum Aer'!J7</f>
        <v>0</v>
      </c>
      <c r="L6" s="338"/>
      <c r="M6" s="262" t="s">
        <v>2</v>
      </c>
      <c r="N6" s="341">
        <f>'Datum Aer'!N7</f>
        <v>0</v>
      </c>
      <c r="O6" s="342"/>
      <c r="P6" s="261"/>
      <c r="Q6" s="181"/>
      <c r="R6" s="181"/>
      <c r="S6" s="181"/>
      <c r="T6" s="181"/>
      <c r="U6" s="181"/>
      <c r="V6" s="181"/>
      <c r="W6" s="181"/>
      <c r="X6" s="181"/>
      <c r="Y6" s="181"/>
      <c r="Z6" s="181"/>
      <c r="AA6" s="181"/>
      <c r="AB6" s="181"/>
      <c r="AC6" s="181"/>
      <c r="AD6" s="181"/>
      <c r="AE6" s="181"/>
      <c r="AF6" s="181"/>
      <c r="AG6" s="181"/>
      <c r="AH6" s="181"/>
      <c r="AI6" s="181"/>
      <c r="AJ6" s="181"/>
      <c r="AK6" s="181"/>
      <c r="AL6" s="181"/>
      <c r="AM6" s="181"/>
      <c r="AN6" s="181"/>
      <c r="AO6" s="181"/>
      <c r="AP6" s="181"/>
      <c r="AQ6" s="181"/>
      <c r="AR6" s="181"/>
      <c r="AS6" s="181"/>
      <c r="AT6" s="181"/>
      <c r="AU6" s="181"/>
      <c r="AV6" s="181"/>
    </row>
    <row r="7" spans="1:48">
      <c r="A7" s="261"/>
      <c r="B7" s="261"/>
      <c r="C7" s="261"/>
      <c r="D7" s="261"/>
      <c r="E7" s="261"/>
      <c r="F7" s="261"/>
      <c r="G7" s="261"/>
      <c r="H7" s="261"/>
      <c r="I7" s="261"/>
      <c r="J7" s="261"/>
      <c r="K7" s="261"/>
      <c r="L7" s="261"/>
      <c r="M7" s="261"/>
      <c r="N7" s="261"/>
      <c r="O7" s="261"/>
      <c r="P7" s="261"/>
      <c r="Q7" s="181"/>
      <c r="R7" s="181"/>
      <c r="S7" s="181"/>
      <c r="T7" s="181"/>
      <c r="U7" s="181"/>
      <c r="V7" s="181"/>
      <c r="W7" s="181"/>
      <c r="X7" s="181"/>
      <c r="Y7" s="181"/>
      <c r="Z7" s="181"/>
      <c r="AA7" s="181"/>
      <c r="AB7" s="181"/>
      <c r="AC7" s="181"/>
      <c r="AD7" s="181"/>
      <c r="AE7" s="181"/>
      <c r="AF7" s="181"/>
      <c r="AG7" s="181"/>
      <c r="AH7" s="181"/>
      <c r="AI7" s="181"/>
      <c r="AJ7" s="181"/>
      <c r="AK7" s="181"/>
      <c r="AL7" s="181"/>
      <c r="AM7" s="181"/>
      <c r="AN7" s="181"/>
      <c r="AO7" s="181"/>
      <c r="AP7" s="181"/>
      <c r="AQ7" s="181"/>
      <c r="AR7" s="181"/>
      <c r="AS7" s="181"/>
      <c r="AT7" s="181"/>
      <c r="AU7" s="181"/>
      <c r="AV7" s="181"/>
    </row>
    <row r="8" spans="1:48">
      <c r="A8" s="262" t="s">
        <v>3</v>
      </c>
      <c r="B8" s="261"/>
      <c r="C8" s="261"/>
      <c r="D8" s="339">
        <f>'Datum Aer'!D9</f>
        <v>0</v>
      </c>
      <c r="E8" s="339"/>
      <c r="F8" s="339"/>
      <c r="G8" s="339"/>
      <c r="H8" s="261"/>
      <c r="I8" s="262" t="s">
        <v>4</v>
      </c>
      <c r="J8" s="261"/>
      <c r="K8" s="338">
        <f>'Datum Aer'!J9</f>
        <v>0</v>
      </c>
      <c r="L8" s="338"/>
      <c r="M8" s="271" t="s">
        <v>575</v>
      </c>
      <c r="N8" s="261"/>
      <c r="O8" s="279">
        <f>'Datum Aer'!O9</f>
        <v>0</v>
      </c>
      <c r="P8" s="261"/>
      <c r="Q8" s="181"/>
      <c r="R8" s="181"/>
      <c r="S8" s="181"/>
      <c r="T8" s="181"/>
      <c r="U8" s="181"/>
      <c r="V8" s="181"/>
      <c r="W8" s="181"/>
      <c r="X8" s="181"/>
      <c r="Y8" s="181"/>
      <c r="Z8" s="181"/>
      <c r="AA8" s="181"/>
      <c r="AB8" s="181"/>
      <c r="AC8" s="181"/>
      <c r="AD8" s="181"/>
      <c r="AE8" s="181"/>
      <c r="AF8" s="181"/>
      <c r="AG8" s="181"/>
      <c r="AH8" s="181"/>
      <c r="AI8" s="181"/>
      <c r="AJ8" s="181"/>
      <c r="AK8" s="181"/>
      <c r="AL8" s="181"/>
      <c r="AM8" s="181"/>
      <c r="AN8" s="181"/>
      <c r="AO8" s="181"/>
      <c r="AP8" s="181"/>
      <c r="AQ8" s="181"/>
      <c r="AR8" s="181"/>
      <c r="AS8" s="181"/>
      <c r="AT8" s="181"/>
      <c r="AU8" s="181"/>
      <c r="AV8" s="181"/>
    </row>
    <row r="9" spans="1:48">
      <c r="A9" s="261"/>
      <c r="B9" s="261"/>
      <c r="C9" s="261"/>
      <c r="D9" s="261"/>
      <c r="E9" s="261"/>
      <c r="F9" s="261"/>
      <c r="G9" s="261"/>
      <c r="H9" s="261"/>
      <c r="I9" s="261"/>
      <c r="J9" s="261"/>
      <c r="K9" s="261"/>
      <c r="L9" s="261"/>
      <c r="M9" s="261"/>
      <c r="N9" s="261"/>
      <c r="O9" s="261"/>
      <c r="P9" s="261"/>
      <c r="Q9" s="181"/>
      <c r="R9" s="181"/>
      <c r="S9" s="181"/>
      <c r="T9" s="181"/>
      <c r="U9" s="181"/>
      <c r="V9" s="181"/>
      <c r="W9" s="181"/>
      <c r="X9" s="181"/>
      <c r="Y9" s="181"/>
      <c r="Z9" s="181"/>
      <c r="AA9" s="181"/>
      <c r="AB9" s="181"/>
      <c r="AC9" s="181"/>
      <c r="AD9" s="181"/>
      <c r="AE9" s="181"/>
      <c r="AF9" s="181"/>
      <c r="AG9" s="181"/>
      <c r="AH9" s="181"/>
      <c r="AI9" s="181"/>
      <c r="AJ9" s="181"/>
      <c r="AK9" s="181"/>
      <c r="AL9" s="181"/>
      <c r="AM9" s="181"/>
      <c r="AN9" s="181"/>
      <c r="AO9" s="181"/>
      <c r="AP9" s="181"/>
      <c r="AQ9" s="181"/>
      <c r="AR9" s="181"/>
      <c r="AS9" s="181"/>
      <c r="AT9" s="181"/>
      <c r="AU9" s="181"/>
      <c r="AV9" s="181"/>
    </row>
    <row r="10" spans="1:48" ht="13.8" thickBot="1">
      <c r="A10" s="261"/>
      <c r="B10" s="261"/>
      <c r="C10" s="261"/>
      <c r="D10" s="261"/>
      <c r="E10" s="261"/>
      <c r="F10" s="261"/>
      <c r="G10" s="261"/>
      <c r="H10" s="261"/>
      <c r="I10" s="261"/>
      <c r="J10" s="261"/>
      <c r="K10" s="261"/>
      <c r="L10" s="261"/>
      <c r="M10" s="261"/>
      <c r="N10" s="261"/>
      <c r="O10" s="261"/>
      <c r="P10" s="261"/>
      <c r="Q10" s="181"/>
      <c r="R10" s="181"/>
      <c r="S10" s="181"/>
      <c r="T10" s="181"/>
      <c r="U10" s="181"/>
      <c r="V10" s="181"/>
      <c r="W10" s="181"/>
      <c r="X10" s="181"/>
      <c r="Y10" s="181"/>
      <c r="Z10" s="181"/>
      <c r="AA10" s="181"/>
      <c r="AB10" s="181"/>
      <c r="AC10" s="181"/>
      <c r="AD10" s="181"/>
      <c r="AE10" s="181"/>
      <c r="AF10" s="181"/>
      <c r="AG10" s="181"/>
      <c r="AH10" s="181"/>
      <c r="AI10" s="181"/>
      <c r="AJ10" s="181"/>
      <c r="AK10" s="181"/>
      <c r="AL10" s="181"/>
      <c r="AM10" s="181"/>
      <c r="AN10" s="181"/>
      <c r="AO10" s="181"/>
      <c r="AP10" s="181"/>
      <c r="AQ10" s="181"/>
      <c r="AR10" s="181"/>
      <c r="AS10" s="181"/>
      <c r="AT10" s="181"/>
      <c r="AU10" s="181"/>
      <c r="AV10" s="181"/>
    </row>
    <row r="11" spans="1:48" ht="13.8" thickBot="1">
      <c r="A11" s="262" t="s">
        <v>6</v>
      </c>
      <c r="B11" s="261"/>
      <c r="C11" s="261"/>
      <c r="D11" s="343">
        <f>'Datum Aer'!D11</f>
        <v>0</v>
      </c>
      <c r="E11" s="344"/>
      <c r="F11" s="344"/>
      <c r="G11" s="344"/>
      <c r="H11" s="344"/>
      <c r="I11" s="344"/>
      <c r="J11" s="344"/>
      <c r="K11" s="261"/>
      <c r="L11" s="261"/>
      <c r="M11" s="261"/>
      <c r="N11" s="261"/>
      <c r="O11" s="261"/>
      <c r="P11" s="261"/>
      <c r="Q11" s="181"/>
      <c r="R11" s="181"/>
      <c r="S11" s="181"/>
      <c r="T11" s="181"/>
      <c r="U11" s="181"/>
      <c r="V11" s="181"/>
      <c r="W11" s="181"/>
      <c r="X11" s="181"/>
      <c r="Y11" s="181"/>
      <c r="Z11" s="181"/>
      <c r="AA11" s="181"/>
      <c r="AB11" s="181"/>
      <c r="AC11" s="181"/>
      <c r="AD11" s="181"/>
      <c r="AE11" s="181"/>
      <c r="AF11" s="181"/>
      <c r="AG11" s="181"/>
      <c r="AH11" s="181"/>
      <c r="AI11" s="181"/>
      <c r="AJ11" s="181"/>
      <c r="AK11" s="181"/>
      <c r="AL11" s="181"/>
      <c r="AM11" s="181"/>
      <c r="AN11" s="181"/>
      <c r="AO11" s="181"/>
      <c r="AP11" s="181"/>
      <c r="AQ11" s="181"/>
      <c r="AR11" s="181"/>
      <c r="AS11" s="181"/>
      <c r="AT11" s="181"/>
      <c r="AU11" s="181"/>
      <c r="AV11" s="181"/>
    </row>
    <row r="12" spans="1:48">
      <c r="A12" s="261"/>
      <c r="B12" s="261"/>
      <c r="C12" s="261"/>
      <c r="D12" s="261"/>
      <c r="E12" s="261"/>
      <c r="F12" s="261"/>
      <c r="G12" s="261"/>
      <c r="H12" s="261"/>
      <c r="I12" s="261"/>
      <c r="J12" s="261"/>
      <c r="K12" s="261"/>
      <c r="L12" s="261"/>
      <c r="M12" s="261"/>
      <c r="N12" s="261"/>
      <c r="O12" s="261"/>
      <c r="P12" s="261"/>
      <c r="Q12" s="181"/>
      <c r="R12" s="181"/>
      <c r="S12" s="181"/>
      <c r="T12" s="181"/>
      <c r="U12" s="181"/>
      <c r="V12" s="181"/>
      <c r="W12" s="181"/>
      <c r="X12" s="181"/>
      <c r="Y12" s="181"/>
      <c r="Z12" s="181"/>
      <c r="AA12" s="181"/>
      <c r="AB12" s="181"/>
      <c r="AC12" s="181"/>
      <c r="AD12" s="181"/>
      <c r="AE12" s="181"/>
      <c r="AF12" s="181"/>
      <c r="AG12" s="181"/>
      <c r="AH12" s="181"/>
      <c r="AI12" s="181"/>
      <c r="AJ12" s="181"/>
      <c r="AK12" s="181"/>
      <c r="AL12" s="181"/>
      <c r="AM12" s="181"/>
      <c r="AN12" s="181"/>
      <c r="AO12" s="181"/>
      <c r="AP12" s="181"/>
      <c r="AQ12" s="181"/>
      <c r="AR12" s="181"/>
      <c r="AS12" s="181"/>
      <c r="AT12" s="181"/>
      <c r="AU12" s="181"/>
      <c r="AV12" s="181"/>
    </row>
    <row r="13" spans="1:48">
      <c r="A13" s="261"/>
      <c r="B13" s="261"/>
      <c r="C13" s="261"/>
      <c r="D13" s="261"/>
      <c r="E13" s="261"/>
      <c r="F13" s="261"/>
      <c r="G13" s="261"/>
      <c r="H13" s="261"/>
      <c r="I13" s="261"/>
      <c r="J13" s="261"/>
      <c r="K13" s="261"/>
      <c r="L13" s="261"/>
      <c r="M13" s="261"/>
      <c r="N13" s="261"/>
      <c r="O13" s="261"/>
      <c r="P13" s="261"/>
      <c r="Q13" s="181"/>
      <c r="R13" s="181"/>
      <c r="S13" s="181"/>
      <c r="T13" s="181"/>
      <c r="U13" s="181"/>
      <c r="V13" s="181"/>
      <c r="W13" s="181"/>
      <c r="X13" s="181"/>
      <c r="Y13" s="181"/>
      <c r="Z13" s="181"/>
      <c r="AA13" s="181"/>
      <c r="AB13" s="181"/>
      <c r="AC13" s="181"/>
      <c r="AD13" s="181"/>
      <c r="AE13" s="181"/>
      <c r="AF13" s="181"/>
      <c r="AG13" s="181"/>
      <c r="AH13" s="181"/>
      <c r="AI13" s="181"/>
      <c r="AJ13" s="181"/>
      <c r="AK13" s="181"/>
      <c r="AL13" s="181"/>
      <c r="AM13" s="181"/>
      <c r="AN13" s="181"/>
      <c r="AO13" s="181"/>
      <c r="AP13" s="181"/>
      <c r="AQ13" s="181"/>
      <c r="AR13" s="181"/>
      <c r="AS13" s="181"/>
      <c r="AT13" s="181"/>
      <c r="AU13" s="181"/>
      <c r="AV13" s="181"/>
    </row>
    <row r="14" spans="1:48" ht="15" customHeight="1">
      <c r="A14" s="345" t="s">
        <v>561</v>
      </c>
      <c r="B14" s="261"/>
      <c r="C14" s="345" t="s">
        <v>562</v>
      </c>
      <c r="D14" s="345"/>
      <c r="E14" s="345"/>
      <c r="F14" s="261"/>
      <c r="G14" s="345" t="s">
        <v>563</v>
      </c>
      <c r="H14" s="261"/>
      <c r="I14" s="345" t="s">
        <v>564</v>
      </c>
      <c r="J14" s="345"/>
      <c r="K14" s="345" t="s">
        <v>565</v>
      </c>
      <c r="L14" s="345"/>
      <c r="M14" s="261"/>
      <c r="N14" s="345" t="s">
        <v>566</v>
      </c>
      <c r="O14" s="345"/>
      <c r="P14" s="261"/>
      <c r="Q14" s="181"/>
      <c r="R14" s="181"/>
      <c r="S14" s="181"/>
      <c r="T14" s="181"/>
      <c r="U14" s="181"/>
      <c r="V14" s="181"/>
      <c r="W14" s="181"/>
      <c r="X14" s="181"/>
      <c r="Y14" s="181"/>
      <c r="Z14" s="181"/>
      <c r="AA14" s="181"/>
      <c r="AB14" s="181"/>
      <c r="AC14" s="181"/>
      <c r="AD14" s="181"/>
      <c r="AE14" s="181"/>
      <c r="AF14" s="181"/>
      <c r="AG14" s="181"/>
      <c r="AH14" s="181"/>
      <c r="AI14" s="181"/>
      <c r="AJ14" s="181"/>
      <c r="AK14" s="181"/>
      <c r="AL14" s="181"/>
      <c r="AM14" s="181"/>
      <c r="AN14" s="181"/>
      <c r="AO14" s="181"/>
      <c r="AP14" s="181"/>
      <c r="AQ14" s="181"/>
      <c r="AR14" s="181"/>
      <c r="AS14" s="181"/>
      <c r="AT14" s="181"/>
      <c r="AU14" s="181"/>
      <c r="AV14" s="181"/>
    </row>
    <row r="15" spans="1:48">
      <c r="A15" s="345"/>
      <c r="B15" s="261"/>
      <c r="C15" s="345"/>
      <c r="D15" s="345"/>
      <c r="E15" s="345"/>
      <c r="F15" s="261"/>
      <c r="G15" s="345"/>
      <c r="H15" s="261"/>
      <c r="I15" s="345"/>
      <c r="J15" s="345"/>
      <c r="K15" s="345"/>
      <c r="L15" s="345"/>
      <c r="M15" s="261"/>
      <c r="N15" s="345"/>
      <c r="O15" s="345"/>
      <c r="P15" s="261"/>
      <c r="Q15" s="181"/>
      <c r="R15" s="181"/>
      <c r="S15" s="181"/>
      <c r="T15" s="181"/>
      <c r="U15" s="181"/>
      <c r="V15" s="181"/>
      <c r="W15" s="181"/>
      <c r="X15" s="181"/>
      <c r="Y15" s="181"/>
      <c r="Z15" s="181"/>
      <c r="AA15" s="181"/>
      <c r="AB15" s="181"/>
      <c r="AC15" s="181"/>
      <c r="AD15" s="181"/>
      <c r="AE15" s="181"/>
      <c r="AF15" s="181"/>
      <c r="AG15" s="181"/>
      <c r="AH15" s="181"/>
      <c r="AI15" s="181"/>
      <c r="AJ15" s="181"/>
      <c r="AK15" s="181"/>
      <c r="AL15" s="181"/>
      <c r="AM15" s="181"/>
      <c r="AN15" s="181"/>
      <c r="AO15" s="181"/>
      <c r="AP15" s="181"/>
      <c r="AQ15" s="181"/>
      <c r="AR15" s="181"/>
      <c r="AS15" s="181"/>
      <c r="AT15" s="181"/>
      <c r="AU15" s="181"/>
      <c r="AV15" s="181"/>
    </row>
    <row r="16" spans="1:48" ht="46.2" customHeight="1">
      <c r="A16" s="345"/>
      <c r="B16" s="261"/>
      <c r="C16" s="345" t="s">
        <v>567</v>
      </c>
      <c r="D16" s="345"/>
      <c r="E16" s="345"/>
      <c r="F16" s="261"/>
      <c r="G16" s="268" t="s">
        <v>78</v>
      </c>
      <c r="H16" s="261"/>
      <c r="I16" s="268" t="s">
        <v>568</v>
      </c>
      <c r="J16" s="261"/>
      <c r="K16" s="268" t="s">
        <v>315</v>
      </c>
      <c r="L16" s="261"/>
      <c r="M16" s="261"/>
      <c r="N16" s="268" t="s">
        <v>569</v>
      </c>
      <c r="O16" s="261"/>
      <c r="P16" s="261"/>
      <c r="Q16" s="297" t="s">
        <v>578</v>
      </c>
      <c r="R16" s="297" t="s">
        <v>579</v>
      </c>
      <c r="S16" s="181"/>
      <c r="T16" s="181"/>
      <c r="U16" s="181"/>
      <c r="V16" s="181"/>
      <c r="W16" s="181"/>
      <c r="X16" s="181"/>
      <c r="Y16" s="181"/>
      <c r="Z16" s="181"/>
      <c r="AA16" s="181"/>
      <c r="AB16" s="181"/>
      <c r="AC16" s="181"/>
      <c r="AD16" s="181"/>
      <c r="AE16" s="181"/>
      <c r="AF16" s="181"/>
      <c r="AG16" s="181"/>
      <c r="AH16" s="181"/>
      <c r="AI16" s="181"/>
      <c r="AJ16" s="181"/>
      <c r="AK16" s="181"/>
      <c r="AL16" s="181"/>
      <c r="AM16" s="181"/>
      <c r="AN16" s="181"/>
      <c r="AO16" s="181"/>
      <c r="AP16" s="181"/>
      <c r="AQ16" s="181"/>
      <c r="AR16" s="181"/>
      <c r="AS16" s="181"/>
      <c r="AT16" s="181"/>
      <c r="AU16" s="181"/>
      <c r="AV16" s="181"/>
    </row>
    <row r="17" spans="1:48">
      <c r="A17" s="261"/>
      <c r="B17" s="261"/>
      <c r="C17" s="261"/>
      <c r="D17" s="261"/>
      <c r="E17" s="261"/>
      <c r="F17" s="261"/>
      <c r="G17" s="261"/>
      <c r="H17" s="261"/>
      <c r="I17" s="261"/>
      <c r="J17" s="261"/>
      <c r="K17" s="261"/>
      <c r="L17" s="261"/>
      <c r="M17" s="261"/>
      <c r="N17" s="261"/>
      <c r="O17" s="261"/>
      <c r="P17" s="261"/>
      <c r="Q17" s="181"/>
      <c r="R17" s="181"/>
      <c r="S17" s="181"/>
      <c r="T17" s="181"/>
      <c r="U17" s="181"/>
      <c r="V17" s="181"/>
      <c r="W17" s="181"/>
      <c r="X17" s="181"/>
      <c r="Y17" s="181"/>
      <c r="Z17" s="181"/>
      <c r="AA17" s="181"/>
      <c r="AB17" s="181"/>
      <c r="AC17" s="181"/>
      <c r="AD17" s="181"/>
      <c r="AE17" s="181"/>
      <c r="AF17" s="181"/>
      <c r="AG17" s="181"/>
      <c r="AH17" s="181"/>
      <c r="AI17" s="181"/>
      <c r="AJ17" s="181"/>
      <c r="AK17" s="181"/>
      <c r="AL17" s="181"/>
      <c r="AM17" s="181"/>
      <c r="AN17" s="181"/>
      <c r="AO17" s="181"/>
      <c r="AP17" s="181"/>
      <c r="AQ17" s="181"/>
      <c r="AR17" s="181"/>
      <c r="AS17" s="181"/>
      <c r="AT17" s="181"/>
      <c r="AU17" s="181"/>
      <c r="AV17" s="181"/>
    </row>
    <row r="18" spans="1:48">
      <c r="A18" s="161"/>
      <c r="B18" s="261"/>
      <c r="C18" s="161"/>
      <c r="D18" s="269" t="s">
        <v>570</v>
      </c>
      <c r="E18" s="161"/>
      <c r="F18" s="261"/>
      <c r="G18" s="295">
        <f>C18-E18</f>
        <v>0</v>
      </c>
      <c r="H18" s="261"/>
      <c r="I18" s="161"/>
      <c r="J18" s="266" t="s">
        <v>547</v>
      </c>
      <c r="K18" s="161"/>
      <c r="L18" s="266" t="s">
        <v>30</v>
      </c>
      <c r="M18" s="261"/>
      <c r="N18" s="286">
        <f>G18*K18</f>
        <v>0</v>
      </c>
      <c r="O18" s="266" t="s">
        <v>30</v>
      </c>
      <c r="P18" s="261"/>
      <c r="Q18" s="297">
        <f t="shared" ref="Q18:Q30" si="0">SIN(I18*PI()/180)*N18</f>
        <v>0</v>
      </c>
      <c r="R18" s="297">
        <f t="shared" ref="R18:R30" si="1">COS(I18*PI()/180)*N18</f>
        <v>0</v>
      </c>
      <c r="S18" s="181"/>
      <c r="T18" s="181"/>
      <c r="U18" s="181"/>
      <c r="V18" s="181"/>
      <c r="W18" s="181"/>
      <c r="X18" s="181"/>
      <c r="Y18" s="181"/>
      <c r="Z18" s="181"/>
      <c r="AA18" s="181"/>
      <c r="AB18" s="181"/>
      <c r="AC18" s="181"/>
      <c r="AD18" s="181"/>
      <c r="AE18" s="181"/>
      <c r="AF18" s="181"/>
      <c r="AG18" s="181"/>
      <c r="AH18" s="181"/>
      <c r="AI18" s="181"/>
      <c r="AJ18" s="181"/>
      <c r="AK18" s="181"/>
      <c r="AL18" s="181"/>
      <c r="AM18" s="181"/>
      <c r="AN18" s="181"/>
      <c r="AO18" s="181"/>
      <c r="AP18" s="181"/>
      <c r="AQ18" s="181"/>
      <c r="AR18" s="181"/>
      <c r="AS18" s="181"/>
      <c r="AT18" s="181"/>
      <c r="AU18" s="181"/>
      <c r="AV18" s="181"/>
    </row>
    <row r="19" spans="1:48">
      <c r="A19" s="261"/>
      <c r="B19" s="261"/>
      <c r="C19" s="261"/>
      <c r="D19" s="261"/>
      <c r="E19" s="261"/>
      <c r="F19" s="261"/>
      <c r="G19" s="261"/>
      <c r="H19" s="261"/>
      <c r="I19" s="261"/>
      <c r="J19" s="261"/>
      <c r="K19" s="261"/>
      <c r="L19" s="261"/>
      <c r="M19" s="261"/>
      <c r="N19" s="261"/>
      <c r="O19" s="261"/>
      <c r="P19" s="261"/>
      <c r="Q19" s="297">
        <f t="shared" si="0"/>
        <v>0</v>
      </c>
      <c r="R19" s="297">
        <f t="shared" si="1"/>
        <v>0</v>
      </c>
      <c r="S19" s="181"/>
      <c r="T19" s="181"/>
      <c r="U19" s="181"/>
      <c r="V19" s="181"/>
      <c r="W19" s="181"/>
      <c r="X19" s="181"/>
      <c r="Y19" s="181"/>
      <c r="Z19" s="181"/>
      <c r="AA19" s="181"/>
      <c r="AB19" s="181"/>
      <c r="AC19" s="181"/>
      <c r="AD19" s="181"/>
      <c r="AE19" s="181"/>
      <c r="AF19" s="181"/>
      <c r="AG19" s="181"/>
      <c r="AH19" s="181"/>
      <c r="AI19" s="181"/>
      <c r="AJ19" s="181"/>
      <c r="AK19" s="181"/>
      <c r="AL19" s="181"/>
      <c r="AM19" s="181"/>
      <c r="AN19" s="181"/>
      <c r="AO19" s="181"/>
      <c r="AP19" s="181"/>
      <c r="AQ19" s="181"/>
      <c r="AR19" s="181"/>
      <c r="AS19" s="181"/>
      <c r="AT19" s="181"/>
      <c r="AU19" s="181"/>
      <c r="AV19" s="181"/>
    </row>
    <row r="20" spans="1:48">
      <c r="A20" s="161"/>
      <c r="B20" s="261"/>
      <c r="C20" s="161"/>
      <c r="D20" s="269" t="s">
        <v>570</v>
      </c>
      <c r="E20" s="161"/>
      <c r="F20" s="261"/>
      <c r="G20" s="295">
        <f>C20-E20</f>
        <v>0</v>
      </c>
      <c r="H20" s="261"/>
      <c r="I20" s="161"/>
      <c r="J20" s="266" t="s">
        <v>547</v>
      </c>
      <c r="K20" s="161"/>
      <c r="L20" s="266" t="s">
        <v>30</v>
      </c>
      <c r="M20" s="261"/>
      <c r="N20" s="286">
        <f>G20*K20</f>
        <v>0</v>
      </c>
      <c r="O20" s="266" t="s">
        <v>30</v>
      </c>
      <c r="P20" s="261"/>
      <c r="Q20" s="297">
        <f t="shared" si="0"/>
        <v>0</v>
      </c>
      <c r="R20" s="297">
        <f t="shared" si="1"/>
        <v>0</v>
      </c>
      <c r="S20" s="181"/>
      <c r="T20" s="181"/>
      <c r="U20" s="181"/>
      <c r="V20" s="181"/>
      <c r="W20" s="181"/>
      <c r="X20" s="181"/>
      <c r="Y20" s="181"/>
      <c r="Z20" s="181"/>
      <c r="AA20" s="181"/>
      <c r="AB20" s="181"/>
      <c r="AC20" s="181"/>
      <c r="AD20" s="181"/>
      <c r="AE20" s="181"/>
      <c r="AF20" s="181"/>
      <c r="AG20" s="181"/>
      <c r="AH20" s="181"/>
      <c r="AI20" s="181"/>
      <c r="AJ20" s="181"/>
      <c r="AK20" s="181"/>
      <c r="AL20" s="181"/>
      <c r="AM20" s="181"/>
      <c r="AN20" s="181"/>
      <c r="AO20" s="181"/>
      <c r="AP20" s="181"/>
      <c r="AQ20" s="181"/>
      <c r="AR20" s="181"/>
      <c r="AS20" s="181"/>
      <c r="AT20" s="181"/>
      <c r="AU20" s="181"/>
      <c r="AV20" s="181"/>
    </row>
    <row r="21" spans="1:48">
      <c r="A21" s="261"/>
      <c r="B21" s="261"/>
      <c r="C21" s="261"/>
      <c r="D21" s="261"/>
      <c r="E21" s="261"/>
      <c r="F21" s="261"/>
      <c r="G21" s="261"/>
      <c r="H21" s="261"/>
      <c r="I21" s="261"/>
      <c r="J21" s="261"/>
      <c r="K21" s="261"/>
      <c r="L21" s="261"/>
      <c r="M21" s="261"/>
      <c r="N21" s="261"/>
      <c r="O21" s="261"/>
      <c r="P21" s="261"/>
      <c r="Q21" s="297">
        <f t="shared" si="0"/>
        <v>0</v>
      </c>
      <c r="R21" s="297">
        <f t="shared" si="1"/>
        <v>0</v>
      </c>
      <c r="S21" s="181"/>
      <c r="T21" s="181"/>
      <c r="U21" s="181"/>
      <c r="V21" s="181"/>
      <c r="W21" s="181"/>
      <c r="X21" s="181"/>
      <c r="Y21" s="181"/>
      <c r="Z21" s="181"/>
      <c r="AA21" s="181"/>
      <c r="AB21" s="181"/>
      <c r="AC21" s="181"/>
      <c r="AD21" s="181"/>
      <c r="AE21" s="181"/>
      <c r="AF21" s="181"/>
      <c r="AG21" s="181"/>
      <c r="AH21" s="181"/>
      <c r="AI21" s="181"/>
      <c r="AJ21" s="181"/>
      <c r="AK21" s="181"/>
      <c r="AL21" s="181"/>
      <c r="AM21" s="181"/>
      <c r="AN21" s="181"/>
      <c r="AO21" s="181"/>
      <c r="AP21" s="181"/>
      <c r="AQ21" s="181"/>
      <c r="AR21" s="181"/>
      <c r="AS21" s="181"/>
      <c r="AT21" s="181"/>
      <c r="AU21" s="181"/>
      <c r="AV21" s="181"/>
    </row>
    <row r="22" spans="1:48">
      <c r="A22" s="161"/>
      <c r="B22" s="261"/>
      <c r="C22" s="161"/>
      <c r="D22" s="269" t="s">
        <v>570</v>
      </c>
      <c r="E22" s="161"/>
      <c r="F22" s="261"/>
      <c r="G22" s="295">
        <f>C22-E22</f>
        <v>0</v>
      </c>
      <c r="H22" s="261"/>
      <c r="I22" s="161"/>
      <c r="J22" s="266" t="s">
        <v>547</v>
      </c>
      <c r="K22" s="161"/>
      <c r="L22" s="266" t="s">
        <v>30</v>
      </c>
      <c r="M22" s="261"/>
      <c r="N22" s="286">
        <f>G22*K22</f>
        <v>0</v>
      </c>
      <c r="O22" s="266" t="s">
        <v>30</v>
      </c>
      <c r="P22" s="261"/>
      <c r="Q22" s="297">
        <f t="shared" si="0"/>
        <v>0</v>
      </c>
      <c r="R22" s="297">
        <f t="shared" si="1"/>
        <v>0</v>
      </c>
      <c r="S22" s="181"/>
      <c r="T22" s="181"/>
      <c r="U22" s="181"/>
      <c r="V22" s="181"/>
      <c r="W22" s="181"/>
      <c r="X22" s="181"/>
      <c r="Y22" s="181"/>
      <c r="Z22" s="181"/>
      <c r="AA22" s="181"/>
      <c r="AB22" s="181"/>
      <c r="AC22" s="181"/>
      <c r="AD22" s="181"/>
      <c r="AE22" s="181"/>
      <c r="AF22" s="181"/>
      <c r="AG22" s="181"/>
      <c r="AH22" s="181"/>
      <c r="AI22" s="181"/>
      <c r="AJ22" s="181"/>
      <c r="AK22" s="181"/>
      <c r="AL22" s="181"/>
      <c r="AM22" s="181"/>
      <c r="AN22" s="181"/>
      <c r="AO22" s="181"/>
      <c r="AP22" s="181"/>
      <c r="AQ22" s="181"/>
      <c r="AR22" s="181"/>
      <c r="AS22" s="181"/>
      <c r="AT22" s="181"/>
      <c r="AU22" s="181"/>
      <c r="AV22" s="181"/>
    </row>
    <row r="23" spans="1:48">
      <c r="A23" s="261"/>
      <c r="B23" s="261"/>
      <c r="C23" s="261"/>
      <c r="D23" s="261"/>
      <c r="E23" s="261"/>
      <c r="F23" s="261"/>
      <c r="G23" s="261"/>
      <c r="H23" s="261"/>
      <c r="I23" s="261"/>
      <c r="J23" s="261"/>
      <c r="K23" s="261"/>
      <c r="L23" s="261"/>
      <c r="M23" s="261"/>
      <c r="N23" s="261"/>
      <c r="O23" s="261"/>
      <c r="P23" s="261"/>
      <c r="Q23" s="297">
        <f t="shared" si="0"/>
        <v>0</v>
      </c>
      <c r="R23" s="297">
        <f t="shared" si="1"/>
        <v>0</v>
      </c>
      <c r="S23" s="181"/>
      <c r="T23" s="181"/>
      <c r="U23" s="181"/>
      <c r="V23" s="181"/>
      <c r="W23" s="181"/>
      <c r="X23" s="181"/>
      <c r="Y23" s="181"/>
      <c r="Z23" s="181"/>
      <c r="AA23" s="181"/>
      <c r="AB23" s="181"/>
      <c r="AC23" s="181"/>
      <c r="AD23" s="181"/>
      <c r="AE23" s="181"/>
      <c r="AF23" s="181"/>
      <c r="AG23" s="181"/>
      <c r="AH23" s="181"/>
      <c r="AI23" s="181"/>
      <c r="AJ23" s="181"/>
      <c r="AK23" s="181"/>
      <c r="AL23" s="181"/>
      <c r="AM23" s="181"/>
      <c r="AN23" s="181"/>
      <c r="AO23" s="181"/>
      <c r="AP23" s="181"/>
      <c r="AQ23" s="181"/>
      <c r="AR23" s="181"/>
      <c r="AS23" s="181"/>
      <c r="AT23" s="181"/>
      <c r="AU23" s="181"/>
      <c r="AV23" s="181"/>
    </row>
    <row r="24" spans="1:48">
      <c r="A24" s="161"/>
      <c r="B24" s="261"/>
      <c r="C24" s="161"/>
      <c r="D24" s="269" t="s">
        <v>570</v>
      </c>
      <c r="E24" s="161"/>
      <c r="F24" s="261"/>
      <c r="G24" s="295">
        <f>C24-E24</f>
        <v>0</v>
      </c>
      <c r="H24" s="261"/>
      <c r="I24" s="161"/>
      <c r="J24" s="266" t="s">
        <v>547</v>
      </c>
      <c r="K24" s="161"/>
      <c r="L24" s="266" t="s">
        <v>30</v>
      </c>
      <c r="M24" s="261"/>
      <c r="N24" s="286">
        <f>G24*K24</f>
        <v>0</v>
      </c>
      <c r="O24" s="266" t="s">
        <v>30</v>
      </c>
      <c r="P24" s="261"/>
      <c r="Q24" s="297">
        <f t="shared" si="0"/>
        <v>0</v>
      </c>
      <c r="R24" s="297">
        <f t="shared" si="1"/>
        <v>0</v>
      </c>
      <c r="S24" s="181"/>
      <c r="T24" s="181"/>
      <c r="U24" s="181"/>
      <c r="V24" s="181"/>
      <c r="W24" s="181"/>
      <c r="X24" s="181"/>
      <c r="Y24" s="181"/>
      <c r="Z24" s="181"/>
      <c r="AA24" s="181"/>
      <c r="AB24" s="181"/>
      <c r="AC24" s="181"/>
      <c r="AD24" s="181"/>
      <c r="AE24" s="181"/>
      <c r="AF24" s="181"/>
      <c r="AG24" s="181"/>
      <c r="AH24" s="181"/>
      <c r="AI24" s="181"/>
      <c r="AJ24" s="181"/>
      <c r="AK24" s="181"/>
      <c r="AL24" s="181"/>
      <c r="AM24" s="181"/>
      <c r="AN24" s="181"/>
      <c r="AO24" s="181"/>
      <c r="AP24" s="181"/>
      <c r="AQ24" s="181"/>
      <c r="AR24" s="181"/>
      <c r="AS24" s="181"/>
      <c r="AT24" s="181"/>
      <c r="AU24" s="181"/>
      <c r="AV24" s="181"/>
    </row>
    <row r="25" spans="1:48">
      <c r="A25" s="261"/>
      <c r="B25" s="261"/>
      <c r="C25" s="261"/>
      <c r="D25" s="261"/>
      <c r="E25" s="261"/>
      <c r="F25" s="261"/>
      <c r="G25" s="261"/>
      <c r="H25" s="261"/>
      <c r="I25" s="261"/>
      <c r="J25" s="261"/>
      <c r="K25" s="261"/>
      <c r="L25" s="261"/>
      <c r="M25" s="261"/>
      <c r="N25" s="261"/>
      <c r="O25" s="261"/>
      <c r="P25" s="261"/>
      <c r="Q25" s="297">
        <f t="shared" si="0"/>
        <v>0</v>
      </c>
      <c r="R25" s="297">
        <f t="shared" si="1"/>
        <v>0</v>
      </c>
      <c r="S25" s="181"/>
      <c r="T25" s="181"/>
      <c r="U25" s="181"/>
      <c r="V25" s="181"/>
      <c r="W25" s="181"/>
      <c r="X25" s="181"/>
      <c r="Y25" s="181"/>
      <c r="Z25" s="181"/>
      <c r="AA25" s="181"/>
      <c r="AB25" s="181"/>
      <c r="AC25" s="181"/>
      <c r="AD25" s="181"/>
      <c r="AE25" s="181"/>
      <c r="AF25" s="181"/>
      <c r="AG25" s="181"/>
      <c r="AH25" s="181"/>
      <c r="AI25" s="181"/>
      <c r="AJ25" s="181"/>
      <c r="AK25" s="181"/>
      <c r="AL25" s="181"/>
      <c r="AM25" s="181"/>
      <c r="AN25" s="181"/>
      <c r="AO25" s="181"/>
      <c r="AP25" s="181"/>
      <c r="AQ25" s="181"/>
      <c r="AR25" s="181"/>
      <c r="AS25" s="181"/>
      <c r="AT25" s="181"/>
      <c r="AU25" s="181"/>
      <c r="AV25" s="181"/>
    </row>
    <row r="26" spans="1:48">
      <c r="A26" s="161"/>
      <c r="B26" s="261"/>
      <c r="C26" s="161"/>
      <c r="D26" s="269" t="s">
        <v>570</v>
      </c>
      <c r="E26" s="161"/>
      <c r="F26" s="261"/>
      <c r="G26" s="295">
        <f>C26-E26</f>
        <v>0</v>
      </c>
      <c r="H26" s="261"/>
      <c r="I26" s="161"/>
      <c r="J26" s="266" t="s">
        <v>547</v>
      </c>
      <c r="K26" s="161"/>
      <c r="L26" s="266" t="s">
        <v>30</v>
      </c>
      <c r="M26" s="261"/>
      <c r="N26" s="286">
        <f>G26*K26</f>
        <v>0</v>
      </c>
      <c r="O26" s="266" t="s">
        <v>30</v>
      </c>
      <c r="P26" s="261"/>
      <c r="Q26" s="297">
        <f t="shared" si="0"/>
        <v>0</v>
      </c>
      <c r="R26" s="297">
        <f t="shared" si="1"/>
        <v>0</v>
      </c>
      <c r="S26" s="181"/>
      <c r="T26" s="181"/>
      <c r="U26" s="181"/>
      <c r="V26" s="181"/>
      <c r="W26" s="181"/>
      <c r="X26" s="181"/>
      <c r="Y26" s="181"/>
      <c r="Z26" s="181"/>
      <c r="AA26" s="181"/>
      <c r="AB26" s="181"/>
      <c r="AC26" s="181"/>
      <c r="AD26" s="181"/>
      <c r="AE26" s="181"/>
      <c r="AF26" s="181"/>
      <c r="AG26" s="181"/>
      <c r="AH26" s="181"/>
      <c r="AI26" s="181"/>
      <c r="AJ26" s="181"/>
      <c r="AK26" s="181"/>
      <c r="AL26" s="181"/>
      <c r="AM26" s="181"/>
      <c r="AN26" s="181"/>
      <c r="AO26" s="181"/>
      <c r="AP26" s="181"/>
      <c r="AQ26" s="181"/>
      <c r="AR26" s="181"/>
      <c r="AS26" s="181"/>
      <c r="AT26" s="181"/>
      <c r="AU26" s="181"/>
      <c r="AV26" s="181"/>
    </row>
    <row r="27" spans="1:48">
      <c r="A27" s="261"/>
      <c r="B27" s="261"/>
      <c r="C27" s="261"/>
      <c r="D27" s="261"/>
      <c r="E27" s="261"/>
      <c r="F27" s="261"/>
      <c r="G27" s="261"/>
      <c r="H27" s="261"/>
      <c r="I27" s="261"/>
      <c r="J27" s="261"/>
      <c r="K27" s="261"/>
      <c r="L27" s="261"/>
      <c r="M27" s="261"/>
      <c r="N27" s="261"/>
      <c r="O27" s="261"/>
      <c r="P27" s="261"/>
      <c r="Q27" s="297">
        <f t="shared" si="0"/>
        <v>0</v>
      </c>
      <c r="R27" s="297">
        <f t="shared" si="1"/>
        <v>0</v>
      </c>
      <c r="S27" s="181"/>
      <c r="T27" s="181"/>
      <c r="U27" s="181"/>
      <c r="V27" s="181"/>
      <c r="W27" s="181"/>
      <c r="X27" s="181"/>
      <c r="Y27" s="181"/>
      <c r="Z27" s="181"/>
      <c r="AA27" s="181"/>
      <c r="AB27" s="181"/>
      <c r="AC27" s="181"/>
      <c r="AD27" s="181"/>
      <c r="AE27" s="181"/>
      <c r="AF27" s="181"/>
      <c r="AG27" s="181"/>
      <c r="AH27" s="181"/>
      <c r="AI27" s="181"/>
      <c r="AJ27" s="181"/>
      <c r="AK27" s="181"/>
      <c r="AL27" s="181"/>
      <c r="AM27" s="181"/>
      <c r="AN27" s="181"/>
      <c r="AO27" s="181"/>
      <c r="AP27" s="181"/>
      <c r="AQ27" s="181"/>
      <c r="AR27" s="181"/>
      <c r="AS27" s="181"/>
      <c r="AT27" s="181"/>
      <c r="AU27" s="181"/>
      <c r="AV27" s="181"/>
    </row>
    <row r="28" spans="1:48">
      <c r="A28" s="161"/>
      <c r="B28" s="261"/>
      <c r="C28" s="161"/>
      <c r="D28" s="269" t="s">
        <v>570</v>
      </c>
      <c r="E28" s="161"/>
      <c r="F28" s="261"/>
      <c r="G28" s="295">
        <f>C28-E28</f>
        <v>0</v>
      </c>
      <c r="H28" s="261"/>
      <c r="I28" s="161"/>
      <c r="J28" s="266" t="s">
        <v>547</v>
      </c>
      <c r="K28" s="161"/>
      <c r="L28" s="266" t="s">
        <v>30</v>
      </c>
      <c r="M28" s="261"/>
      <c r="N28" s="286">
        <f>G28*K28</f>
        <v>0</v>
      </c>
      <c r="O28" s="266" t="s">
        <v>30</v>
      </c>
      <c r="P28" s="261"/>
      <c r="Q28" s="297">
        <f t="shared" si="0"/>
        <v>0</v>
      </c>
      <c r="R28" s="297">
        <f t="shared" si="1"/>
        <v>0</v>
      </c>
      <c r="S28" s="181"/>
      <c r="T28" s="181"/>
      <c r="U28" s="181"/>
      <c r="V28" s="181"/>
      <c r="W28" s="181"/>
      <c r="X28" s="181"/>
      <c r="Y28" s="181"/>
      <c r="Z28" s="181"/>
      <c r="AA28" s="181"/>
      <c r="AB28" s="181"/>
      <c r="AC28" s="181"/>
      <c r="AD28" s="181"/>
      <c r="AE28" s="181"/>
      <c r="AF28" s="181"/>
      <c r="AG28" s="181"/>
      <c r="AH28" s="181"/>
      <c r="AI28" s="181"/>
      <c r="AJ28" s="181"/>
      <c r="AK28" s="181"/>
      <c r="AL28" s="181"/>
      <c r="AM28" s="181"/>
      <c r="AN28" s="181"/>
      <c r="AO28" s="181"/>
      <c r="AP28" s="181"/>
      <c r="AQ28" s="181"/>
      <c r="AR28" s="181"/>
      <c r="AS28" s="181"/>
      <c r="AT28" s="181"/>
      <c r="AU28" s="181"/>
      <c r="AV28" s="181"/>
    </row>
    <row r="29" spans="1:48">
      <c r="A29" s="261"/>
      <c r="B29" s="261"/>
      <c r="C29" s="261"/>
      <c r="D29" s="261"/>
      <c r="E29" s="261"/>
      <c r="F29" s="261"/>
      <c r="G29" s="261"/>
      <c r="H29" s="261"/>
      <c r="I29" s="261"/>
      <c r="J29" s="261"/>
      <c r="K29" s="261"/>
      <c r="L29" s="261"/>
      <c r="M29" s="261"/>
      <c r="N29" s="261"/>
      <c r="O29" s="261"/>
      <c r="P29" s="261"/>
      <c r="Q29" s="297">
        <f t="shared" si="0"/>
        <v>0</v>
      </c>
      <c r="R29" s="297">
        <f t="shared" si="1"/>
        <v>0</v>
      </c>
      <c r="S29" s="181"/>
      <c r="T29" s="181"/>
      <c r="U29" s="181"/>
      <c r="V29" s="181"/>
      <c r="W29" s="181"/>
      <c r="X29" s="181"/>
      <c r="Y29" s="181"/>
      <c r="Z29" s="181"/>
      <c r="AA29" s="181"/>
      <c r="AB29" s="181"/>
      <c r="AC29" s="181"/>
      <c r="AD29" s="181"/>
      <c r="AE29" s="181"/>
      <c r="AF29" s="181"/>
      <c r="AG29" s="181"/>
      <c r="AH29" s="181"/>
      <c r="AI29" s="181"/>
      <c r="AJ29" s="181"/>
      <c r="AK29" s="181"/>
      <c r="AL29" s="181"/>
      <c r="AM29" s="181"/>
      <c r="AN29" s="181"/>
      <c r="AO29" s="181"/>
      <c r="AP29" s="181"/>
      <c r="AQ29" s="181"/>
      <c r="AR29" s="181"/>
      <c r="AS29" s="181"/>
      <c r="AT29" s="181"/>
      <c r="AU29" s="181"/>
      <c r="AV29" s="181"/>
    </row>
    <row r="30" spans="1:48">
      <c r="A30" s="161"/>
      <c r="B30" s="261"/>
      <c r="C30" s="161"/>
      <c r="D30" s="269" t="s">
        <v>570</v>
      </c>
      <c r="E30" s="161"/>
      <c r="F30" s="261"/>
      <c r="G30" s="295">
        <f>C30-E30</f>
        <v>0</v>
      </c>
      <c r="H30" s="261"/>
      <c r="I30" s="161"/>
      <c r="J30" s="266" t="s">
        <v>547</v>
      </c>
      <c r="K30" s="161"/>
      <c r="L30" s="266" t="s">
        <v>30</v>
      </c>
      <c r="M30" s="261"/>
      <c r="N30" s="286">
        <f>G30*K30</f>
        <v>0</v>
      </c>
      <c r="O30" s="266" t="s">
        <v>30</v>
      </c>
      <c r="P30" s="261"/>
      <c r="Q30" s="297">
        <f t="shared" si="0"/>
        <v>0</v>
      </c>
      <c r="R30" s="297">
        <f t="shared" si="1"/>
        <v>0</v>
      </c>
      <c r="S30" s="181"/>
      <c r="T30" s="181"/>
      <c r="U30" s="181"/>
      <c r="V30" s="181"/>
      <c r="W30" s="181"/>
      <c r="X30" s="181"/>
      <c r="Y30" s="181"/>
      <c r="Z30" s="181"/>
      <c r="AA30" s="181"/>
      <c r="AB30" s="181"/>
      <c r="AC30" s="181"/>
      <c r="AD30" s="181"/>
      <c r="AE30" s="181"/>
      <c r="AF30" s="181"/>
      <c r="AG30" s="181"/>
      <c r="AH30" s="181"/>
      <c r="AI30" s="181"/>
      <c r="AJ30" s="181"/>
      <c r="AK30" s="181"/>
      <c r="AL30" s="181"/>
      <c r="AM30" s="181"/>
      <c r="AN30" s="181"/>
      <c r="AO30" s="181"/>
      <c r="AP30" s="181"/>
      <c r="AQ30" s="181"/>
      <c r="AR30" s="181"/>
      <c r="AS30" s="181"/>
      <c r="AT30" s="181"/>
      <c r="AU30" s="181"/>
      <c r="AV30" s="181"/>
    </row>
    <row r="31" spans="1:48">
      <c r="A31" s="261"/>
      <c r="B31" s="261"/>
      <c r="C31" s="261"/>
      <c r="D31" s="261"/>
      <c r="E31" s="261"/>
      <c r="F31" s="261"/>
      <c r="G31" s="261"/>
      <c r="H31" s="261"/>
      <c r="I31" s="261"/>
      <c r="J31" s="261"/>
      <c r="K31" s="261"/>
      <c r="L31" s="261"/>
      <c r="M31" s="261"/>
      <c r="N31" s="261"/>
      <c r="O31" s="261"/>
      <c r="P31" s="261"/>
      <c r="Q31" s="181"/>
      <c r="R31" s="181"/>
      <c r="S31" s="181"/>
      <c r="T31" s="181"/>
      <c r="U31" s="181"/>
      <c r="V31" s="181"/>
      <c r="W31" s="181"/>
      <c r="X31" s="181"/>
      <c r="Y31" s="181"/>
      <c r="Z31" s="181"/>
      <c r="AA31" s="181"/>
      <c r="AB31" s="181"/>
      <c r="AC31" s="181"/>
      <c r="AD31" s="181"/>
      <c r="AE31" s="181"/>
      <c r="AF31" s="181"/>
      <c r="AG31" s="181"/>
      <c r="AH31" s="181"/>
      <c r="AI31" s="181"/>
      <c r="AJ31" s="181"/>
      <c r="AK31" s="181"/>
      <c r="AL31" s="181"/>
      <c r="AM31" s="181"/>
      <c r="AN31" s="181"/>
      <c r="AO31" s="181"/>
      <c r="AP31" s="181"/>
      <c r="AQ31" s="181"/>
      <c r="AR31" s="181"/>
      <c r="AS31" s="181"/>
      <c r="AT31" s="181"/>
      <c r="AU31" s="181"/>
      <c r="AV31" s="181"/>
    </row>
    <row r="32" spans="1:48">
      <c r="A32" s="261"/>
      <c r="B32" s="261"/>
      <c r="C32" s="261"/>
      <c r="D32" s="261"/>
      <c r="E32" s="261"/>
      <c r="F32" s="261"/>
      <c r="G32" s="261"/>
      <c r="H32" s="261"/>
      <c r="I32" s="261"/>
      <c r="J32" s="261"/>
      <c r="K32" s="261"/>
      <c r="L32" s="261"/>
      <c r="M32" s="261"/>
      <c r="N32" s="261"/>
      <c r="O32" s="261"/>
      <c r="P32" s="261"/>
      <c r="Q32" s="181"/>
      <c r="R32" s="181"/>
      <c r="S32" s="181"/>
      <c r="T32" s="181"/>
      <c r="U32" s="181"/>
      <c r="V32" s="181"/>
      <c r="W32" s="181"/>
      <c r="X32" s="181"/>
      <c r="Y32" s="181"/>
      <c r="Z32" s="181"/>
      <c r="AA32" s="181"/>
      <c r="AB32" s="181"/>
      <c r="AC32" s="181"/>
      <c r="AD32" s="181"/>
      <c r="AE32" s="181"/>
      <c r="AF32" s="181"/>
      <c r="AG32" s="181"/>
      <c r="AH32" s="181"/>
      <c r="AI32" s="181"/>
      <c r="AJ32" s="181"/>
      <c r="AK32" s="181"/>
      <c r="AL32" s="181"/>
      <c r="AM32" s="181"/>
      <c r="AN32" s="181"/>
      <c r="AO32" s="181"/>
      <c r="AP32" s="181"/>
      <c r="AQ32" s="181"/>
      <c r="AR32" s="181"/>
      <c r="AS32" s="181"/>
      <c r="AT32" s="181"/>
      <c r="AU32" s="181"/>
      <c r="AV32" s="181"/>
    </row>
    <row r="33" spans="1:48" ht="19.350000000000001" customHeight="1">
      <c r="A33" s="348" t="s">
        <v>571</v>
      </c>
      <c r="B33" s="348"/>
      <c r="C33" s="261"/>
      <c r="D33" s="346">
        <f>G18+G20+G22+G24+G26+G28+G30</f>
        <v>0</v>
      </c>
      <c r="E33" s="346"/>
      <c r="F33" s="261"/>
      <c r="G33" s="348" t="s">
        <v>87</v>
      </c>
      <c r="H33" s="348"/>
      <c r="I33" s="348"/>
      <c r="J33" s="348"/>
      <c r="K33" s="286">
        <f>IFERROR(ROUND(IF(Q33&lt;0,IF(R33&lt;0,Q34+180,Q34+360),IF(R33&lt;0,Q34+180,Q34)),0),0)</f>
        <v>0</v>
      </c>
      <c r="L33" s="266" t="s">
        <v>547</v>
      </c>
      <c r="M33" s="288">
        <f>ROUND(SQRT(Q33^2+R33^2),1)</f>
        <v>0</v>
      </c>
      <c r="N33" s="266" t="s">
        <v>30</v>
      </c>
      <c r="O33" s="261"/>
      <c r="P33" s="261"/>
      <c r="Q33" s="297">
        <f>Q18+Q20+Q22+Q24+Q26+Q28+Q30</f>
        <v>0</v>
      </c>
      <c r="R33" s="297">
        <f>R18+R20+R22+R24+R26+R28+R30</f>
        <v>0</v>
      </c>
      <c r="S33" s="181"/>
      <c r="T33" s="181"/>
      <c r="U33" s="181"/>
      <c r="V33" s="181"/>
      <c r="W33" s="181"/>
      <c r="X33" s="181"/>
      <c r="Y33" s="181"/>
      <c r="Z33" s="181"/>
      <c r="AA33" s="181"/>
      <c r="AB33" s="181"/>
      <c r="AC33" s="181"/>
      <c r="AD33" s="181"/>
      <c r="AE33" s="181"/>
      <c r="AF33" s="181"/>
      <c r="AG33" s="181"/>
      <c r="AH33" s="181"/>
      <c r="AI33" s="181"/>
      <c r="AJ33" s="181"/>
      <c r="AK33" s="181"/>
      <c r="AL33" s="181"/>
      <c r="AM33" s="181"/>
      <c r="AN33" s="181"/>
      <c r="AO33" s="181"/>
      <c r="AP33" s="181"/>
      <c r="AQ33" s="181"/>
      <c r="AR33" s="181"/>
      <c r="AS33" s="181"/>
      <c r="AT33" s="181"/>
      <c r="AU33" s="181"/>
      <c r="AV33" s="181"/>
    </row>
    <row r="34" spans="1:48" ht="16.2" customHeight="1">
      <c r="A34" s="347" t="s">
        <v>572</v>
      </c>
      <c r="B34" s="347"/>
      <c r="C34" s="261"/>
      <c r="D34" s="347" t="s">
        <v>86</v>
      </c>
      <c r="E34" s="347"/>
      <c r="F34" s="261"/>
      <c r="G34" s="347" t="s">
        <v>88</v>
      </c>
      <c r="H34" s="347"/>
      <c r="I34" s="347"/>
      <c r="J34" s="347"/>
      <c r="K34" s="284" t="s">
        <v>89</v>
      </c>
      <c r="L34" s="285"/>
      <c r="M34" s="284" t="s">
        <v>90</v>
      </c>
      <c r="N34" s="261"/>
      <c r="O34" s="261"/>
      <c r="P34" s="261"/>
      <c r="Q34" s="297" t="e">
        <f>ATAN(Q33/R33)*180/PI()</f>
        <v>#DIV/0!</v>
      </c>
      <c r="R34" s="181"/>
      <c r="S34" s="181"/>
      <c r="T34" s="181"/>
      <c r="U34" s="181"/>
      <c r="V34" s="181"/>
      <c r="W34" s="181"/>
      <c r="X34" s="181"/>
      <c r="Y34" s="181"/>
      <c r="Z34" s="181"/>
      <c r="AA34" s="181"/>
      <c r="AB34" s="181"/>
      <c r="AC34" s="181"/>
      <c r="AD34" s="181"/>
      <c r="AE34" s="181"/>
      <c r="AF34" s="181"/>
      <c r="AG34" s="181"/>
      <c r="AH34" s="181"/>
      <c r="AI34" s="181"/>
      <c r="AJ34" s="181"/>
      <c r="AK34" s="181"/>
      <c r="AL34" s="181"/>
      <c r="AM34" s="181"/>
      <c r="AN34" s="181"/>
      <c r="AO34" s="181"/>
      <c r="AP34" s="181"/>
      <c r="AQ34" s="181"/>
      <c r="AR34" s="181"/>
      <c r="AS34" s="181"/>
      <c r="AT34" s="181"/>
      <c r="AU34" s="181"/>
      <c r="AV34" s="181"/>
    </row>
    <row r="35" spans="1:48">
      <c r="A35" s="261"/>
      <c r="B35" s="261"/>
      <c r="C35" s="261"/>
      <c r="D35" s="261"/>
      <c r="E35" s="261"/>
      <c r="F35" s="261"/>
      <c r="G35" s="261"/>
      <c r="H35" s="261"/>
      <c r="I35" s="261"/>
      <c r="J35" s="261"/>
      <c r="K35" s="261"/>
      <c r="L35" s="261"/>
      <c r="M35" s="261"/>
      <c r="N35" s="261"/>
      <c r="O35" s="261"/>
      <c r="P35" s="261"/>
      <c r="Q35" s="181"/>
      <c r="R35" s="181"/>
      <c r="S35" s="181"/>
      <c r="T35" s="181"/>
      <c r="U35" s="181"/>
      <c r="V35" s="181"/>
      <c r="W35" s="181"/>
      <c r="X35" s="181"/>
      <c r="Y35" s="181"/>
      <c r="Z35" s="181"/>
      <c r="AA35" s="181"/>
      <c r="AB35" s="181"/>
      <c r="AC35" s="181"/>
      <c r="AD35" s="181"/>
      <c r="AE35" s="181"/>
      <c r="AF35" s="181"/>
      <c r="AG35" s="181"/>
      <c r="AH35" s="181"/>
      <c r="AI35" s="181"/>
      <c r="AJ35" s="181"/>
      <c r="AK35" s="181"/>
      <c r="AL35" s="181"/>
      <c r="AM35" s="181"/>
      <c r="AN35" s="181"/>
      <c r="AO35" s="181"/>
      <c r="AP35" s="181"/>
      <c r="AQ35" s="181"/>
      <c r="AR35" s="181"/>
      <c r="AS35" s="181"/>
      <c r="AT35" s="181"/>
      <c r="AU35" s="181"/>
      <c r="AV35" s="181"/>
    </row>
    <row r="36" spans="1:48">
      <c r="A36" s="340" t="s">
        <v>573</v>
      </c>
      <c r="B36" s="340"/>
      <c r="C36" s="340"/>
      <c r="D36" s="340"/>
      <c r="E36" s="340"/>
      <c r="F36" s="340"/>
      <c r="G36" s="261"/>
      <c r="H36" s="261"/>
      <c r="I36" s="286">
        <f>K33</f>
        <v>0</v>
      </c>
      <c r="J36" s="280" t="s">
        <v>547</v>
      </c>
      <c r="K36" s="287">
        <f>IFERROR(M33/D33,0)</f>
        <v>0</v>
      </c>
      <c r="L36" s="266" t="s">
        <v>30</v>
      </c>
      <c r="M36" s="261"/>
      <c r="N36" s="261"/>
      <c r="O36" s="261"/>
      <c r="P36" s="261"/>
      <c r="Q36" s="304" t="s">
        <v>337</v>
      </c>
      <c r="R36" s="181"/>
      <c r="S36" s="181"/>
      <c r="T36" s="181"/>
      <c r="U36" s="181"/>
      <c r="V36" s="181"/>
      <c r="W36" s="181"/>
      <c r="X36" s="181"/>
      <c r="Y36" s="181"/>
      <c r="Z36" s="181"/>
      <c r="AA36" s="181"/>
      <c r="AB36" s="181"/>
      <c r="AC36" s="181"/>
      <c r="AD36" s="181"/>
      <c r="AE36" s="181"/>
      <c r="AF36" s="181"/>
      <c r="AG36" s="181"/>
      <c r="AH36" s="181"/>
      <c r="AI36" s="181"/>
      <c r="AJ36" s="181"/>
      <c r="AK36" s="181"/>
      <c r="AL36" s="181"/>
      <c r="AM36" s="181"/>
      <c r="AN36" s="181"/>
      <c r="AO36" s="181"/>
      <c r="AP36" s="181"/>
      <c r="AQ36" s="181"/>
      <c r="AR36" s="181"/>
      <c r="AS36" s="181"/>
      <c r="AT36" s="181"/>
      <c r="AU36" s="181"/>
      <c r="AV36" s="181"/>
    </row>
    <row r="37" spans="1:48">
      <c r="A37" s="261"/>
      <c r="B37" s="261"/>
      <c r="C37" s="261"/>
      <c r="D37" s="261"/>
      <c r="E37" s="261"/>
      <c r="F37" s="261"/>
      <c r="G37" s="261"/>
      <c r="H37" s="261"/>
      <c r="I37" s="261"/>
      <c r="J37" s="261"/>
      <c r="K37" s="261"/>
      <c r="L37" s="261"/>
      <c r="M37" s="261"/>
      <c r="N37" s="261"/>
      <c r="O37" s="261"/>
      <c r="P37" s="261"/>
      <c r="Q37" s="181"/>
      <c r="R37" s="181"/>
      <c r="S37" s="181"/>
      <c r="T37" s="181"/>
      <c r="U37" s="181"/>
      <c r="V37" s="181"/>
      <c r="W37" s="181"/>
      <c r="X37" s="181"/>
      <c r="Y37" s="181"/>
      <c r="Z37" s="181"/>
      <c r="AA37" s="181"/>
      <c r="AB37" s="181"/>
      <c r="AC37" s="181"/>
      <c r="AD37" s="181"/>
      <c r="AE37" s="181"/>
      <c r="AF37" s="181"/>
      <c r="AG37" s="181"/>
      <c r="AH37" s="181"/>
      <c r="AI37" s="181"/>
      <c r="AJ37" s="181"/>
      <c r="AK37" s="181"/>
      <c r="AL37" s="181"/>
      <c r="AM37" s="181"/>
      <c r="AN37" s="181"/>
      <c r="AO37" s="181"/>
      <c r="AP37" s="181"/>
      <c r="AQ37" s="181"/>
      <c r="AR37" s="181"/>
      <c r="AS37" s="181"/>
      <c r="AT37" s="181"/>
      <c r="AU37" s="181"/>
      <c r="AV37" s="181"/>
    </row>
    <row r="38" spans="1:48">
      <c r="A38" s="261"/>
      <c r="B38" s="261"/>
      <c r="C38" s="261"/>
      <c r="D38" s="261"/>
      <c r="E38" s="261"/>
      <c r="F38" s="261"/>
      <c r="G38" s="261"/>
      <c r="H38" s="261"/>
      <c r="I38" s="261"/>
      <c r="J38" s="261"/>
      <c r="K38" s="261"/>
      <c r="L38" s="261"/>
      <c r="M38" s="261"/>
      <c r="N38" s="261"/>
      <c r="O38" s="261"/>
      <c r="P38" s="261"/>
      <c r="Q38" s="181"/>
      <c r="R38" s="181"/>
      <c r="S38" s="181"/>
      <c r="T38" s="181"/>
      <c r="U38" s="181"/>
      <c r="V38" s="181"/>
      <c r="W38" s="181"/>
      <c r="X38" s="181"/>
      <c r="Y38" s="181"/>
      <c r="Z38" s="181"/>
      <c r="AA38" s="181"/>
      <c r="AB38" s="181"/>
      <c r="AC38" s="181"/>
      <c r="AD38" s="181"/>
      <c r="AE38" s="181"/>
      <c r="AF38" s="181"/>
      <c r="AG38" s="181"/>
      <c r="AH38" s="181"/>
      <c r="AI38" s="181"/>
      <c r="AJ38" s="181"/>
      <c r="AK38" s="181"/>
      <c r="AL38" s="181"/>
      <c r="AM38" s="181"/>
      <c r="AN38" s="181"/>
      <c r="AO38" s="181"/>
      <c r="AP38" s="181"/>
      <c r="AQ38" s="181"/>
      <c r="AR38" s="181"/>
      <c r="AS38" s="181"/>
      <c r="AT38" s="181"/>
      <c r="AU38" s="181"/>
      <c r="AV38" s="181"/>
    </row>
    <row r="39" spans="1:48">
      <c r="A39" s="261"/>
      <c r="B39" s="261"/>
      <c r="C39" s="261"/>
      <c r="D39" s="261"/>
      <c r="E39" s="261"/>
      <c r="F39" s="261"/>
      <c r="G39" s="261"/>
      <c r="H39" s="261"/>
      <c r="I39" s="261"/>
      <c r="J39" s="261"/>
      <c r="K39" s="261"/>
      <c r="L39" s="261"/>
      <c r="M39" s="261"/>
      <c r="N39" s="261"/>
      <c r="O39" s="261"/>
      <c r="P39" s="261"/>
      <c r="Q39" s="181"/>
      <c r="R39" s="181"/>
      <c r="S39" s="181"/>
      <c r="T39" s="181"/>
      <c r="U39" s="181"/>
      <c r="V39" s="181"/>
      <c r="W39" s="181"/>
      <c r="X39" s="181"/>
      <c r="Y39" s="181"/>
      <c r="Z39" s="181"/>
      <c r="AA39" s="181"/>
      <c r="AB39" s="181"/>
      <c r="AC39" s="181"/>
      <c r="AD39" s="181"/>
      <c r="AE39" s="181"/>
      <c r="AF39" s="181"/>
      <c r="AG39" s="181"/>
      <c r="AH39" s="181"/>
      <c r="AI39" s="181"/>
      <c r="AJ39" s="181"/>
      <c r="AK39" s="181"/>
      <c r="AL39" s="181"/>
      <c r="AM39" s="181"/>
      <c r="AN39" s="181"/>
      <c r="AO39" s="181"/>
      <c r="AP39" s="181"/>
      <c r="AQ39" s="181"/>
      <c r="AR39" s="181"/>
      <c r="AS39" s="181"/>
      <c r="AT39" s="181"/>
      <c r="AU39" s="181"/>
      <c r="AV39" s="181"/>
    </row>
    <row r="40" spans="1:48">
      <c r="A40" s="181"/>
      <c r="B40" s="181"/>
      <c r="C40" s="181"/>
      <c r="D40" s="181"/>
      <c r="E40" s="181"/>
      <c r="F40" s="181"/>
      <c r="G40" s="181"/>
      <c r="H40" s="181"/>
      <c r="I40" s="181"/>
      <c r="J40" s="181"/>
      <c r="K40" s="181"/>
      <c r="L40" s="181"/>
      <c r="M40" s="181"/>
      <c r="N40" s="181"/>
      <c r="O40" s="181"/>
      <c r="P40" s="181"/>
      <c r="Q40" s="181"/>
      <c r="R40" s="181"/>
      <c r="S40" s="181"/>
      <c r="T40" s="181"/>
      <c r="U40" s="181"/>
      <c r="V40" s="181"/>
      <c r="W40" s="181"/>
      <c r="X40" s="181"/>
      <c r="Y40" s="181"/>
      <c r="Z40" s="181"/>
      <c r="AA40" s="181"/>
      <c r="AB40" s="181"/>
      <c r="AC40" s="181"/>
      <c r="AD40" s="181"/>
      <c r="AE40" s="181"/>
      <c r="AF40" s="181"/>
      <c r="AG40" s="181"/>
      <c r="AH40" s="181"/>
      <c r="AI40" s="181"/>
      <c r="AJ40" s="181"/>
      <c r="AK40" s="181"/>
      <c r="AL40" s="181"/>
      <c r="AM40" s="181"/>
      <c r="AN40" s="181"/>
      <c r="AO40" s="181"/>
      <c r="AP40" s="181"/>
      <c r="AQ40" s="181"/>
      <c r="AR40" s="181"/>
      <c r="AS40" s="181"/>
      <c r="AT40" s="181"/>
      <c r="AU40" s="181"/>
      <c r="AV40" s="181"/>
    </row>
    <row r="41" spans="1:48">
      <c r="A41" s="181"/>
      <c r="B41" s="181"/>
      <c r="C41" s="181"/>
      <c r="D41" s="181"/>
      <c r="E41" s="181"/>
      <c r="F41" s="181"/>
      <c r="G41" s="181"/>
      <c r="H41" s="181"/>
      <c r="I41" s="181"/>
      <c r="J41" s="181"/>
      <c r="K41" s="181"/>
      <c r="L41" s="181"/>
      <c r="M41" s="181"/>
      <c r="N41" s="181"/>
      <c r="O41" s="181"/>
      <c r="P41" s="181"/>
      <c r="Q41" s="181"/>
      <c r="R41" s="181"/>
      <c r="S41" s="181"/>
      <c r="T41" s="181"/>
      <c r="U41" s="181"/>
      <c r="V41" s="181"/>
      <c r="W41" s="181"/>
      <c r="X41" s="181"/>
      <c r="Y41" s="181"/>
      <c r="Z41" s="181"/>
      <c r="AA41" s="181"/>
      <c r="AB41" s="181"/>
      <c r="AC41" s="181"/>
      <c r="AD41" s="181"/>
      <c r="AE41" s="181"/>
      <c r="AF41" s="181"/>
      <c r="AG41" s="181"/>
      <c r="AH41" s="181"/>
      <c r="AI41" s="181"/>
      <c r="AJ41" s="181"/>
      <c r="AK41" s="181"/>
      <c r="AL41" s="181"/>
      <c r="AM41" s="181"/>
      <c r="AN41" s="181"/>
      <c r="AO41" s="181"/>
      <c r="AP41" s="181"/>
      <c r="AQ41" s="181"/>
      <c r="AR41" s="181"/>
      <c r="AS41" s="181"/>
      <c r="AT41" s="181"/>
      <c r="AU41" s="181"/>
      <c r="AV41" s="181"/>
    </row>
    <row r="42" spans="1:48">
      <c r="A42" s="181"/>
      <c r="B42" s="181"/>
      <c r="C42" s="181"/>
      <c r="D42" s="181"/>
      <c r="E42" s="181"/>
      <c r="F42" s="181"/>
      <c r="G42" s="181"/>
      <c r="H42" s="181"/>
      <c r="I42" s="181"/>
      <c r="J42" s="181"/>
      <c r="K42" s="181"/>
      <c r="L42" s="181"/>
      <c r="M42" s="181"/>
      <c r="N42" s="181"/>
      <c r="O42" s="181"/>
      <c r="P42" s="181"/>
      <c r="Q42" s="181"/>
      <c r="R42" s="181"/>
      <c r="S42" s="181"/>
      <c r="T42" s="181"/>
      <c r="U42" s="181"/>
      <c r="V42" s="181"/>
      <c r="W42" s="181"/>
      <c r="X42" s="181"/>
      <c r="Y42" s="181"/>
      <c r="Z42" s="181"/>
      <c r="AA42" s="181"/>
      <c r="AB42" s="181"/>
    </row>
    <row r="43" spans="1:48">
      <c r="A43" s="181"/>
      <c r="B43" s="181"/>
      <c r="C43" s="181"/>
      <c r="D43" s="181"/>
      <c r="E43" s="181"/>
      <c r="F43" s="181"/>
      <c r="G43" s="181"/>
      <c r="H43" s="181"/>
      <c r="I43" s="181"/>
      <c r="J43" s="181"/>
      <c r="K43" s="181"/>
      <c r="L43" s="181"/>
      <c r="M43" s="181"/>
      <c r="N43" s="181"/>
      <c r="O43" s="181"/>
      <c r="P43" s="181"/>
      <c r="Q43" s="181"/>
      <c r="R43" s="181"/>
      <c r="S43" s="181"/>
      <c r="T43" s="181"/>
      <c r="U43" s="181"/>
      <c r="V43" s="181"/>
      <c r="W43" s="181"/>
      <c r="X43" s="181"/>
      <c r="Y43" s="181"/>
      <c r="Z43" s="181"/>
      <c r="AA43" s="181"/>
      <c r="AB43" s="181"/>
    </row>
    <row r="44" spans="1:48">
      <c r="A44" s="181"/>
      <c r="B44" s="181"/>
      <c r="C44" s="181"/>
      <c r="D44" s="181"/>
      <c r="E44" s="181"/>
      <c r="F44" s="181"/>
      <c r="G44" s="181"/>
      <c r="H44" s="181"/>
      <c r="I44" s="181"/>
      <c r="J44" s="181"/>
      <c r="K44" s="181"/>
      <c r="L44" s="181"/>
      <c r="M44" s="181"/>
      <c r="N44" s="181"/>
      <c r="O44" s="181"/>
      <c r="P44" s="181"/>
      <c r="Q44" s="181"/>
      <c r="R44" s="181"/>
      <c r="S44" s="181"/>
      <c r="T44" s="181"/>
      <c r="U44" s="181"/>
      <c r="V44" s="181"/>
      <c r="W44" s="181"/>
      <c r="X44" s="181"/>
      <c r="Y44" s="181"/>
      <c r="Z44" s="181"/>
      <c r="AA44" s="181"/>
      <c r="AB44" s="181"/>
    </row>
    <row r="45" spans="1:48">
      <c r="A45" s="181"/>
      <c r="B45" s="181"/>
      <c r="C45" s="181"/>
      <c r="D45" s="181"/>
      <c r="E45" s="181"/>
      <c r="F45" s="181"/>
      <c r="G45" s="181"/>
      <c r="H45" s="181"/>
      <c r="I45" s="181"/>
      <c r="J45" s="181"/>
      <c r="K45" s="181"/>
      <c r="L45" s="181"/>
      <c r="M45" s="181"/>
      <c r="N45" s="181"/>
      <c r="O45" s="181"/>
      <c r="P45" s="181"/>
      <c r="Q45" s="181"/>
      <c r="R45" s="181"/>
      <c r="S45" s="181"/>
      <c r="T45" s="181"/>
      <c r="U45" s="181"/>
      <c r="V45" s="181"/>
      <c r="W45" s="181"/>
      <c r="X45" s="181"/>
      <c r="Y45" s="181"/>
      <c r="Z45" s="181"/>
      <c r="AA45" s="181"/>
      <c r="AB45" s="181"/>
    </row>
    <row r="46" spans="1:48">
      <c r="A46" s="181"/>
      <c r="B46" s="181"/>
      <c r="C46" s="181"/>
      <c r="D46" s="181"/>
      <c r="E46" s="181"/>
      <c r="F46" s="181"/>
      <c r="G46" s="181"/>
      <c r="H46" s="181"/>
      <c r="I46" s="181"/>
      <c r="J46" s="181"/>
      <c r="K46" s="181"/>
      <c r="L46" s="181"/>
      <c r="M46" s="181"/>
      <c r="N46" s="181"/>
      <c r="O46" s="181"/>
      <c r="P46" s="181"/>
      <c r="Q46" s="181"/>
      <c r="R46" s="181"/>
      <c r="S46" s="181"/>
      <c r="T46" s="181"/>
      <c r="U46" s="181"/>
      <c r="V46" s="181"/>
      <c r="W46" s="181"/>
      <c r="X46" s="181"/>
      <c r="Y46" s="181"/>
      <c r="Z46" s="181"/>
      <c r="AA46" s="181"/>
      <c r="AB46" s="181"/>
    </row>
    <row r="47" spans="1:48">
      <c r="A47" s="181"/>
      <c r="B47" s="181"/>
      <c r="C47" s="181"/>
      <c r="D47" s="181"/>
      <c r="E47" s="181"/>
      <c r="F47" s="181"/>
      <c r="G47" s="181"/>
      <c r="H47" s="181"/>
      <c r="I47" s="181"/>
      <c r="J47" s="181"/>
      <c r="K47" s="181"/>
      <c r="L47" s="181"/>
      <c r="M47" s="181"/>
      <c r="N47" s="181"/>
      <c r="O47" s="181"/>
      <c r="P47" s="181"/>
      <c r="Q47" s="181"/>
      <c r="R47" s="181"/>
      <c r="S47" s="181"/>
      <c r="T47" s="181"/>
      <c r="U47" s="181"/>
      <c r="V47" s="181"/>
      <c r="W47" s="181"/>
      <c r="X47" s="181"/>
      <c r="Y47" s="181"/>
      <c r="Z47" s="181"/>
      <c r="AA47" s="181"/>
      <c r="AB47" s="181"/>
    </row>
    <row r="48" spans="1:48">
      <c r="A48" s="181"/>
      <c r="B48" s="181"/>
      <c r="C48" s="181"/>
      <c r="D48" s="181"/>
      <c r="E48" s="181"/>
      <c r="F48" s="181"/>
      <c r="G48" s="181"/>
      <c r="H48" s="181"/>
      <c r="I48" s="181"/>
      <c r="J48" s="181"/>
      <c r="K48" s="181"/>
      <c r="L48" s="181"/>
      <c r="M48" s="181"/>
      <c r="N48" s="181"/>
      <c r="O48" s="181"/>
      <c r="P48" s="181"/>
      <c r="Q48" s="181"/>
      <c r="R48" s="181"/>
      <c r="S48" s="181"/>
      <c r="T48" s="181"/>
      <c r="U48" s="181"/>
      <c r="V48" s="181"/>
      <c r="W48" s="181"/>
      <c r="X48" s="181"/>
      <c r="Y48" s="181"/>
      <c r="Z48" s="181"/>
      <c r="AA48" s="181"/>
      <c r="AB48" s="181"/>
    </row>
    <row r="49" spans="1:28">
      <c r="A49" s="181"/>
      <c r="B49" s="181"/>
      <c r="C49" s="181"/>
      <c r="D49" s="181"/>
      <c r="E49" s="181"/>
      <c r="F49" s="181"/>
      <c r="G49" s="181"/>
      <c r="H49" s="181"/>
      <c r="I49" s="181"/>
      <c r="J49" s="181"/>
      <c r="K49" s="181"/>
      <c r="L49" s="181"/>
      <c r="M49" s="181"/>
      <c r="N49" s="181"/>
      <c r="O49" s="181"/>
      <c r="P49" s="181"/>
      <c r="Q49" s="181"/>
      <c r="R49" s="181"/>
      <c r="S49" s="181"/>
      <c r="T49" s="181"/>
      <c r="U49" s="181"/>
      <c r="V49" s="181"/>
      <c r="W49" s="181"/>
      <c r="X49" s="181"/>
      <c r="Y49" s="181"/>
      <c r="Z49" s="181"/>
      <c r="AA49" s="181"/>
      <c r="AB49" s="181"/>
    </row>
    <row r="50" spans="1:28">
      <c r="A50" s="181"/>
      <c r="B50" s="181"/>
      <c r="C50" s="181"/>
      <c r="D50" s="181"/>
      <c r="E50" s="181"/>
      <c r="F50" s="181"/>
      <c r="G50" s="181"/>
      <c r="H50" s="181"/>
      <c r="I50" s="181"/>
      <c r="J50" s="181"/>
      <c r="K50" s="181"/>
      <c r="L50" s="181"/>
      <c r="M50" s="181"/>
      <c r="N50" s="181"/>
      <c r="O50" s="181"/>
      <c r="P50" s="181"/>
      <c r="Q50" s="181"/>
      <c r="R50" s="181"/>
      <c r="S50" s="181"/>
      <c r="T50" s="181"/>
      <c r="U50" s="181"/>
      <c r="V50" s="181"/>
      <c r="W50" s="181"/>
      <c r="X50" s="181"/>
      <c r="Y50" s="181"/>
      <c r="Z50" s="181"/>
      <c r="AA50" s="181"/>
      <c r="AB50" s="181"/>
    </row>
    <row r="51" spans="1:28">
      <c r="A51" s="181"/>
      <c r="B51" s="181"/>
      <c r="C51" s="181"/>
      <c r="D51" s="181"/>
      <c r="E51" s="181"/>
      <c r="F51" s="181"/>
      <c r="G51" s="181"/>
      <c r="H51" s="181"/>
      <c r="I51" s="181"/>
      <c r="J51" s="181"/>
      <c r="K51" s="181"/>
      <c r="L51" s="181"/>
      <c r="M51" s="181"/>
      <c r="N51" s="181"/>
      <c r="O51" s="181"/>
      <c r="P51" s="181"/>
      <c r="Q51" s="181"/>
      <c r="R51" s="181"/>
      <c r="S51" s="181"/>
      <c r="T51" s="181"/>
      <c r="U51" s="181"/>
      <c r="V51" s="181"/>
      <c r="W51" s="181"/>
      <c r="X51" s="181"/>
      <c r="Y51" s="181"/>
      <c r="Z51" s="181"/>
      <c r="AA51" s="181"/>
      <c r="AB51" s="181"/>
    </row>
    <row r="52" spans="1:28">
      <c r="A52" s="181"/>
      <c r="B52" s="181"/>
      <c r="C52" s="181"/>
      <c r="D52" s="181"/>
      <c r="E52" s="181"/>
      <c r="F52" s="181"/>
      <c r="G52" s="181"/>
      <c r="H52" s="181"/>
      <c r="I52" s="181"/>
      <c r="J52" s="181"/>
      <c r="K52" s="181"/>
      <c r="L52" s="181"/>
      <c r="M52" s="181"/>
      <c r="N52" s="181"/>
      <c r="O52" s="181"/>
      <c r="P52" s="181"/>
      <c r="Q52" s="181"/>
      <c r="R52" s="181"/>
      <c r="S52" s="181"/>
      <c r="T52" s="181"/>
      <c r="U52" s="181"/>
      <c r="V52" s="181"/>
      <c r="W52" s="181"/>
      <c r="X52" s="181"/>
      <c r="Y52" s="181"/>
      <c r="Z52" s="181"/>
      <c r="AA52" s="181"/>
      <c r="AB52" s="181"/>
    </row>
    <row r="53" spans="1:28">
      <c r="A53" s="181"/>
      <c r="B53" s="181"/>
      <c r="C53" s="181"/>
      <c r="D53" s="181"/>
      <c r="E53" s="181"/>
      <c r="F53" s="181"/>
      <c r="G53" s="181"/>
      <c r="H53" s="181"/>
      <c r="I53" s="181"/>
      <c r="J53" s="181"/>
      <c r="K53" s="181"/>
      <c r="L53" s="181"/>
      <c r="M53" s="181"/>
      <c r="N53" s="181"/>
      <c r="O53" s="181"/>
      <c r="P53" s="181"/>
      <c r="Q53" s="181"/>
      <c r="R53" s="181"/>
      <c r="S53" s="181"/>
      <c r="T53" s="181"/>
      <c r="U53" s="181"/>
      <c r="V53" s="181"/>
      <c r="W53" s="181"/>
      <c r="X53" s="181"/>
      <c r="Y53" s="181"/>
      <c r="Z53" s="181"/>
      <c r="AA53" s="181"/>
      <c r="AB53" s="181"/>
    </row>
    <row r="54" spans="1:28">
      <c r="A54" s="181"/>
      <c r="B54" s="181"/>
      <c r="C54" s="181"/>
      <c r="D54" s="181"/>
      <c r="E54" s="181"/>
      <c r="F54" s="181"/>
      <c r="G54" s="181"/>
      <c r="H54" s="181"/>
      <c r="I54" s="181"/>
      <c r="J54" s="181"/>
      <c r="K54" s="181"/>
      <c r="L54" s="181"/>
      <c r="M54" s="181"/>
      <c r="N54" s="181"/>
      <c r="O54" s="181"/>
      <c r="P54" s="181"/>
      <c r="Q54" s="181"/>
      <c r="R54" s="181"/>
      <c r="S54" s="181"/>
      <c r="T54" s="181"/>
      <c r="U54" s="181"/>
      <c r="V54" s="181"/>
      <c r="W54" s="181"/>
      <c r="X54" s="181"/>
      <c r="Y54" s="181"/>
      <c r="Z54" s="181"/>
      <c r="AA54" s="181"/>
      <c r="AB54" s="181"/>
    </row>
    <row r="55" spans="1:28">
      <c r="A55" s="181"/>
      <c r="B55" s="181"/>
      <c r="C55" s="181"/>
      <c r="D55" s="181"/>
      <c r="E55" s="181"/>
      <c r="F55" s="181"/>
      <c r="G55" s="181"/>
      <c r="H55" s="181"/>
      <c r="I55" s="181"/>
      <c r="J55" s="181"/>
      <c r="K55" s="181"/>
      <c r="L55" s="181"/>
      <c r="M55" s="181"/>
      <c r="N55" s="181"/>
      <c r="O55" s="181"/>
      <c r="P55" s="181"/>
      <c r="Q55" s="181"/>
      <c r="R55" s="181"/>
      <c r="S55" s="181"/>
      <c r="T55" s="181"/>
      <c r="U55" s="181"/>
      <c r="V55" s="181"/>
      <c r="W55" s="181"/>
      <c r="X55" s="181"/>
      <c r="Y55" s="181"/>
      <c r="Z55" s="181"/>
      <c r="AA55" s="181"/>
      <c r="AB55" s="181"/>
    </row>
    <row r="56" spans="1:28">
      <c r="A56" s="181"/>
      <c r="B56" s="181"/>
      <c r="C56" s="181"/>
      <c r="D56" s="181"/>
      <c r="E56" s="181"/>
      <c r="F56" s="181"/>
      <c r="G56" s="181"/>
      <c r="H56" s="181"/>
      <c r="I56" s="181"/>
      <c r="J56" s="181"/>
      <c r="K56" s="181"/>
      <c r="L56" s="181"/>
      <c r="M56" s="181"/>
      <c r="N56" s="181"/>
      <c r="O56" s="181"/>
      <c r="P56" s="181"/>
      <c r="Q56" s="181"/>
      <c r="R56" s="181"/>
      <c r="S56" s="181"/>
      <c r="T56" s="181"/>
      <c r="U56" s="181"/>
      <c r="V56" s="181"/>
      <c r="W56" s="181"/>
      <c r="X56" s="181"/>
      <c r="Y56" s="181"/>
      <c r="Z56" s="181"/>
      <c r="AA56" s="181"/>
      <c r="AB56" s="181"/>
    </row>
    <row r="57" spans="1:28">
      <c r="A57" s="181"/>
      <c r="B57" s="181"/>
      <c r="C57" s="181"/>
      <c r="D57" s="181"/>
      <c r="E57" s="181"/>
      <c r="F57" s="181"/>
      <c r="G57" s="181"/>
      <c r="H57" s="181"/>
      <c r="I57" s="181"/>
      <c r="J57" s="181"/>
      <c r="K57" s="181"/>
      <c r="L57" s="181"/>
      <c r="M57" s="181"/>
      <c r="N57" s="181"/>
      <c r="O57" s="181"/>
      <c r="P57" s="181"/>
      <c r="Q57" s="181"/>
      <c r="R57" s="181"/>
      <c r="S57" s="181"/>
      <c r="T57" s="181"/>
      <c r="U57" s="181"/>
      <c r="V57" s="181"/>
      <c r="W57" s="181"/>
      <c r="X57" s="181"/>
      <c r="Y57" s="181"/>
      <c r="Z57" s="181"/>
      <c r="AA57" s="181"/>
      <c r="AB57" s="181"/>
    </row>
    <row r="58" spans="1:28">
      <c r="A58" s="181"/>
      <c r="B58" s="181"/>
      <c r="C58" s="181"/>
      <c r="D58" s="181"/>
      <c r="E58" s="181"/>
      <c r="F58" s="181"/>
      <c r="G58" s="181"/>
      <c r="H58" s="181"/>
      <c r="I58" s="181"/>
      <c r="J58" s="181"/>
      <c r="K58" s="181"/>
      <c r="L58" s="181"/>
      <c r="M58" s="181"/>
      <c r="N58" s="181"/>
      <c r="O58" s="181"/>
      <c r="P58" s="181"/>
      <c r="Q58" s="181"/>
      <c r="R58" s="181"/>
      <c r="S58" s="181"/>
      <c r="T58" s="181"/>
      <c r="U58" s="181"/>
      <c r="V58" s="181"/>
      <c r="W58" s="181"/>
      <c r="X58" s="181"/>
      <c r="Y58" s="181"/>
      <c r="Z58" s="181"/>
      <c r="AA58" s="181"/>
      <c r="AB58" s="181"/>
    </row>
    <row r="59" spans="1:28">
      <c r="A59" s="181"/>
      <c r="B59" s="181"/>
      <c r="C59" s="181"/>
      <c r="D59" s="181"/>
      <c r="E59" s="181"/>
      <c r="F59" s="181"/>
      <c r="G59" s="181"/>
      <c r="H59" s="181"/>
      <c r="I59" s="181"/>
      <c r="J59" s="181"/>
      <c r="K59" s="181"/>
      <c r="L59" s="181"/>
      <c r="M59" s="181"/>
      <c r="N59" s="181"/>
      <c r="O59" s="181"/>
      <c r="P59" s="181"/>
      <c r="Q59" s="181"/>
      <c r="R59" s="181"/>
      <c r="S59" s="181"/>
      <c r="T59" s="181"/>
      <c r="U59" s="181"/>
      <c r="V59" s="181"/>
      <c r="W59" s="181"/>
      <c r="X59" s="181"/>
      <c r="Y59" s="181"/>
      <c r="Z59" s="181"/>
      <c r="AA59" s="181"/>
      <c r="AB59" s="181"/>
    </row>
    <row r="60" spans="1:28">
      <c r="A60" s="181"/>
      <c r="B60" s="181"/>
      <c r="C60" s="181"/>
      <c r="D60" s="181"/>
      <c r="E60" s="181"/>
      <c r="F60" s="181"/>
      <c r="G60" s="181"/>
      <c r="H60" s="181"/>
      <c r="I60" s="181"/>
      <c r="J60" s="181"/>
      <c r="K60" s="181"/>
      <c r="L60" s="181"/>
      <c r="M60" s="181"/>
      <c r="N60" s="181"/>
      <c r="O60" s="181"/>
      <c r="P60" s="181"/>
      <c r="Q60" s="181"/>
      <c r="R60" s="181"/>
      <c r="S60" s="181"/>
      <c r="T60" s="181"/>
      <c r="U60" s="181"/>
      <c r="V60" s="181"/>
      <c r="W60" s="181"/>
      <c r="X60" s="181"/>
      <c r="Y60" s="181"/>
      <c r="Z60" s="181"/>
      <c r="AA60" s="181"/>
      <c r="AB60" s="181"/>
    </row>
    <row r="61" spans="1:28">
      <c r="A61" s="181"/>
      <c r="B61" s="181"/>
      <c r="C61" s="181"/>
      <c r="D61" s="181"/>
      <c r="E61" s="181"/>
      <c r="F61" s="181"/>
      <c r="G61" s="181"/>
      <c r="H61" s="181"/>
      <c r="I61" s="181"/>
      <c r="J61" s="181"/>
      <c r="K61" s="181"/>
      <c r="L61" s="181"/>
      <c r="M61" s="181"/>
      <c r="N61" s="181"/>
      <c r="O61" s="181"/>
      <c r="P61" s="181"/>
      <c r="Q61" s="181"/>
      <c r="R61" s="181"/>
      <c r="S61" s="181"/>
      <c r="T61" s="181"/>
      <c r="U61" s="181"/>
      <c r="V61" s="181"/>
      <c r="W61" s="181"/>
      <c r="X61" s="181"/>
      <c r="Y61" s="181"/>
      <c r="Z61" s="181"/>
      <c r="AA61" s="181"/>
      <c r="AB61" s="181"/>
    </row>
    <row r="62" spans="1:28">
      <c r="A62" s="181"/>
      <c r="B62" s="181"/>
      <c r="C62" s="181"/>
      <c r="D62" s="181"/>
      <c r="E62" s="181"/>
      <c r="F62" s="181"/>
      <c r="G62" s="181"/>
      <c r="H62" s="181"/>
      <c r="I62" s="181"/>
      <c r="J62" s="181"/>
      <c r="K62" s="181"/>
      <c r="L62" s="181"/>
      <c r="M62" s="181"/>
      <c r="N62" s="181"/>
      <c r="O62" s="181"/>
      <c r="P62" s="181"/>
      <c r="Q62" s="181"/>
      <c r="R62" s="181"/>
      <c r="S62" s="181"/>
      <c r="T62" s="181"/>
      <c r="U62" s="181"/>
      <c r="V62" s="181"/>
      <c r="W62" s="181"/>
      <c r="X62" s="181"/>
      <c r="Y62" s="181"/>
      <c r="Z62" s="181"/>
      <c r="AA62" s="181"/>
      <c r="AB62" s="181"/>
    </row>
    <row r="63" spans="1:28">
      <c r="A63" s="181"/>
      <c r="B63" s="181"/>
      <c r="C63" s="181"/>
      <c r="D63" s="181"/>
      <c r="E63" s="181"/>
      <c r="F63" s="181"/>
      <c r="G63" s="181"/>
      <c r="H63" s="181"/>
      <c r="I63" s="181"/>
      <c r="J63" s="181"/>
      <c r="K63" s="181"/>
      <c r="L63" s="181"/>
      <c r="M63" s="181"/>
      <c r="N63" s="181"/>
      <c r="O63" s="181"/>
      <c r="P63" s="181"/>
      <c r="Q63" s="181"/>
      <c r="R63" s="181"/>
      <c r="S63" s="181"/>
      <c r="T63" s="181"/>
      <c r="U63" s="181"/>
      <c r="V63" s="181"/>
      <c r="W63" s="181"/>
      <c r="X63" s="181"/>
      <c r="Y63" s="181"/>
      <c r="Z63" s="181"/>
      <c r="AA63" s="181"/>
      <c r="AB63" s="181"/>
    </row>
    <row r="64" spans="1:28">
      <c r="A64" s="181"/>
      <c r="B64" s="181"/>
      <c r="C64" s="181"/>
      <c r="D64" s="181"/>
      <c r="E64" s="181"/>
      <c r="F64" s="181"/>
      <c r="G64" s="181"/>
      <c r="H64" s="181"/>
      <c r="I64" s="181"/>
      <c r="J64" s="181"/>
      <c r="K64" s="181"/>
      <c r="L64" s="181"/>
      <c r="M64" s="181"/>
      <c r="N64" s="181"/>
      <c r="O64" s="181"/>
      <c r="P64" s="181"/>
      <c r="Q64" s="181"/>
      <c r="R64" s="181"/>
      <c r="S64" s="181"/>
      <c r="T64" s="181"/>
      <c r="U64" s="181"/>
      <c r="V64" s="181"/>
      <c r="W64" s="181"/>
      <c r="X64" s="181"/>
      <c r="Y64" s="181"/>
      <c r="Z64" s="181"/>
      <c r="AA64" s="181"/>
      <c r="AB64" s="181"/>
    </row>
    <row r="65" spans="1:28">
      <c r="A65" s="181"/>
      <c r="B65" s="181"/>
      <c r="C65" s="181"/>
      <c r="D65" s="181"/>
      <c r="E65" s="181"/>
      <c r="F65" s="181"/>
      <c r="G65" s="181"/>
      <c r="H65" s="181"/>
      <c r="I65" s="181"/>
      <c r="J65" s="181"/>
      <c r="K65" s="181"/>
      <c r="L65" s="181"/>
      <c r="M65" s="181"/>
      <c r="N65" s="181"/>
      <c r="O65" s="181"/>
      <c r="P65" s="181"/>
      <c r="Q65" s="181"/>
      <c r="R65" s="181"/>
      <c r="S65" s="181"/>
      <c r="T65" s="181"/>
      <c r="U65" s="181"/>
      <c r="V65" s="181"/>
      <c r="W65" s="181"/>
      <c r="X65" s="181"/>
      <c r="Y65" s="181"/>
      <c r="Z65" s="181"/>
      <c r="AA65" s="181"/>
      <c r="AB65" s="181"/>
    </row>
    <row r="66" spans="1:28">
      <c r="A66" s="181"/>
      <c r="B66" s="181"/>
      <c r="C66" s="181"/>
      <c r="D66" s="181"/>
      <c r="E66" s="181"/>
      <c r="F66" s="181"/>
      <c r="G66" s="181"/>
      <c r="H66" s="181"/>
      <c r="I66" s="181"/>
      <c r="J66" s="181"/>
      <c r="K66" s="181"/>
      <c r="L66" s="181"/>
      <c r="M66" s="181"/>
      <c r="N66" s="181"/>
      <c r="O66" s="181"/>
      <c r="P66" s="181"/>
      <c r="Q66" s="181"/>
      <c r="R66" s="181"/>
      <c r="S66" s="181"/>
      <c r="T66" s="181"/>
      <c r="U66" s="181"/>
      <c r="V66" s="181"/>
      <c r="W66" s="181"/>
      <c r="X66" s="181"/>
      <c r="Y66" s="181"/>
      <c r="Z66" s="181"/>
      <c r="AA66" s="181"/>
      <c r="AB66" s="181"/>
    </row>
    <row r="67" spans="1:28">
      <c r="A67" s="181"/>
      <c r="B67" s="181"/>
      <c r="C67" s="181"/>
      <c r="D67" s="181"/>
      <c r="E67" s="181"/>
      <c r="F67" s="181"/>
      <c r="G67" s="181"/>
      <c r="H67" s="181"/>
      <c r="I67" s="181"/>
      <c r="J67" s="181"/>
      <c r="K67" s="181"/>
      <c r="L67" s="181"/>
      <c r="M67" s="181"/>
      <c r="N67" s="181"/>
      <c r="O67" s="181"/>
      <c r="P67" s="181"/>
      <c r="Q67" s="181"/>
      <c r="R67" s="181"/>
      <c r="S67" s="181"/>
      <c r="T67" s="181"/>
      <c r="U67" s="181"/>
      <c r="V67" s="181"/>
      <c r="W67" s="181"/>
      <c r="X67" s="181"/>
      <c r="Y67" s="181"/>
      <c r="Z67" s="181"/>
      <c r="AA67" s="181"/>
      <c r="AB67" s="181"/>
    </row>
    <row r="68" spans="1:28">
      <c r="A68" s="181"/>
      <c r="B68" s="181"/>
      <c r="C68" s="181"/>
      <c r="D68" s="181"/>
      <c r="E68" s="181"/>
      <c r="F68" s="181"/>
      <c r="G68" s="181"/>
      <c r="H68" s="181"/>
      <c r="I68" s="181"/>
      <c r="J68" s="181"/>
      <c r="K68" s="181"/>
      <c r="L68" s="181"/>
      <c r="M68" s="181"/>
      <c r="N68" s="181"/>
      <c r="O68" s="181"/>
      <c r="P68" s="181"/>
      <c r="Q68" s="181"/>
      <c r="R68" s="181"/>
      <c r="S68" s="181"/>
      <c r="T68" s="181"/>
      <c r="U68" s="181"/>
      <c r="V68" s="181"/>
      <c r="W68" s="181"/>
      <c r="X68" s="181"/>
      <c r="Y68" s="181"/>
      <c r="Z68" s="181"/>
      <c r="AA68" s="181"/>
      <c r="AB68" s="181"/>
    </row>
    <row r="69" spans="1:28">
      <c r="A69" s="181"/>
      <c r="B69" s="181"/>
      <c r="C69" s="181"/>
      <c r="D69" s="181"/>
      <c r="E69" s="181"/>
      <c r="F69" s="181"/>
      <c r="G69" s="181"/>
      <c r="H69" s="181"/>
      <c r="I69" s="181"/>
      <c r="J69" s="181"/>
      <c r="K69" s="181"/>
      <c r="L69" s="181"/>
      <c r="M69" s="181"/>
      <c r="N69" s="181"/>
      <c r="O69" s="181"/>
      <c r="P69" s="181"/>
      <c r="Q69" s="181"/>
      <c r="R69" s="181"/>
      <c r="S69" s="181"/>
      <c r="T69" s="181"/>
      <c r="U69" s="181"/>
      <c r="V69" s="181"/>
      <c r="W69" s="181"/>
      <c r="X69" s="181"/>
      <c r="Y69" s="181"/>
      <c r="Z69" s="181"/>
      <c r="AA69" s="181"/>
      <c r="AB69" s="181"/>
    </row>
    <row r="70" spans="1:28">
      <c r="A70" s="181"/>
      <c r="B70" s="181"/>
      <c r="C70" s="181"/>
      <c r="D70" s="181"/>
      <c r="E70" s="181"/>
      <c r="F70" s="181"/>
      <c r="G70" s="181"/>
      <c r="H70" s="181"/>
      <c r="I70" s="181"/>
      <c r="J70" s="181"/>
      <c r="K70" s="181"/>
      <c r="L70" s="181"/>
      <c r="M70" s="181"/>
      <c r="N70" s="181"/>
      <c r="O70" s="181"/>
      <c r="P70" s="181"/>
      <c r="Q70" s="181"/>
      <c r="R70" s="181"/>
      <c r="S70" s="181"/>
      <c r="T70" s="181"/>
      <c r="U70" s="181"/>
      <c r="V70" s="181"/>
      <c r="W70" s="181"/>
      <c r="X70" s="181"/>
      <c r="Y70" s="181"/>
      <c r="Z70" s="181"/>
      <c r="AA70" s="181"/>
      <c r="AB70" s="181"/>
    </row>
    <row r="71" spans="1:28">
      <c r="A71" s="181"/>
      <c r="B71" s="181"/>
      <c r="C71" s="181"/>
      <c r="D71" s="181"/>
      <c r="E71" s="181"/>
      <c r="F71" s="181"/>
      <c r="G71" s="181"/>
      <c r="H71" s="181"/>
      <c r="I71" s="181"/>
      <c r="J71" s="181"/>
      <c r="K71" s="181"/>
      <c r="L71" s="181"/>
      <c r="M71" s="181"/>
      <c r="N71" s="181"/>
      <c r="O71" s="181"/>
      <c r="P71" s="181"/>
      <c r="Q71" s="181"/>
      <c r="R71" s="181"/>
      <c r="S71" s="181"/>
      <c r="T71" s="181"/>
      <c r="U71" s="181"/>
      <c r="V71" s="181"/>
      <c r="W71" s="181"/>
      <c r="X71" s="181"/>
      <c r="Y71" s="181"/>
      <c r="Z71" s="181"/>
      <c r="AA71" s="181"/>
      <c r="AB71" s="181"/>
    </row>
    <row r="72" spans="1:28">
      <c r="A72" s="181"/>
      <c r="B72" s="181"/>
      <c r="C72" s="181"/>
      <c r="D72" s="181"/>
      <c r="E72" s="181"/>
      <c r="F72" s="181"/>
      <c r="G72" s="181"/>
      <c r="H72" s="181"/>
      <c r="I72" s="181"/>
      <c r="J72" s="181"/>
      <c r="K72" s="181"/>
      <c r="L72" s="181"/>
      <c r="M72" s="181"/>
      <c r="N72" s="181"/>
      <c r="O72" s="181"/>
      <c r="P72" s="181"/>
      <c r="Q72" s="181"/>
      <c r="R72" s="181"/>
      <c r="S72" s="181"/>
      <c r="T72" s="181"/>
      <c r="U72" s="181"/>
      <c r="V72" s="181"/>
      <c r="W72" s="181"/>
      <c r="X72" s="181"/>
      <c r="Y72" s="181"/>
      <c r="Z72" s="181"/>
      <c r="AA72" s="181"/>
      <c r="AB72" s="181"/>
    </row>
    <row r="73" spans="1:28">
      <c r="A73" s="181"/>
      <c r="B73" s="181"/>
      <c r="C73" s="181"/>
      <c r="D73" s="181"/>
      <c r="E73" s="181"/>
      <c r="F73" s="181"/>
      <c r="G73" s="181"/>
      <c r="H73" s="181"/>
      <c r="I73" s="181"/>
      <c r="J73" s="181"/>
      <c r="K73" s="181"/>
      <c r="L73" s="181"/>
      <c r="M73" s="181"/>
      <c r="N73" s="181"/>
      <c r="O73" s="181"/>
      <c r="P73" s="181"/>
      <c r="Q73" s="181"/>
      <c r="R73" s="181"/>
      <c r="S73" s="181"/>
      <c r="T73" s="181"/>
      <c r="U73" s="181"/>
      <c r="V73" s="181"/>
      <c r="W73" s="181"/>
      <c r="X73" s="181"/>
      <c r="Y73" s="181"/>
      <c r="Z73" s="181"/>
      <c r="AA73" s="181"/>
      <c r="AB73" s="181"/>
    </row>
    <row r="74" spans="1:28">
      <c r="A74" s="181"/>
      <c r="B74" s="181"/>
      <c r="C74" s="181"/>
      <c r="D74" s="181"/>
      <c r="E74" s="181"/>
      <c r="F74" s="181"/>
      <c r="G74" s="181"/>
      <c r="H74" s="181"/>
      <c r="I74" s="181"/>
      <c r="J74" s="181"/>
      <c r="K74" s="181"/>
      <c r="L74" s="181"/>
      <c r="M74" s="181"/>
      <c r="N74" s="181"/>
      <c r="O74" s="181"/>
      <c r="P74" s="181"/>
      <c r="Q74" s="181"/>
      <c r="R74" s="181"/>
      <c r="S74" s="181"/>
      <c r="T74" s="181"/>
      <c r="U74" s="181"/>
      <c r="V74" s="181"/>
      <c r="W74" s="181"/>
      <c r="X74" s="181"/>
      <c r="Y74" s="181"/>
      <c r="Z74" s="181"/>
      <c r="AA74" s="181"/>
      <c r="AB74" s="181"/>
    </row>
    <row r="75" spans="1:28">
      <c r="A75" s="181"/>
      <c r="B75" s="181"/>
      <c r="C75" s="181"/>
      <c r="D75" s="181"/>
      <c r="E75" s="181"/>
      <c r="F75" s="181"/>
      <c r="G75" s="181"/>
      <c r="H75" s="181"/>
      <c r="I75" s="181"/>
      <c r="J75" s="181"/>
      <c r="K75" s="181"/>
      <c r="L75" s="181"/>
      <c r="M75" s="181"/>
      <c r="N75" s="181"/>
      <c r="O75" s="181"/>
      <c r="P75" s="181"/>
      <c r="Q75" s="181"/>
      <c r="R75" s="181"/>
      <c r="S75" s="181"/>
      <c r="T75" s="181"/>
      <c r="U75" s="181"/>
      <c r="V75" s="181"/>
      <c r="W75" s="181"/>
      <c r="X75" s="181"/>
      <c r="Y75" s="181"/>
      <c r="Z75" s="181"/>
      <c r="AA75" s="181"/>
      <c r="AB75" s="181"/>
    </row>
    <row r="76" spans="1:28">
      <c r="A76" s="181"/>
      <c r="B76" s="181"/>
      <c r="C76" s="181"/>
      <c r="D76" s="181"/>
      <c r="E76" s="181"/>
      <c r="F76" s="181"/>
      <c r="G76" s="181"/>
      <c r="H76" s="181"/>
      <c r="I76" s="181"/>
      <c r="J76" s="181"/>
      <c r="K76" s="181"/>
      <c r="L76" s="181"/>
      <c r="M76" s="181"/>
      <c r="N76" s="181"/>
      <c r="O76" s="181"/>
      <c r="P76" s="181"/>
      <c r="Q76" s="181"/>
      <c r="R76" s="181"/>
      <c r="S76" s="181"/>
      <c r="T76" s="181"/>
      <c r="U76" s="181"/>
      <c r="V76" s="181"/>
      <c r="W76" s="181"/>
      <c r="X76" s="181"/>
      <c r="Y76" s="181"/>
      <c r="Z76" s="181"/>
      <c r="AA76" s="181"/>
      <c r="AB76" s="181"/>
    </row>
    <row r="77" spans="1:28">
      <c r="A77" s="181"/>
      <c r="B77" s="181"/>
      <c r="C77" s="181"/>
      <c r="D77" s="181"/>
      <c r="E77" s="181"/>
      <c r="F77" s="181"/>
      <c r="G77" s="181"/>
      <c r="H77" s="181"/>
      <c r="I77" s="181"/>
      <c r="J77" s="181"/>
      <c r="K77" s="181"/>
      <c r="L77" s="181"/>
      <c r="M77" s="181"/>
      <c r="N77" s="181"/>
      <c r="O77" s="181"/>
      <c r="P77" s="181"/>
      <c r="Q77" s="181"/>
      <c r="R77" s="181"/>
      <c r="S77" s="181"/>
      <c r="T77" s="181"/>
      <c r="U77" s="181"/>
      <c r="V77" s="181"/>
      <c r="W77" s="181"/>
      <c r="X77" s="181"/>
      <c r="Y77" s="181"/>
      <c r="Z77" s="181"/>
      <c r="AA77" s="181"/>
      <c r="AB77" s="181"/>
    </row>
    <row r="78" spans="1:28">
      <c r="A78" s="181"/>
      <c r="B78" s="181"/>
      <c r="C78" s="181"/>
      <c r="D78" s="181"/>
      <c r="E78" s="181"/>
      <c r="F78" s="181"/>
      <c r="G78" s="181"/>
      <c r="H78" s="181"/>
      <c r="I78" s="181"/>
      <c r="J78" s="181"/>
      <c r="K78" s="181"/>
      <c r="L78" s="181"/>
      <c r="M78" s="181"/>
      <c r="N78" s="181"/>
      <c r="O78" s="181"/>
      <c r="P78" s="181"/>
      <c r="Q78" s="181"/>
      <c r="R78" s="181"/>
      <c r="S78" s="181"/>
      <c r="T78" s="181"/>
      <c r="U78" s="181"/>
      <c r="V78" s="181"/>
      <c r="W78" s="181"/>
      <c r="X78" s="181"/>
      <c r="Y78" s="181"/>
      <c r="Z78" s="181"/>
      <c r="AA78" s="181"/>
      <c r="AB78" s="181"/>
    </row>
    <row r="79" spans="1:28">
      <c r="A79" s="181"/>
      <c r="B79" s="181"/>
      <c r="C79" s="181"/>
      <c r="D79" s="181"/>
      <c r="E79" s="181"/>
      <c r="F79" s="181"/>
      <c r="G79" s="181"/>
      <c r="H79" s="181"/>
      <c r="I79" s="181"/>
      <c r="J79" s="181"/>
      <c r="K79" s="181"/>
      <c r="L79" s="181"/>
      <c r="M79" s="181"/>
      <c r="N79" s="181"/>
      <c r="O79" s="181"/>
      <c r="P79" s="181"/>
      <c r="Q79" s="181"/>
      <c r="R79" s="181"/>
      <c r="S79" s="181"/>
      <c r="T79" s="181"/>
      <c r="U79" s="181"/>
      <c r="V79" s="181"/>
      <c r="W79" s="181"/>
      <c r="X79" s="181"/>
      <c r="Y79" s="181"/>
      <c r="Z79" s="181"/>
      <c r="AA79" s="181"/>
      <c r="AB79" s="181"/>
    </row>
    <row r="80" spans="1:28">
      <c r="A80" s="181"/>
      <c r="B80" s="181"/>
      <c r="C80" s="181"/>
      <c r="D80" s="181"/>
      <c r="E80" s="181"/>
      <c r="F80" s="181"/>
      <c r="G80" s="181"/>
      <c r="H80" s="181"/>
      <c r="I80" s="181"/>
      <c r="J80" s="181"/>
      <c r="K80" s="181"/>
      <c r="L80" s="181"/>
      <c r="M80" s="181"/>
      <c r="N80" s="181"/>
      <c r="O80" s="181"/>
      <c r="P80" s="181"/>
      <c r="Q80" s="181"/>
      <c r="R80" s="181"/>
      <c r="S80" s="181"/>
      <c r="T80" s="181"/>
      <c r="U80" s="181"/>
      <c r="V80" s="181"/>
      <c r="W80" s="181"/>
      <c r="X80" s="181"/>
      <c r="Y80" s="181"/>
      <c r="Z80" s="181"/>
      <c r="AA80" s="181"/>
      <c r="AB80" s="181"/>
    </row>
    <row r="81" spans="1:28">
      <c r="A81" s="181"/>
      <c r="B81" s="181"/>
      <c r="C81" s="181"/>
      <c r="D81" s="181"/>
      <c r="E81" s="181"/>
      <c r="F81" s="181"/>
      <c r="G81" s="181"/>
      <c r="H81" s="181"/>
      <c r="I81" s="181"/>
      <c r="J81" s="181"/>
      <c r="K81" s="181"/>
      <c r="L81" s="181"/>
      <c r="M81" s="181"/>
      <c r="N81" s="181"/>
      <c r="O81" s="181"/>
      <c r="P81" s="181"/>
      <c r="Q81" s="181"/>
      <c r="R81" s="181"/>
      <c r="S81" s="181"/>
      <c r="T81" s="181"/>
      <c r="U81" s="181"/>
      <c r="V81" s="181"/>
      <c r="W81" s="181"/>
      <c r="X81" s="181"/>
      <c r="Y81" s="181"/>
      <c r="Z81" s="181"/>
      <c r="AA81" s="181"/>
      <c r="AB81" s="181"/>
    </row>
    <row r="82" spans="1:28">
      <c r="A82" s="181"/>
      <c r="B82" s="181"/>
      <c r="C82" s="181"/>
      <c r="D82" s="181"/>
      <c r="E82" s="181"/>
      <c r="F82" s="181"/>
      <c r="G82" s="181"/>
      <c r="H82" s="181"/>
      <c r="I82" s="181"/>
      <c r="J82" s="181"/>
      <c r="K82" s="181"/>
      <c r="L82" s="181"/>
      <c r="M82" s="181"/>
      <c r="N82" s="181"/>
      <c r="O82" s="181"/>
      <c r="P82" s="181"/>
      <c r="Q82" s="181"/>
      <c r="R82" s="181"/>
      <c r="S82" s="181"/>
      <c r="T82" s="181"/>
      <c r="U82" s="181"/>
      <c r="V82" s="181"/>
      <c r="W82" s="181"/>
      <c r="X82" s="181"/>
      <c r="Y82" s="181"/>
      <c r="Z82" s="181"/>
      <c r="AA82" s="181"/>
      <c r="AB82" s="181"/>
    </row>
    <row r="83" spans="1:28">
      <c r="A83" s="181"/>
      <c r="B83" s="181"/>
      <c r="C83" s="181"/>
      <c r="D83" s="181"/>
      <c r="E83" s="181"/>
      <c r="F83" s="181"/>
      <c r="G83" s="181"/>
      <c r="H83" s="181"/>
      <c r="I83" s="181"/>
      <c r="J83" s="181"/>
      <c r="K83" s="181"/>
      <c r="L83" s="181"/>
      <c r="M83" s="181"/>
      <c r="N83" s="181"/>
      <c r="O83" s="181"/>
      <c r="P83" s="181"/>
      <c r="Q83" s="181"/>
      <c r="R83" s="181"/>
      <c r="S83" s="181"/>
      <c r="T83" s="181"/>
      <c r="U83" s="181"/>
      <c r="V83" s="181"/>
      <c r="W83" s="181"/>
      <c r="X83" s="181"/>
      <c r="Y83" s="181"/>
      <c r="Z83" s="181"/>
      <c r="AA83" s="181"/>
      <c r="AB83" s="181"/>
    </row>
    <row r="84" spans="1:28">
      <c r="A84" s="181"/>
      <c r="B84" s="181"/>
      <c r="C84" s="181"/>
      <c r="D84" s="181"/>
      <c r="E84" s="181"/>
      <c r="F84" s="181"/>
      <c r="G84" s="181"/>
      <c r="H84" s="181"/>
      <c r="I84" s="181"/>
      <c r="J84" s="181"/>
      <c r="K84" s="181"/>
      <c r="L84" s="181"/>
      <c r="M84" s="181"/>
      <c r="N84" s="181"/>
      <c r="O84" s="181"/>
      <c r="P84" s="181"/>
      <c r="Q84" s="181"/>
      <c r="R84" s="181"/>
      <c r="S84" s="181"/>
      <c r="T84" s="181"/>
      <c r="U84" s="181"/>
      <c r="V84" s="181"/>
      <c r="W84" s="181"/>
      <c r="X84" s="181"/>
      <c r="Y84" s="181"/>
      <c r="Z84" s="181"/>
      <c r="AA84" s="181"/>
      <c r="AB84" s="181"/>
    </row>
    <row r="85" spans="1:28">
      <c r="A85" s="181"/>
      <c r="B85" s="181"/>
      <c r="C85" s="181"/>
      <c r="D85" s="181"/>
      <c r="E85" s="181"/>
      <c r="F85" s="181"/>
      <c r="G85" s="181"/>
      <c r="H85" s="181"/>
      <c r="I85" s="181"/>
      <c r="J85" s="181"/>
      <c r="K85" s="181"/>
      <c r="L85" s="181"/>
      <c r="M85" s="181"/>
      <c r="N85" s="181"/>
      <c r="O85" s="181"/>
      <c r="P85" s="181"/>
      <c r="Q85" s="181"/>
      <c r="R85" s="181"/>
      <c r="S85" s="181"/>
      <c r="T85" s="181"/>
      <c r="U85" s="181"/>
      <c r="V85" s="181"/>
      <c r="W85" s="181"/>
      <c r="X85" s="181"/>
      <c r="Y85" s="181"/>
      <c r="Z85" s="181"/>
      <c r="AA85" s="181"/>
      <c r="AB85" s="181"/>
    </row>
    <row r="86" spans="1:28">
      <c r="A86" s="181"/>
      <c r="B86" s="181"/>
      <c r="C86" s="181"/>
      <c r="D86" s="181"/>
      <c r="E86" s="181"/>
      <c r="F86" s="181"/>
      <c r="G86" s="181"/>
      <c r="H86" s="181"/>
      <c r="I86" s="181"/>
      <c r="J86" s="181"/>
      <c r="K86" s="181"/>
      <c r="L86" s="181"/>
      <c r="M86" s="181"/>
      <c r="N86" s="181"/>
      <c r="O86" s="181"/>
      <c r="P86" s="181"/>
      <c r="Q86" s="181"/>
      <c r="R86" s="181"/>
      <c r="S86" s="181"/>
      <c r="T86" s="181"/>
      <c r="U86" s="181"/>
      <c r="V86" s="181"/>
      <c r="W86" s="181"/>
      <c r="X86" s="181"/>
      <c r="Y86" s="181"/>
      <c r="Z86" s="181"/>
      <c r="AA86" s="181"/>
      <c r="AB86" s="181"/>
    </row>
    <row r="87" spans="1:28">
      <c r="A87" s="181"/>
      <c r="B87" s="181"/>
      <c r="C87" s="181"/>
      <c r="D87" s="181"/>
      <c r="E87" s="181"/>
      <c r="F87" s="181"/>
      <c r="G87" s="181"/>
      <c r="H87" s="181"/>
      <c r="I87" s="181"/>
      <c r="J87" s="181"/>
      <c r="K87" s="181"/>
      <c r="L87" s="181"/>
      <c r="M87" s="181"/>
      <c r="N87" s="181"/>
      <c r="O87" s="181"/>
      <c r="P87" s="181"/>
      <c r="Q87" s="181"/>
      <c r="R87" s="181"/>
      <c r="S87" s="181"/>
      <c r="T87" s="181"/>
      <c r="U87" s="181"/>
      <c r="V87" s="181"/>
      <c r="W87" s="181"/>
      <c r="X87" s="181"/>
      <c r="Y87" s="181"/>
      <c r="Z87" s="181"/>
      <c r="AA87" s="181"/>
      <c r="AB87" s="181"/>
    </row>
    <row r="88" spans="1:28">
      <c r="A88" s="181"/>
      <c r="B88" s="181"/>
      <c r="C88" s="181"/>
      <c r="D88" s="181"/>
      <c r="E88" s="181"/>
      <c r="F88" s="181"/>
      <c r="G88" s="181"/>
      <c r="H88" s="181"/>
      <c r="I88" s="181"/>
      <c r="J88" s="181"/>
      <c r="K88" s="181"/>
      <c r="L88" s="181"/>
      <c r="M88" s="181"/>
      <c r="N88" s="181"/>
      <c r="O88" s="181"/>
      <c r="P88" s="181"/>
      <c r="Q88" s="181"/>
      <c r="R88" s="181"/>
      <c r="S88" s="181"/>
      <c r="T88" s="181"/>
      <c r="U88" s="181"/>
      <c r="V88" s="181"/>
      <c r="W88" s="181"/>
      <c r="X88" s="181"/>
      <c r="Y88" s="181"/>
      <c r="Z88" s="181"/>
      <c r="AA88" s="181"/>
      <c r="AB88" s="181"/>
    </row>
    <row r="89" spans="1:28">
      <c r="A89" s="181"/>
      <c r="B89" s="181"/>
      <c r="C89" s="181"/>
      <c r="D89" s="181"/>
      <c r="E89" s="181"/>
      <c r="F89" s="181"/>
      <c r="G89" s="181"/>
      <c r="H89" s="181"/>
      <c r="I89" s="181"/>
      <c r="J89" s="181"/>
      <c r="K89" s="181"/>
      <c r="L89" s="181"/>
      <c r="M89" s="181"/>
      <c r="N89" s="181"/>
      <c r="O89" s="181"/>
      <c r="P89" s="181"/>
      <c r="Q89" s="181"/>
      <c r="R89" s="181"/>
      <c r="S89" s="181"/>
      <c r="T89" s="181"/>
      <c r="U89" s="181"/>
      <c r="V89" s="181"/>
      <c r="W89" s="181"/>
      <c r="X89" s="181"/>
      <c r="Y89" s="181"/>
      <c r="Z89" s="181"/>
      <c r="AA89" s="181"/>
      <c r="AB89" s="181"/>
    </row>
    <row r="90" spans="1:28">
      <c r="A90" s="181"/>
      <c r="B90" s="181"/>
      <c r="C90" s="181"/>
      <c r="D90" s="181"/>
      <c r="E90" s="181"/>
      <c r="F90" s="181"/>
      <c r="G90" s="181"/>
      <c r="H90" s="181"/>
      <c r="I90" s="181"/>
      <c r="J90" s="181"/>
      <c r="K90" s="181"/>
      <c r="L90" s="181"/>
      <c r="M90" s="181"/>
      <c r="N90" s="181"/>
      <c r="O90" s="181"/>
      <c r="P90" s="181"/>
      <c r="Q90" s="181"/>
      <c r="R90" s="181"/>
      <c r="S90" s="181"/>
      <c r="T90" s="181"/>
      <c r="U90" s="181"/>
      <c r="V90" s="181"/>
      <c r="W90" s="181"/>
      <c r="X90" s="181"/>
      <c r="Y90" s="181"/>
      <c r="Z90" s="181"/>
      <c r="AA90" s="181"/>
      <c r="AB90" s="181"/>
    </row>
    <row r="91" spans="1:28">
      <c r="A91" s="181"/>
      <c r="B91" s="181"/>
      <c r="C91" s="181"/>
      <c r="D91" s="181"/>
      <c r="E91" s="181"/>
      <c r="F91" s="181"/>
      <c r="G91" s="181"/>
      <c r="H91" s="181"/>
      <c r="I91" s="181"/>
      <c r="J91" s="181"/>
      <c r="K91" s="181"/>
      <c r="L91" s="181"/>
      <c r="M91" s="181"/>
      <c r="N91" s="181"/>
      <c r="O91" s="181"/>
      <c r="P91" s="181"/>
      <c r="Q91" s="181"/>
      <c r="R91" s="181"/>
      <c r="S91" s="181"/>
      <c r="T91" s="181"/>
      <c r="U91" s="181"/>
      <c r="V91" s="181"/>
      <c r="W91" s="181"/>
      <c r="X91" s="181"/>
      <c r="Y91" s="181"/>
      <c r="Z91" s="181"/>
      <c r="AA91" s="181"/>
      <c r="AB91" s="181"/>
    </row>
    <row r="92" spans="1:28">
      <c r="A92" s="181"/>
      <c r="B92" s="181"/>
      <c r="C92" s="181"/>
      <c r="D92" s="181"/>
      <c r="E92" s="181"/>
      <c r="F92" s="181"/>
      <c r="G92" s="181"/>
      <c r="H92" s="181"/>
      <c r="I92" s="181"/>
      <c r="J92" s="181"/>
      <c r="K92" s="181"/>
      <c r="L92" s="181"/>
      <c r="M92" s="181"/>
      <c r="N92" s="181"/>
      <c r="O92" s="181"/>
      <c r="P92" s="181"/>
      <c r="Q92" s="181"/>
      <c r="R92" s="181"/>
      <c r="S92" s="181"/>
      <c r="T92" s="181"/>
      <c r="U92" s="181"/>
      <c r="V92" s="181"/>
      <c r="W92" s="181"/>
      <c r="X92" s="181"/>
      <c r="Y92" s="181"/>
      <c r="Z92" s="181"/>
      <c r="AA92" s="181"/>
      <c r="AB92" s="181"/>
    </row>
    <row r="93" spans="1:28">
      <c r="A93" s="181"/>
      <c r="B93" s="181"/>
      <c r="C93" s="181"/>
      <c r="D93" s="181"/>
      <c r="E93" s="181"/>
      <c r="F93" s="181"/>
      <c r="G93" s="181"/>
      <c r="H93" s="181"/>
      <c r="I93" s="181"/>
      <c r="J93" s="181"/>
      <c r="K93" s="181"/>
      <c r="L93" s="181"/>
      <c r="M93" s="181"/>
      <c r="N93" s="181"/>
      <c r="O93" s="181"/>
      <c r="P93" s="181"/>
      <c r="Q93" s="181"/>
      <c r="R93" s="181"/>
      <c r="S93" s="181"/>
      <c r="T93" s="181"/>
      <c r="U93" s="181"/>
      <c r="V93" s="181"/>
      <c r="W93" s="181"/>
      <c r="X93" s="181"/>
      <c r="Y93" s="181"/>
      <c r="Z93" s="181"/>
      <c r="AA93" s="181"/>
      <c r="AB93" s="181"/>
    </row>
    <row r="94" spans="1:28">
      <c r="A94" s="181"/>
      <c r="B94" s="181"/>
      <c r="C94" s="181"/>
      <c r="D94" s="181"/>
      <c r="E94" s="181"/>
      <c r="F94" s="181"/>
      <c r="G94" s="181"/>
      <c r="H94" s="181"/>
      <c r="I94" s="181"/>
      <c r="J94" s="181"/>
      <c r="K94" s="181"/>
      <c r="L94" s="181"/>
      <c r="M94" s="181"/>
      <c r="N94" s="181"/>
      <c r="O94" s="181"/>
      <c r="P94" s="181"/>
      <c r="Q94" s="181"/>
      <c r="R94" s="181"/>
      <c r="S94" s="181"/>
      <c r="T94" s="181"/>
      <c r="U94" s="181"/>
      <c r="V94" s="181"/>
      <c r="W94" s="181"/>
      <c r="X94" s="181"/>
      <c r="Y94" s="181"/>
      <c r="Z94" s="181"/>
      <c r="AA94" s="181"/>
      <c r="AB94" s="181"/>
    </row>
    <row r="95" spans="1:28">
      <c r="A95" s="181"/>
      <c r="B95" s="181"/>
      <c r="C95" s="181"/>
      <c r="D95" s="181"/>
      <c r="E95" s="181"/>
      <c r="F95" s="181"/>
      <c r="G95" s="181"/>
      <c r="H95" s="181"/>
      <c r="I95" s="181"/>
      <c r="J95" s="181"/>
      <c r="K95" s="181"/>
      <c r="L95" s="181"/>
      <c r="M95" s="181"/>
      <c r="N95" s="181"/>
      <c r="O95" s="181"/>
      <c r="P95" s="181"/>
      <c r="Q95" s="181"/>
      <c r="R95" s="181"/>
      <c r="S95" s="181"/>
      <c r="T95" s="181"/>
      <c r="U95" s="181"/>
      <c r="V95" s="181"/>
      <c r="W95" s="181"/>
      <c r="X95" s="181"/>
      <c r="Y95" s="181"/>
      <c r="Z95" s="181"/>
      <c r="AA95" s="181"/>
      <c r="AB95" s="181"/>
    </row>
    <row r="96" spans="1:28">
      <c r="A96" s="181"/>
      <c r="B96" s="181"/>
      <c r="C96" s="181"/>
      <c r="D96" s="181"/>
      <c r="E96" s="181"/>
      <c r="F96" s="181"/>
      <c r="G96" s="181"/>
      <c r="H96" s="181"/>
      <c r="I96" s="181"/>
      <c r="J96" s="181"/>
      <c r="K96" s="181"/>
      <c r="L96" s="181"/>
      <c r="M96" s="181"/>
      <c r="N96" s="181"/>
      <c r="O96" s="181"/>
      <c r="P96" s="181"/>
      <c r="Q96" s="181"/>
      <c r="R96" s="181"/>
      <c r="S96" s="181"/>
      <c r="T96" s="181"/>
      <c r="U96" s="181"/>
      <c r="V96" s="181"/>
      <c r="W96" s="181"/>
      <c r="X96" s="181"/>
      <c r="Y96" s="181"/>
      <c r="Z96" s="181"/>
      <c r="AA96" s="181"/>
      <c r="AB96" s="181"/>
    </row>
    <row r="97" spans="1:28">
      <c r="A97" s="181"/>
      <c r="B97" s="181"/>
      <c r="C97" s="181"/>
      <c r="D97" s="181"/>
      <c r="E97" s="181"/>
      <c r="F97" s="181"/>
      <c r="G97" s="181"/>
      <c r="H97" s="181"/>
      <c r="I97" s="181"/>
      <c r="J97" s="181"/>
      <c r="K97" s="181"/>
      <c r="L97" s="181"/>
      <c r="M97" s="181"/>
      <c r="N97" s="181"/>
      <c r="O97" s="181"/>
      <c r="P97" s="181"/>
      <c r="Q97" s="181"/>
      <c r="R97" s="181"/>
      <c r="S97" s="181"/>
      <c r="T97" s="181"/>
      <c r="U97" s="181"/>
      <c r="V97" s="181"/>
      <c r="W97" s="181"/>
      <c r="X97" s="181"/>
      <c r="Y97" s="181"/>
      <c r="Z97" s="181"/>
      <c r="AA97" s="181"/>
      <c r="AB97" s="181"/>
    </row>
  </sheetData>
  <sheetProtection algorithmName="SHA-512" hashValue="oGIf1MEneDZuHotsGvmkZE880MqQNeclVw78rsozdhkwczSxs9dRJxsjaUuQMdNItkVHWp2ivKlIbpqHTZ2zWA==" saltValue="vkaYV8a1Eh1lEGRHIc4lLw==" spinCount="100000" sheet="1" selectLockedCells="1"/>
  <mergeCells count="21">
    <mergeCell ref="A36:F36"/>
    <mergeCell ref="N6:O6"/>
    <mergeCell ref="D11:J11"/>
    <mergeCell ref="A14:A16"/>
    <mergeCell ref="C14:E15"/>
    <mergeCell ref="G14:G15"/>
    <mergeCell ref="I14:J15"/>
    <mergeCell ref="K14:L15"/>
    <mergeCell ref="N14:O15"/>
    <mergeCell ref="C16:E16"/>
    <mergeCell ref="D33:E33"/>
    <mergeCell ref="D34:E34"/>
    <mergeCell ref="A33:B33"/>
    <mergeCell ref="G33:J33"/>
    <mergeCell ref="A34:B34"/>
    <mergeCell ref="G34:J34"/>
    <mergeCell ref="A2:P3"/>
    <mergeCell ref="D6:G6"/>
    <mergeCell ref="K6:L6"/>
    <mergeCell ref="D8:G8"/>
    <mergeCell ref="K8:L8"/>
  </mergeCells>
  <conditionalFormatting sqref="D6">
    <cfRule type="cellIs" dxfId="147" priority="13" operator="equal">
      <formula>0</formula>
    </cfRule>
  </conditionalFormatting>
  <conditionalFormatting sqref="K6">
    <cfRule type="cellIs" dxfId="146" priority="14" operator="equal">
      <formula>0</formula>
    </cfRule>
  </conditionalFormatting>
  <conditionalFormatting sqref="N6">
    <cfRule type="cellIs" dxfId="145" priority="15" operator="equal">
      <formula>0</formula>
    </cfRule>
  </conditionalFormatting>
  <conditionalFormatting sqref="D8">
    <cfRule type="cellIs" dxfId="144" priority="16" operator="equal">
      <formula>0</formula>
    </cfRule>
  </conditionalFormatting>
  <conditionalFormatting sqref="K8">
    <cfRule type="cellIs" dxfId="143" priority="17" operator="equal">
      <formula>0</formula>
    </cfRule>
  </conditionalFormatting>
  <conditionalFormatting sqref="O8">
    <cfRule type="cellIs" dxfId="142" priority="18" operator="equal">
      <formula>0</formula>
    </cfRule>
  </conditionalFormatting>
  <conditionalFormatting sqref="D11">
    <cfRule type="cellIs" dxfId="141" priority="19" operator="equal">
      <formula>0</formula>
    </cfRule>
  </conditionalFormatting>
  <conditionalFormatting sqref="A18">
    <cfRule type="containsBlanks" dxfId="140" priority="4" stopIfTrue="1">
      <formula>LEN(TRIM(A18))=0</formula>
    </cfRule>
  </conditionalFormatting>
  <conditionalFormatting sqref="A18">
    <cfRule type="expression" dxfId="139" priority="3" stopIfTrue="1">
      <formula>AND(A18&lt;&gt;"",OR(A18=0,A18="0"))</formula>
    </cfRule>
  </conditionalFormatting>
  <conditionalFormatting sqref="K18 K20 K22 K24 K26 K28 K30 I30 I28 I26 I24 E30 E28 E26 E24 C24 C26 C28 C30 A30 A28 A26 A24 A22 A20 C20 C22 E22 E20 G20 G22 I22 I20 I18 G18 E18 C18 G24 G26 G28 G30">
    <cfRule type="containsBlanks" dxfId="138" priority="2" stopIfTrue="1">
      <formula>LEN(TRIM(A18))=0</formula>
    </cfRule>
  </conditionalFormatting>
  <conditionalFormatting sqref="K18 K20 K22 K24 K26 K28 K30 I30 I28 I26 I24 E30 E28 E26 E24 C24 C26 C28 C30 A30 A28 A26 A24 A22 A20 C20 C22 E22 E20 G20 G22 I22 I20 I18 G18 E18 C18 G24 G26 G28 G30">
    <cfRule type="expression" dxfId="137" priority="1" stopIfTrue="1">
      <formula>AND(A18&lt;&gt;"",OR(A18=0,A18="0"))</formula>
    </cfRule>
  </conditionalFormatting>
  <hyperlinks>
    <hyperlink ref="Q36" location="'Datum Aer'!A48" display="Volver" xr:uid="{854AE603-99D2-4767-AB5F-1E9642D2603F}"/>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2"/>
  <dimension ref="A1:AD160"/>
  <sheetViews>
    <sheetView topLeftCell="A84" zoomScale="130" zoomScaleNormal="130" zoomScaleSheetLayoutView="115" workbookViewId="0">
      <selection activeCell="D11" sqref="D11:I11"/>
    </sheetView>
  </sheetViews>
  <sheetFormatPr baseColWidth="10" defaultColWidth="11.44140625" defaultRowHeight="13.2"/>
  <cols>
    <col min="1" max="3" width="5.6640625" customWidth="1"/>
    <col min="4" max="4" width="4.88671875" customWidth="1"/>
    <col min="5" max="6" width="5.6640625" customWidth="1"/>
    <col min="7" max="7" width="5.5546875" customWidth="1"/>
    <col min="8" max="8" width="5.6640625" customWidth="1"/>
    <col min="9" max="9" width="6.6640625" customWidth="1"/>
    <col min="10" max="10" width="5.5546875" customWidth="1"/>
    <col min="11" max="11" width="1.109375" customWidth="1"/>
    <col min="12" max="12" width="6.44140625" customWidth="1"/>
    <col min="13" max="13" width="5.6640625" customWidth="1"/>
    <col min="14" max="14" width="6" customWidth="1"/>
    <col min="15" max="15" width="1" customWidth="1"/>
    <col min="16" max="17" width="5.6640625" customWidth="1"/>
    <col min="18" max="18" width="6.6640625" customWidth="1"/>
    <col min="19" max="19" width="6.44140625" customWidth="1"/>
    <col min="20" max="20" width="15.5546875" customWidth="1"/>
    <col min="21" max="21" width="7.33203125" customWidth="1"/>
    <col min="22" max="39" width="6.6640625" customWidth="1"/>
  </cols>
  <sheetData>
    <row r="1" spans="1:30" ht="13.8" thickBot="1">
      <c r="A1" s="3"/>
      <c r="B1" s="3"/>
      <c r="C1" s="3"/>
      <c r="D1" s="3"/>
      <c r="E1" s="3"/>
      <c r="F1" s="3"/>
      <c r="G1" s="3"/>
      <c r="H1" s="3"/>
      <c r="I1" s="3"/>
      <c r="J1" s="3"/>
      <c r="K1" s="3"/>
      <c r="L1" s="3"/>
      <c r="M1" s="3"/>
      <c r="N1" s="3"/>
      <c r="O1" s="3"/>
      <c r="P1" s="3"/>
      <c r="Q1" s="3"/>
      <c r="R1" s="20"/>
      <c r="S1" s="20"/>
      <c r="T1" s="20"/>
      <c r="U1" s="20"/>
      <c r="V1" s="20"/>
      <c r="W1" s="20"/>
      <c r="X1" s="20"/>
      <c r="Y1" s="20"/>
      <c r="Z1" s="20"/>
      <c r="AA1" s="20"/>
      <c r="AB1" s="20"/>
      <c r="AC1" s="20"/>
      <c r="AD1" s="20"/>
    </row>
    <row r="2" spans="1:30" ht="13.8" thickTop="1">
      <c r="A2" s="192"/>
      <c r="B2" s="191"/>
      <c r="C2" s="191"/>
      <c r="D2" s="191"/>
      <c r="E2" s="191"/>
      <c r="F2" s="191"/>
      <c r="G2" s="191"/>
      <c r="H2" s="191"/>
      <c r="I2" s="191"/>
      <c r="J2" s="191"/>
      <c r="K2" s="191"/>
      <c r="L2" s="191"/>
      <c r="M2" s="191"/>
      <c r="N2" s="191"/>
      <c r="O2" s="191"/>
      <c r="P2" s="191"/>
      <c r="Q2" s="200"/>
      <c r="R2" s="20"/>
      <c r="S2" s="20"/>
      <c r="T2" s="20"/>
      <c r="U2" s="20"/>
      <c r="V2" s="20"/>
      <c r="W2" s="20"/>
      <c r="X2" s="20"/>
      <c r="Y2" s="20"/>
      <c r="Z2" s="20"/>
      <c r="AA2" s="20"/>
      <c r="AB2" s="20"/>
      <c r="AC2" s="20"/>
      <c r="AD2" s="20"/>
    </row>
    <row r="3" spans="1:30" ht="12.75" customHeight="1">
      <c r="A3" s="193"/>
      <c r="B3" s="364" t="s">
        <v>574</v>
      </c>
      <c r="C3" s="364"/>
      <c r="D3" s="364"/>
      <c r="E3" s="364"/>
      <c r="F3" s="364"/>
      <c r="G3" s="364"/>
      <c r="H3" s="364"/>
      <c r="I3" s="364"/>
      <c r="J3" s="364"/>
      <c r="K3" s="364"/>
      <c r="L3" s="364"/>
      <c r="M3" s="364"/>
      <c r="N3" s="364"/>
      <c r="O3" s="364"/>
      <c r="P3" s="364"/>
      <c r="Q3" s="201"/>
      <c r="R3" s="20"/>
      <c r="S3" s="20"/>
      <c r="T3" s="20"/>
      <c r="U3" s="20"/>
      <c r="V3" s="20"/>
      <c r="W3" s="20"/>
      <c r="X3" s="20"/>
      <c r="Y3" s="20"/>
      <c r="Z3" s="20"/>
      <c r="AA3" s="20"/>
      <c r="AB3" s="20"/>
      <c r="AC3" s="20"/>
      <c r="AD3" s="20"/>
    </row>
    <row r="4" spans="1:30">
      <c r="A4" s="194"/>
      <c r="B4" s="364"/>
      <c r="C4" s="364"/>
      <c r="D4" s="364"/>
      <c r="E4" s="364"/>
      <c r="F4" s="364"/>
      <c r="G4" s="364"/>
      <c r="H4" s="364"/>
      <c r="I4" s="364"/>
      <c r="J4" s="364"/>
      <c r="K4" s="364"/>
      <c r="L4" s="364"/>
      <c r="M4" s="364"/>
      <c r="N4" s="364"/>
      <c r="O4" s="364"/>
      <c r="P4" s="364"/>
      <c r="Q4" s="201"/>
      <c r="R4" s="20"/>
      <c r="S4" s="20"/>
      <c r="T4" s="20"/>
      <c r="U4" s="20"/>
      <c r="V4" s="20"/>
      <c r="W4" s="20"/>
      <c r="X4" s="20"/>
      <c r="Y4" s="20"/>
      <c r="Z4" s="20"/>
      <c r="AA4" s="20"/>
      <c r="AB4" s="20"/>
      <c r="AC4" s="20"/>
      <c r="AD4" s="20"/>
    </row>
    <row r="5" spans="1:30">
      <c r="A5" s="193"/>
      <c r="B5" s="168"/>
      <c r="C5" s="168"/>
      <c r="D5" s="168"/>
      <c r="E5" s="168"/>
      <c r="F5" s="168"/>
      <c r="G5" s="168"/>
      <c r="H5" s="168"/>
      <c r="I5" s="168"/>
      <c r="J5" s="168"/>
      <c r="K5" s="168"/>
      <c r="L5" s="168"/>
      <c r="M5" s="168"/>
      <c r="N5" s="168"/>
      <c r="O5" s="168"/>
      <c r="P5" s="168"/>
      <c r="Q5" s="201"/>
      <c r="R5" s="20"/>
      <c r="S5" s="20"/>
      <c r="T5" s="20"/>
      <c r="U5" s="20"/>
      <c r="V5" s="20"/>
      <c r="W5" s="20"/>
      <c r="X5" s="20"/>
      <c r="Y5" s="20"/>
      <c r="Z5" s="20"/>
      <c r="AA5" s="20"/>
      <c r="AB5" s="20"/>
      <c r="AC5" s="20"/>
      <c r="AD5" s="20"/>
    </row>
    <row r="6" spans="1:30" ht="13.8" thickBot="1">
      <c r="A6" s="193"/>
      <c r="B6" s="168"/>
      <c r="C6" s="168"/>
      <c r="D6" s="168"/>
      <c r="E6" s="168"/>
      <c r="F6" s="168"/>
      <c r="G6" s="168"/>
      <c r="H6" s="168"/>
      <c r="I6" s="168"/>
      <c r="J6" s="168"/>
      <c r="K6" s="168"/>
      <c r="L6" s="168"/>
      <c r="M6" s="168"/>
      <c r="N6" s="168"/>
      <c r="O6" s="168"/>
      <c r="P6" s="168"/>
      <c r="Q6" s="201"/>
      <c r="R6" s="20"/>
      <c r="S6" s="20"/>
      <c r="T6" s="20"/>
      <c r="U6" s="20"/>
      <c r="V6" s="20"/>
      <c r="W6" s="20"/>
      <c r="X6" s="20"/>
      <c r="Y6" s="20"/>
      <c r="Z6" s="20"/>
      <c r="AA6" s="20"/>
      <c r="AB6" s="20"/>
      <c r="AC6" s="20"/>
      <c r="AD6" s="20"/>
    </row>
    <row r="7" spans="1:30" ht="13.8" thickBot="1">
      <c r="A7" s="195" t="s">
        <v>0</v>
      </c>
      <c r="B7" s="170"/>
      <c r="C7" s="170"/>
      <c r="D7" s="321"/>
      <c r="E7" s="322"/>
      <c r="F7" s="323"/>
      <c r="G7" s="170"/>
      <c r="H7" s="170" t="s">
        <v>1</v>
      </c>
      <c r="I7" s="170"/>
      <c r="J7" s="359"/>
      <c r="K7" s="360"/>
      <c r="L7" s="170"/>
      <c r="M7" s="170" t="s">
        <v>2</v>
      </c>
      <c r="N7" s="356"/>
      <c r="O7" s="357"/>
      <c r="P7" s="358"/>
      <c r="Q7" s="201"/>
      <c r="R7" s="20"/>
      <c r="S7" s="20"/>
      <c r="T7" s="20"/>
      <c r="U7" s="20"/>
      <c r="V7" s="20"/>
      <c r="W7" s="20"/>
      <c r="X7" s="20"/>
      <c r="Y7" s="20"/>
      <c r="Z7" s="20"/>
      <c r="AA7" s="20"/>
      <c r="AB7" s="20"/>
      <c r="AC7" s="20"/>
      <c r="AD7" s="20"/>
    </row>
    <row r="8" spans="1:30" ht="13.8" thickBot="1">
      <c r="A8" s="193"/>
      <c r="B8" s="168"/>
      <c r="C8" s="168"/>
      <c r="D8" s="168"/>
      <c r="E8" s="168"/>
      <c r="F8" s="168"/>
      <c r="G8" s="168"/>
      <c r="H8" s="168"/>
      <c r="I8" s="168"/>
      <c r="J8" s="168"/>
      <c r="K8" s="168"/>
      <c r="L8" s="168"/>
      <c r="M8" s="168"/>
      <c r="N8" s="168"/>
      <c r="O8" s="168"/>
      <c r="P8" s="168"/>
      <c r="Q8" s="201"/>
      <c r="R8" s="20"/>
      <c r="S8" s="20"/>
      <c r="T8" s="20"/>
      <c r="U8" s="20"/>
      <c r="V8" s="20"/>
      <c r="W8" s="20"/>
      <c r="X8" s="20"/>
      <c r="Y8" s="20"/>
      <c r="Z8" s="20"/>
      <c r="AA8" s="20"/>
      <c r="AB8" s="20"/>
      <c r="AC8" s="20"/>
      <c r="AD8" s="20"/>
    </row>
    <row r="9" spans="1:30" ht="13.8" thickBot="1">
      <c r="A9" s="195" t="s">
        <v>3</v>
      </c>
      <c r="B9" s="170"/>
      <c r="C9" s="170"/>
      <c r="D9" s="321"/>
      <c r="E9" s="322"/>
      <c r="F9" s="323"/>
      <c r="G9" s="170"/>
      <c r="H9" s="170" t="s">
        <v>4</v>
      </c>
      <c r="I9" s="170"/>
      <c r="J9" s="324"/>
      <c r="K9" s="361"/>
      <c r="L9" s="170" t="s">
        <v>302</v>
      </c>
      <c r="M9" s="168"/>
      <c r="N9" s="170"/>
      <c r="O9" s="170"/>
      <c r="P9" s="298"/>
      <c r="Q9" s="201"/>
      <c r="R9" s="20"/>
      <c r="S9" s="20"/>
      <c r="T9" s="20"/>
      <c r="U9" s="20"/>
      <c r="V9" s="20"/>
      <c r="W9" s="20"/>
      <c r="X9" s="20"/>
      <c r="Y9" s="20"/>
      <c r="Z9" s="20"/>
      <c r="AA9" s="20"/>
      <c r="AB9" s="20"/>
      <c r="AC9" s="20"/>
      <c r="AD9" s="20"/>
    </row>
    <row r="10" spans="1:30" ht="13.8" thickBot="1">
      <c r="A10" s="193"/>
      <c r="B10" s="168"/>
      <c r="C10" s="168"/>
      <c r="D10" s="168"/>
      <c r="E10" s="168"/>
      <c r="F10" s="168"/>
      <c r="G10" s="168"/>
      <c r="H10" s="168"/>
      <c r="I10" s="168"/>
      <c r="J10" s="168"/>
      <c r="K10" s="168"/>
      <c r="L10" s="168"/>
      <c r="M10" s="168"/>
      <c r="N10" s="168"/>
      <c r="O10" s="168"/>
      <c r="P10" s="168"/>
      <c r="Q10" s="201"/>
      <c r="R10" s="20"/>
      <c r="S10" s="20"/>
      <c r="T10" s="20"/>
      <c r="U10" s="20"/>
      <c r="V10" s="20"/>
      <c r="W10" s="20"/>
      <c r="X10" s="20"/>
      <c r="Y10" s="20"/>
      <c r="Z10" s="20"/>
      <c r="AA10" s="20"/>
      <c r="AB10" s="20"/>
      <c r="AC10" s="20"/>
      <c r="AD10" s="20"/>
    </row>
    <row r="11" spans="1:30" ht="13.8" thickBot="1">
      <c r="A11" s="196" t="s">
        <v>6</v>
      </c>
      <c r="B11" s="172"/>
      <c r="C11" s="172"/>
      <c r="D11" s="321"/>
      <c r="E11" s="322"/>
      <c r="F11" s="322"/>
      <c r="G11" s="322"/>
      <c r="H11" s="322"/>
      <c r="I11" s="323"/>
      <c r="J11" s="168"/>
      <c r="K11" s="168"/>
      <c r="L11" s="168"/>
      <c r="M11" s="168"/>
      <c r="N11" s="168"/>
      <c r="O11" s="168"/>
      <c r="P11" s="168"/>
      <c r="Q11" s="201"/>
      <c r="R11" s="20"/>
      <c r="S11" s="20"/>
      <c r="T11" s="20"/>
      <c r="U11" s="20"/>
      <c r="V11" s="20"/>
      <c r="W11" s="20"/>
      <c r="X11" s="20"/>
      <c r="Y11" s="20"/>
      <c r="Z11" s="20"/>
      <c r="AA11" s="20"/>
      <c r="AB11" s="20"/>
      <c r="AC11" s="20"/>
      <c r="AD11" s="20"/>
    </row>
    <row r="12" spans="1:30" ht="13.8" thickBot="1">
      <c r="A12" s="193"/>
      <c r="B12" s="168"/>
      <c r="C12" s="168"/>
      <c r="D12" s="168"/>
      <c r="E12" s="168"/>
      <c r="F12" s="168"/>
      <c r="G12" s="168"/>
      <c r="H12" s="168"/>
      <c r="I12" s="168"/>
      <c r="J12" s="168"/>
      <c r="K12" s="168"/>
      <c r="L12" s="168"/>
      <c r="M12" s="168"/>
      <c r="N12" s="168"/>
      <c r="O12" s="168"/>
      <c r="P12" s="168"/>
      <c r="Q12" s="201"/>
      <c r="R12" s="20"/>
      <c r="S12" s="20"/>
      <c r="T12" s="20"/>
      <c r="U12" s="20"/>
      <c r="V12" s="20"/>
      <c r="W12" s="20"/>
      <c r="X12" s="20"/>
      <c r="Y12" s="20"/>
      <c r="Z12" s="20"/>
      <c r="AA12" s="20"/>
      <c r="AB12" s="20"/>
      <c r="AC12" s="20"/>
      <c r="AD12" s="20"/>
    </row>
    <row r="13" spans="1:30" ht="13.8" thickBot="1">
      <c r="A13" s="194" t="s">
        <v>7</v>
      </c>
      <c r="B13" s="186" t="s">
        <v>8</v>
      </c>
      <c r="C13" s="187"/>
      <c r="D13" s="187"/>
      <c r="E13" s="187"/>
      <c r="F13" s="187"/>
      <c r="G13" s="187"/>
      <c r="H13" s="188"/>
      <c r="I13" s="168"/>
      <c r="J13" s="168"/>
      <c r="K13" s="168"/>
      <c r="L13" s="168"/>
      <c r="M13" s="168"/>
      <c r="N13" s="168"/>
      <c r="O13" s="168"/>
      <c r="P13" s="168"/>
      <c r="Q13" s="201"/>
      <c r="R13" s="20"/>
      <c r="S13" s="20"/>
      <c r="T13" s="20"/>
      <c r="U13" s="20"/>
      <c r="V13" s="20"/>
      <c r="W13" s="20"/>
      <c r="X13" s="20"/>
      <c r="Y13" s="20"/>
      <c r="Z13" s="20"/>
      <c r="AA13" s="20"/>
      <c r="AB13" s="20"/>
      <c r="AC13" s="20"/>
      <c r="AD13" s="20"/>
    </row>
    <row r="14" spans="1:30">
      <c r="A14" s="193"/>
      <c r="B14" s="168"/>
      <c r="C14" s="168"/>
      <c r="D14" s="168"/>
      <c r="E14" s="168"/>
      <c r="F14" s="168"/>
      <c r="G14" s="168"/>
      <c r="H14" s="168"/>
      <c r="I14" s="168"/>
      <c r="J14" s="168"/>
      <c r="K14" s="168"/>
      <c r="L14" s="168"/>
      <c r="M14" s="168"/>
      <c r="N14" s="168"/>
      <c r="O14" s="168"/>
      <c r="P14" s="168"/>
      <c r="Q14" s="201"/>
      <c r="R14" s="20"/>
      <c r="S14" s="20"/>
      <c r="T14" s="20"/>
      <c r="U14" s="20"/>
      <c r="V14" s="20"/>
      <c r="W14" s="20"/>
      <c r="X14" s="20"/>
      <c r="Y14" s="20"/>
      <c r="Z14" s="20"/>
      <c r="AA14" s="20"/>
      <c r="AB14" s="20"/>
      <c r="AC14" s="20"/>
      <c r="AD14" s="20"/>
    </row>
    <row r="15" spans="1:30">
      <c r="A15" s="193"/>
      <c r="B15" s="172">
        <v>1</v>
      </c>
      <c r="C15" s="170" t="s">
        <v>9</v>
      </c>
      <c r="D15" s="170"/>
      <c r="E15" s="170"/>
      <c r="F15" s="170"/>
      <c r="G15" s="170"/>
      <c r="H15" s="170" t="s">
        <v>10</v>
      </c>
      <c r="I15" s="170"/>
      <c r="J15" s="170"/>
      <c r="K15" s="170"/>
      <c r="L15" s="170"/>
      <c r="M15" s="170" t="s">
        <v>14</v>
      </c>
      <c r="N15" s="168"/>
      <c r="O15" s="168"/>
      <c r="P15" s="161"/>
      <c r="Q15" s="201"/>
      <c r="R15" s="20"/>
      <c r="S15" s="20"/>
      <c r="T15" s="20"/>
      <c r="U15" s="20"/>
      <c r="V15" s="20"/>
      <c r="W15" s="20"/>
      <c r="X15" s="20"/>
      <c r="Y15" s="20"/>
      <c r="Z15" s="20"/>
      <c r="AA15" s="20"/>
      <c r="AB15" s="20"/>
      <c r="AC15" s="20"/>
      <c r="AD15" s="20"/>
    </row>
    <row r="16" spans="1:30">
      <c r="A16" s="193"/>
      <c r="B16" s="168"/>
      <c r="C16" s="170" t="s">
        <v>11</v>
      </c>
      <c r="D16" s="170"/>
      <c r="E16" s="170"/>
      <c r="F16" s="170"/>
      <c r="G16" s="170"/>
      <c r="H16" s="170" t="s">
        <v>12</v>
      </c>
      <c r="I16" s="170"/>
      <c r="J16" s="170"/>
      <c r="K16" s="170"/>
      <c r="L16" s="170"/>
      <c r="M16" s="170" t="s">
        <v>15</v>
      </c>
      <c r="N16" s="168"/>
      <c r="O16" s="168"/>
      <c r="P16" s="162"/>
      <c r="Q16" s="201"/>
      <c r="R16" s="20"/>
      <c r="S16" s="20"/>
      <c r="T16" s="20"/>
      <c r="U16" s="20"/>
      <c r="V16" s="20"/>
      <c r="W16" s="20"/>
      <c r="X16" s="20"/>
      <c r="Y16" s="20"/>
      <c r="Z16" s="20"/>
      <c r="AA16" s="20"/>
      <c r="AB16" s="20"/>
      <c r="AC16" s="20"/>
      <c r="AD16" s="20"/>
    </row>
    <row r="17" spans="1:30">
      <c r="A17" s="193"/>
      <c r="B17" s="168"/>
      <c r="C17" s="170"/>
      <c r="D17" s="170"/>
      <c r="E17" s="170"/>
      <c r="F17" s="170"/>
      <c r="G17" s="170"/>
      <c r="H17" s="170" t="s">
        <v>13</v>
      </c>
      <c r="I17" s="170"/>
      <c r="J17" s="170"/>
      <c r="K17" s="170"/>
      <c r="L17" s="170"/>
      <c r="M17" s="170" t="s">
        <v>16</v>
      </c>
      <c r="N17" s="168"/>
      <c r="O17" s="168"/>
      <c r="P17" s="154"/>
      <c r="Q17" s="201"/>
      <c r="R17" s="20"/>
      <c r="S17" s="20"/>
      <c r="T17" s="20"/>
      <c r="U17" s="20"/>
      <c r="V17" s="20"/>
      <c r="W17" s="20"/>
      <c r="X17" s="20"/>
      <c r="Y17" s="20"/>
      <c r="Z17" s="20"/>
      <c r="AA17" s="20"/>
      <c r="AB17" s="20"/>
      <c r="AC17" s="20"/>
      <c r="AD17" s="20"/>
    </row>
    <row r="18" spans="1:30">
      <c r="A18" s="193"/>
      <c r="B18" s="168"/>
      <c r="C18" s="168"/>
      <c r="D18" s="168"/>
      <c r="E18" s="168"/>
      <c r="F18" s="168"/>
      <c r="G18" s="168"/>
      <c r="H18" s="168"/>
      <c r="I18" s="168"/>
      <c r="J18" s="168"/>
      <c r="K18" s="168"/>
      <c r="L18" s="168"/>
      <c r="M18" s="168"/>
      <c r="N18" s="168"/>
      <c r="O18" s="168"/>
      <c r="P18" s="165"/>
      <c r="Q18" s="201"/>
      <c r="R18" s="20"/>
      <c r="S18" s="20"/>
      <c r="T18" s="20"/>
      <c r="U18" s="20"/>
      <c r="V18" s="20"/>
      <c r="W18" s="20"/>
      <c r="X18" s="20"/>
      <c r="Y18" s="20"/>
      <c r="Z18" s="20"/>
      <c r="AA18" s="20"/>
      <c r="AB18" s="20"/>
      <c r="AC18" s="20"/>
      <c r="AD18" s="20"/>
    </row>
    <row r="19" spans="1:30">
      <c r="A19" s="193"/>
      <c r="B19" s="172">
        <v>2</v>
      </c>
      <c r="C19" s="170" t="s">
        <v>17</v>
      </c>
      <c r="D19" s="168"/>
      <c r="E19" s="168"/>
      <c r="F19" s="168"/>
      <c r="G19" s="168"/>
      <c r="H19" s="168"/>
      <c r="I19" s="168"/>
      <c r="J19" s="351"/>
      <c r="K19" s="352"/>
      <c r="L19" s="352"/>
      <c r="M19" s="173"/>
      <c r="N19" s="353"/>
      <c r="O19" s="354"/>
      <c r="P19" s="354"/>
      <c r="Q19" s="201"/>
      <c r="R19" s="20"/>
      <c r="S19" s="20"/>
      <c r="T19" s="20"/>
      <c r="U19" s="20"/>
      <c r="V19" s="20"/>
      <c r="W19" s="20"/>
      <c r="X19" s="20"/>
      <c r="Y19" s="20"/>
      <c r="Z19" s="20"/>
      <c r="AA19" s="20"/>
      <c r="AB19" s="20"/>
      <c r="AC19" s="20"/>
      <c r="AD19" s="20"/>
    </row>
    <row r="20" spans="1:30">
      <c r="A20" s="193"/>
      <c r="B20" s="168"/>
      <c r="C20" s="168"/>
      <c r="D20" s="168"/>
      <c r="E20" s="168"/>
      <c r="F20" s="168"/>
      <c r="G20" s="168"/>
      <c r="H20" s="168"/>
      <c r="I20" s="168"/>
      <c r="J20" s="168"/>
      <c r="K20" s="168"/>
      <c r="L20" s="168"/>
      <c r="M20" s="168"/>
      <c r="N20" s="168"/>
      <c r="O20" s="168"/>
      <c r="P20" s="168"/>
      <c r="Q20" s="201"/>
      <c r="R20" s="20"/>
      <c r="S20" s="20"/>
      <c r="T20" s="20"/>
      <c r="U20" s="20"/>
      <c r="V20" s="20"/>
      <c r="W20" s="20"/>
      <c r="X20" s="20"/>
      <c r="Y20" s="20"/>
      <c r="Z20" s="20"/>
      <c r="AA20" s="20"/>
      <c r="AB20" s="20"/>
      <c r="AC20" s="20"/>
      <c r="AD20" s="20"/>
    </row>
    <row r="21" spans="1:30">
      <c r="A21" s="193"/>
      <c r="B21" s="172">
        <v>3</v>
      </c>
      <c r="C21" s="170" t="s">
        <v>18</v>
      </c>
      <c r="D21" s="168"/>
      <c r="E21" s="168"/>
      <c r="F21" s="168"/>
      <c r="G21" s="168"/>
      <c r="H21" s="168"/>
      <c r="I21" s="168"/>
      <c r="J21" s="161"/>
      <c r="K21" s="174" t="s">
        <v>490</v>
      </c>
      <c r="L21" s="161"/>
      <c r="M21" s="175" t="s">
        <v>19</v>
      </c>
      <c r="N21" s="161"/>
      <c r="O21" s="174" t="s">
        <v>490</v>
      </c>
      <c r="P21" s="161"/>
      <c r="Q21" s="202" t="s">
        <v>491</v>
      </c>
      <c r="R21" s="20"/>
      <c r="S21" s="20"/>
      <c r="T21" s="20"/>
      <c r="U21" s="20"/>
      <c r="V21" s="20"/>
      <c r="W21" s="20"/>
      <c r="X21" s="20"/>
      <c r="Y21" s="20"/>
      <c r="Z21" s="20"/>
      <c r="AA21" s="20"/>
      <c r="AB21" s="20"/>
      <c r="AC21" s="20"/>
      <c r="AD21" s="20"/>
    </row>
    <row r="22" spans="1:30" ht="13.8" thickBot="1">
      <c r="A22" s="193"/>
      <c r="B22" s="168"/>
      <c r="C22" s="168"/>
      <c r="D22" s="168"/>
      <c r="E22" s="168"/>
      <c r="F22" s="168"/>
      <c r="G22" s="168"/>
      <c r="H22" s="168"/>
      <c r="I22" s="168"/>
      <c r="J22" s="168"/>
      <c r="K22" s="168"/>
      <c r="L22" s="168"/>
      <c r="M22" s="168"/>
      <c r="N22" s="168"/>
      <c r="O22" s="168"/>
      <c r="P22" s="168"/>
      <c r="Q22" s="201"/>
      <c r="R22" s="20"/>
      <c r="S22" s="20"/>
      <c r="T22" s="20"/>
      <c r="U22" s="20"/>
      <c r="V22" s="20"/>
      <c r="W22" s="20"/>
      <c r="X22" s="20"/>
      <c r="Y22" s="20"/>
      <c r="Z22" s="20"/>
      <c r="AA22" s="20"/>
      <c r="AB22" s="20"/>
      <c r="AC22" s="20"/>
      <c r="AD22" s="20"/>
    </row>
    <row r="23" spans="1:30" ht="13.8" thickBot="1">
      <c r="A23" s="194" t="s">
        <v>20</v>
      </c>
      <c r="B23" s="186" t="s">
        <v>21</v>
      </c>
      <c r="C23" s="187"/>
      <c r="D23" s="189"/>
      <c r="E23" s="189"/>
      <c r="F23" s="189"/>
      <c r="G23" s="189"/>
      <c r="H23" s="190"/>
      <c r="I23" s="168"/>
      <c r="J23" s="168"/>
      <c r="K23" s="168"/>
      <c r="L23" s="168"/>
      <c r="M23" s="168"/>
      <c r="N23" s="168"/>
      <c r="O23" s="168"/>
      <c r="P23" s="168"/>
      <c r="Q23" s="201"/>
      <c r="R23" s="20"/>
      <c r="S23" s="20"/>
      <c r="T23" s="20"/>
      <c r="U23" s="20"/>
      <c r="V23" s="20"/>
      <c r="W23" s="20"/>
      <c r="X23" s="20"/>
      <c r="Y23" s="20"/>
      <c r="Z23" s="20"/>
      <c r="AA23" s="20"/>
      <c r="AB23" s="20"/>
      <c r="AC23" s="20"/>
      <c r="AD23" s="20"/>
    </row>
    <row r="24" spans="1:30">
      <c r="A24" s="193"/>
      <c r="B24" s="168"/>
      <c r="C24" s="168"/>
      <c r="D24" s="168"/>
      <c r="E24" s="168"/>
      <c r="F24" s="168"/>
      <c r="G24" s="168"/>
      <c r="H24" s="168"/>
      <c r="I24" s="168"/>
      <c r="J24" s="168"/>
      <c r="K24" s="168"/>
      <c r="L24" s="168"/>
      <c r="M24" s="168"/>
      <c r="N24" s="168"/>
      <c r="O24" s="168"/>
      <c r="P24" s="168"/>
      <c r="Q24" s="201"/>
      <c r="R24" s="20"/>
      <c r="S24" s="20"/>
      <c r="T24" s="20"/>
      <c r="U24" s="20"/>
      <c r="V24" s="20"/>
      <c r="W24" s="20"/>
      <c r="X24" s="20"/>
      <c r="Y24" s="20"/>
      <c r="Z24" s="20"/>
      <c r="AA24" s="20"/>
      <c r="AB24" s="20"/>
      <c r="AC24" s="20"/>
      <c r="AD24" s="20"/>
    </row>
    <row r="25" spans="1:30">
      <c r="A25" s="193"/>
      <c r="B25" s="172">
        <v>1</v>
      </c>
      <c r="C25" s="170" t="s">
        <v>22</v>
      </c>
      <c r="D25" s="168"/>
      <c r="E25" s="168"/>
      <c r="F25" s="168"/>
      <c r="G25" s="168"/>
      <c r="H25" s="168"/>
      <c r="I25" s="168"/>
      <c r="J25" s="351"/>
      <c r="K25" s="352"/>
      <c r="L25" s="352"/>
      <c r="M25" s="173"/>
      <c r="N25" s="354"/>
      <c r="O25" s="354"/>
      <c r="P25" s="354"/>
      <c r="Q25" s="201"/>
      <c r="R25" s="20"/>
      <c r="S25" s="20"/>
      <c r="T25" s="20"/>
      <c r="U25" s="20"/>
      <c r="V25" s="20"/>
      <c r="W25" s="20"/>
      <c r="X25" s="20"/>
      <c r="Y25" s="20"/>
      <c r="Z25" s="20"/>
      <c r="AA25" s="20"/>
      <c r="AB25" s="20"/>
      <c r="AC25" s="20"/>
      <c r="AD25" s="20"/>
    </row>
    <row r="26" spans="1:30">
      <c r="A26" s="193"/>
      <c r="B26" s="168"/>
      <c r="C26" s="168"/>
      <c r="D26" s="168"/>
      <c r="E26" s="168"/>
      <c r="F26" s="168"/>
      <c r="G26" s="168"/>
      <c r="H26" s="168"/>
      <c r="I26" s="168"/>
      <c r="J26" s="168"/>
      <c r="K26" s="168"/>
      <c r="L26" s="168"/>
      <c r="M26" s="168"/>
      <c r="N26" s="168"/>
      <c r="O26" s="168"/>
      <c r="P26" s="168"/>
      <c r="Q26" s="201"/>
      <c r="R26" s="20"/>
      <c r="S26" s="20"/>
      <c r="T26" s="20"/>
      <c r="U26" s="20"/>
      <c r="V26" s="20"/>
      <c r="W26" s="20"/>
      <c r="X26" s="20"/>
      <c r="Y26" s="20"/>
      <c r="Z26" s="20"/>
      <c r="AA26" s="20"/>
      <c r="AB26" s="20"/>
      <c r="AC26" s="20"/>
      <c r="AD26" s="20"/>
    </row>
    <row r="27" spans="1:30">
      <c r="A27" s="193"/>
      <c r="B27" s="172">
        <v>2</v>
      </c>
      <c r="C27" s="170" t="s">
        <v>24</v>
      </c>
      <c r="D27" s="168"/>
      <c r="E27" s="168"/>
      <c r="F27" s="168"/>
      <c r="G27" s="168"/>
      <c r="H27" s="168"/>
      <c r="I27" s="168"/>
      <c r="J27" s="168"/>
      <c r="K27" s="168"/>
      <c r="L27" s="168"/>
      <c r="M27" s="168"/>
      <c r="N27" s="363"/>
      <c r="O27" s="363"/>
      <c r="P27" s="170" t="s">
        <v>23</v>
      </c>
      <c r="Q27" s="201"/>
      <c r="R27" s="176" t="s">
        <v>337</v>
      </c>
      <c r="S27" s="20"/>
      <c r="T27" s="20"/>
      <c r="U27" s="20"/>
      <c r="V27" s="20"/>
      <c r="W27" s="20"/>
      <c r="X27" s="20"/>
      <c r="Y27" s="20"/>
      <c r="Z27" s="20"/>
      <c r="AA27" s="20"/>
      <c r="AB27" s="20"/>
      <c r="AC27" s="20"/>
      <c r="AD27" s="20"/>
    </row>
    <row r="28" spans="1:30" ht="13.8" thickBot="1">
      <c r="A28" s="193"/>
      <c r="B28" s="168"/>
      <c r="C28" s="168"/>
      <c r="D28" s="168"/>
      <c r="E28" s="168"/>
      <c r="F28" s="168"/>
      <c r="G28" s="168"/>
      <c r="H28" s="168"/>
      <c r="I28" s="168"/>
      <c r="J28" s="168"/>
      <c r="K28" s="168"/>
      <c r="L28" s="168"/>
      <c r="M28" s="168"/>
      <c r="N28" s="168"/>
      <c r="O28" s="168"/>
      <c r="P28" s="168"/>
      <c r="Q28" s="201"/>
      <c r="R28" s="20"/>
      <c r="S28" s="20"/>
      <c r="T28" s="20"/>
      <c r="U28" s="20"/>
      <c r="V28" s="20"/>
      <c r="W28" s="20"/>
      <c r="X28" s="20"/>
      <c r="Y28" s="20"/>
      <c r="Z28" s="20"/>
      <c r="AA28" s="20"/>
      <c r="AB28" s="20"/>
      <c r="AC28" s="20"/>
      <c r="AD28" s="20"/>
    </row>
    <row r="29" spans="1:30" ht="13.8" thickBot="1">
      <c r="A29" s="194" t="s">
        <v>25</v>
      </c>
      <c r="B29" s="186" t="s">
        <v>26</v>
      </c>
      <c r="C29" s="189"/>
      <c r="D29" s="189"/>
      <c r="E29" s="189"/>
      <c r="F29" s="189"/>
      <c r="G29" s="189"/>
      <c r="H29" s="190"/>
      <c r="I29" s="168"/>
      <c r="J29" s="168"/>
      <c r="K29" s="168"/>
      <c r="L29" s="168"/>
      <c r="M29" s="168"/>
      <c r="N29" s="168"/>
      <c r="O29" s="168"/>
      <c r="P29" s="168"/>
      <c r="Q29" s="201"/>
      <c r="R29" s="20"/>
      <c r="S29" s="20"/>
      <c r="T29" s="20"/>
      <c r="U29" s="20"/>
      <c r="V29" s="20"/>
      <c r="W29" s="20"/>
      <c r="X29" s="20"/>
      <c r="Y29" s="20"/>
      <c r="Z29" s="20"/>
      <c r="AA29" s="20"/>
      <c r="AB29" s="20"/>
      <c r="AC29" s="20"/>
      <c r="AD29" s="20"/>
    </row>
    <row r="30" spans="1:30">
      <c r="A30" s="193"/>
      <c r="B30" s="170" t="s">
        <v>27</v>
      </c>
      <c r="C30" s="168"/>
      <c r="D30" s="168"/>
      <c r="E30" s="168"/>
      <c r="F30" s="168"/>
      <c r="G30" s="168"/>
      <c r="H30" s="168"/>
      <c r="I30" s="168"/>
      <c r="J30" s="168"/>
      <c r="K30" s="168"/>
      <c r="L30" s="168"/>
      <c r="M30" s="168"/>
      <c r="N30" s="168"/>
      <c r="O30" s="168"/>
      <c r="P30" s="168"/>
      <c r="Q30" s="201"/>
      <c r="R30" s="20"/>
      <c r="S30" s="20"/>
      <c r="T30" s="20"/>
      <c r="U30" s="20"/>
      <c r="V30" s="20"/>
      <c r="W30" s="20"/>
      <c r="X30" s="20"/>
      <c r="Y30" s="20"/>
      <c r="Z30" s="20"/>
      <c r="AA30" s="20"/>
      <c r="AB30" s="20"/>
      <c r="AC30" s="20"/>
      <c r="AD30" s="20"/>
    </row>
    <row r="31" spans="1:30">
      <c r="A31" s="193"/>
      <c r="B31" s="168"/>
      <c r="C31" s="168"/>
      <c r="D31" s="168"/>
      <c r="E31" s="168"/>
      <c r="F31" s="168"/>
      <c r="G31" s="168"/>
      <c r="H31" s="168"/>
      <c r="I31" s="168"/>
      <c r="J31" s="168"/>
      <c r="K31" s="168"/>
      <c r="L31" s="168"/>
      <c r="M31" s="168"/>
      <c r="N31" s="168"/>
      <c r="O31" s="168"/>
      <c r="P31" s="168"/>
      <c r="Q31" s="201"/>
      <c r="R31" s="20"/>
      <c r="S31" s="20"/>
      <c r="T31" s="20"/>
      <c r="U31" s="20"/>
      <c r="V31" s="20"/>
      <c r="W31" s="20"/>
      <c r="X31" s="20"/>
      <c r="Y31" s="20"/>
      <c r="Z31" s="20"/>
      <c r="AA31" s="20"/>
      <c r="AB31" s="20"/>
      <c r="AC31" s="20"/>
      <c r="AD31" s="20"/>
    </row>
    <row r="32" spans="1:30">
      <c r="A32" s="193"/>
      <c r="B32" s="172">
        <v>1</v>
      </c>
      <c r="C32" s="170" t="s">
        <v>28</v>
      </c>
      <c r="D32" s="168"/>
      <c r="E32" s="168"/>
      <c r="F32" s="168"/>
      <c r="G32" s="168"/>
      <c r="H32" s="168"/>
      <c r="I32" s="168"/>
      <c r="J32" s="168"/>
      <c r="K32" s="168"/>
      <c r="L32" s="145">
        <f>IFERROR(VMS!J38,0)</f>
        <v>0</v>
      </c>
      <c r="M32" s="177" t="s">
        <v>29</v>
      </c>
      <c r="N32" s="362">
        <f>IFERROR(VMS!M38,0)</f>
        <v>0</v>
      </c>
      <c r="O32" s="362"/>
      <c r="P32" s="170" t="s">
        <v>30</v>
      </c>
      <c r="Q32" s="201"/>
      <c r="R32" s="20"/>
      <c r="S32" s="20"/>
      <c r="T32" s="20"/>
      <c r="U32" s="20"/>
      <c r="V32" s="20"/>
      <c r="W32" s="20"/>
      <c r="X32" s="20"/>
      <c r="Y32" s="20"/>
      <c r="Z32" s="20"/>
      <c r="AA32" s="20"/>
      <c r="AB32" s="20"/>
      <c r="AC32" s="20"/>
      <c r="AD32" s="20"/>
    </row>
    <row r="33" spans="1:30">
      <c r="A33" s="193"/>
      <c r="B33" s="168"/>
      <c r="C33" s="168"/>
      <c r="D33" s="168"/>
      <c r="E33" s="168"/>
      <c r="F33" s="168"/>
      <c r="G33" s="168"/>
      <c r="H33" s="168"/>
      <c r="I33" s="168"/>
      <c r="J33" s="168"/>
      <c r="K33" s="168"/>
      <c r="L33" s="168"/>
      <c r="M33" s="168"/>
      <c r="N33" s="168"/>
      <c r="O33" s="168"/>
      <c r="P33" s="168"/>
      <c r="Q33" s="201"/>
      <c r="R33" s="20"/>
      <c r="S33" s="20"/>
      <c r="T33" s="20"/>
      <c r="U33" s="20"/>
      <c r="V33" s="20"/>
      <c r="W33" s="20"/>
      <c r="X33" s="20"/>
      <c r="Y33" s="20"/>
      <c r="Z33" s="20"/>
      <c r="AA33" s="20"/>
      <c r="AB33" s="20"/>
      <c r="AC33" s="20"/>
      <c r="AD33" s="20"/>
    </row>
    <row r="34" spans="1:30">
      <c r="A34" s="193"/>
      <c r="B34" s="172">
        <v>2</v>
      </c>
      <c r="C34" s="170" t="s">
        <v>31</v>
      </c>
      <c r="D34" s="168"/>
      <c r="E34" s="168"/>
      <c r="F34" s="168"/>
      <c r="G34" s="168"/>
      <c r="H34" s="168"/>
      <c r="I34" s="168"/>
      <c r="J34" s="168"/>
      <c r="K34" s="168"/>
      <c r="L34" s="168"/>
      <c r="M34" s="168"/>
      <c r="N34" s="312">
        <f>VMS!M45</f>
        <v>0</v>
      </c>
      <c r="O34" s="312"/>
      <c r="P34" s="170" t="s">
        <v>30</v>
      </c>
      <c r="Q34" s="201"/>
      <c r="R34" s="20"/>
      <c r="S34" s="20"/>
      <c r="T34" s="20"/>
      <c r="U34" s="20"/>
      <c r="V34" s="20"/>
      <c r="W34" s="20"/>
      <c r="X34" s="20"/>
      <c r="Y34" s="20"/>
      <c r="Z34" s="20"/>
      <c r="AA34" s="20"/>
      <c r="AB34" s="20"/>
      <c r="AC34" s="20"/>
      <c r="AD34" s="20"/>
    </row>
    <row r="35" spans="1:30" ht="13.8" thickBot="1">
      <c r="A35" s="193"/>
      <c r="B35" s="168"/>
      <c r="C35" s="168"/>
      <c r="D35" s="168"/>
      <c r="E35" s="168"/>
      <c r="F35" s="168"/>
      <c r="G35" s="168"/>
      <c r="H35" s="168"/>
      <c r="I35" s="168"/>
      <c r="J35" s="168"/>
      <c r="K35" s="168"/>
      <c r="L35" s="168"/>
      <c r="M35" s="168"/>
      <c r="N35" s="168"/>
      <c r="O35" s="168"/>
      <c r="P35" s="168"/>
      <c r="Q35" s="201"/>
      <c r="R35" s="20"/>
      <c r="S35" s="20"/>
      <c r="T35" s="20"/>
      <c r="U35" s="20"/>
      <c r="V35" s="20"/>
      <c r="W35" s="20"/>
      <c r="X35" s="20"/>
      <c r="Y35" s="20"/>
      <c r="Z35" s="20"/>
      <c r="AA35" s="20"/>
      <c r="AB35" s="20"/>
      <c r="AC35" s="20"/>
      <c r="AD35" s="20"/>
    </row>
    <row r="36" spans="1:30" ht="13.8" thickBot="1">
      <c r="A36" s="194" t="s">
        <v>32</v>
      </c>
      <c r="B36" s="186" t="s">
        <v>33</v>
      </c>
      <c r="C36" s="189"/>
      <c r="D36" s="189"/>
      <c r="E36" s="189"/>
      <c r="F36" s="189"/>
      <c r="G36" s="189"/>
      <c r="H36" s="190"/>
      <c r="I36" s="168"/>
      <c r="J36" s="168"/>
      <c r="K36" s="168"/>
      <c r="L36" s="168"/>
      <c r="M36" s="168"/>
      <c r="N36" s="168"/>
      <c r="O36" s="168"/>
      <c r="P36" s="168"/>
      <c r="Q36" s="201"/>
      <c r="R36" s="20"/>
      <c r="S36" s="20"/>
      <c r="T36" s="20"/>
      <c r="U36" s="20"/>
      <c r="V36" s="20"/>
      <c r="W36" s="20"/>
      <c r="X36" s="20"/>
      <c r="Y36" s="20"/>
      <c r="Z36" s="20"/>
      <c r="AA36" s="20"/>
      <c r="AB36" s="20"/>
      <c r="AC36" s="20"/>
      <c r="AD36" s="20"/>
    </row>
    <row r="37" spans="1:30">
      <c r="A37" s="193"/>
      <c r="B37" s="170" t="s">
        <v>34</v>
      </c>
      <c r="C37" s="168"/>
      <c r="D37" s="168"/>
      <c r="E37" s="168"/>
      <c r="F37" s="168"/>
      <c r="G37" s="168"/>
      <c r="H37" s="168"/>
      <c r="I37" s="168"/>
      <c r="J37" s="168"/>
      <c r="K37" s="168"/>
      <c r="L37" s="168"/>
      <c r="M37" s="168"/>
      <c r="N37" s="168"/>
      <c r="O37" s="168"/>
      <c r="P37" s="168"/>
      <c r="Q37" s="201"/>
      <c r="R37" s="20"/>
      <c r="S37" s="20"/>
      <c r="T37" s="20"/>
      <c r="U37" s="20"/>
      <c r="V37" s="20"/>
      <c r="W37" s="20"/>
      <c r="X37" s="20"/>
      <c r="Y37" s="20"/>
      <c r="Z37" s="20"/>
      <c r="AA37" s="20"/>
      <c r="AB37" s="20"/>
      <c r="AC37" s="20"/>
      <c r="AD37" s="20"/>
    </row>
    <row r="38" spans="1:30">
      <c r="A38" s="193"/>
      <c r="B38" s="168"/>
      <c r="C38" s="168"/>
      <c r="D38" s="168"/>
      <c r="E38" s="168"/>
      <c r="F38" s="168"/>
      <c r="G38" s="168"/>
      <c r="H38" s="168"/>
      <c r="I38" s="168"/>
      <c r="J38" s="168"/>
      <c r="K38" s="168"/>
      <c r="L38" s="168"/>
      <c r="M38" s="168"/>
      <c r="N38" s="168"/>
      <c r="O38" s="168"/>
      <c r="P38" s="168"/>
      <c r="Q38" s="201"/>
      <c r="R38" s="20"/>
      <c r="S38" s="20"/>
      <c r="T38" s="20"/>
      <c r="U38" s="20"/>
      <c r="V38" s="20"/>
      <c r="W38" s="20"/>
      <c r="X38" s="20"/>
      <c r="Y38" s="20"/>
      <c r="Z38" s="20"/>
      <c r="AA38" s="20"/>
      <c r="AB38" s="20"/>
      <c r="AC38" s="20"/>
      <c r="AD38" s="20"/>
    </row>
    <row r="39" spans="1:30">
      <c r="A39" s="193"/>
      <c r="B39" s="172">
        <v>1</v>
      </c>
      <c r="C39" s="170" t="s">
        <v>33</v>
      </c>
      <c r="D39" s="168"/>
      <c r="E39" s="168"/>
      <c r="F39" s="168"/>
      <c r="G39" s="168"/>
      <c r="H39" s="168"/>
      <c r="I39" s="168"/>
      <c r="J39" s="168"/>
      <c r="K39" s="168"/>
      <c r="L39" s="145">
        <f>CTA!K15+CTA!K55</f>
        <v>0</v>
      </c>
      <c r="M39" s="177" t="s">
        <v>29</v>
      </c>
      <c r="N39" s="149">
        <f>CTA!M15+CTA!M55</f>
        <v>0</v>
      </c>
      <c r="O39" s="147"/>
      <c r="P39" s="170" t="s">
        <v>30</v>
      </c>
      <c r="Q39" s="201"/>
      <c r="R39" s="20"/>
      <c r="S39" s="20"/>
      <c r="T39" s="20"/>
      <c r="U39" s="20"/>
      <c r="V39" s="20"/>
      <c r="W39" s="20"/>
      <c r="X39" s="20"/>
      <c r="Y39" s="20"/>
      <c r="Z39" s="20"/>
      <c r="AA39" s="20"/>
      <c r="AB39" s="20"/>
      <c r="AC39" s="20"/>
      <c r="AD39" s="20"/>
    </row>
    <row r="40" spans="1:30">
      <c r="A40" s="193"/>
      <c r="B40" s="168"/>
      <c r="C40" s="168"/>
      <c r="D40" s="168"/>
      <c r="E40" s="168"/>
      <c r="F40" s="168"/>
      <c r="G40" s="168"/>
      <c r="H40" s="168"/>
      <c r="I40" s="168"/>
      <c r="J40" s="168"/>
      <c r="K40" s="168"/>
      <c r="L40" s="168"/>
      <c r="M40" s="168"/>
      <c r="N40" s="168"/>
      <c r="O40" s="168"/>
      <c r="P40" s="168"/>
      <c r="Q40" s="201"/>
      <c r="R40" s="20"/>
      <c r="S40" s="20"/>
      <c r="T40" s="20"/>
      <c r="U40" s="20"/>
      <c r="V40" s="20"/>
      <c r="W40" s="20"/>
      <c r="X40" s="20"/>
      <c r="Y40" s="20"/>
      <c r="Z40" s="20"/>
      <c r="AA40" s="20"/>
      <c r="AB40" s="20"/>
      <c r="AC40" s="20"/>
      <c r="AD40" s="20"/>
    </row>
    <row r="41" spans="1:30">
      <c r="A41" s="193"/>
      <c r="B41" s="172">
        <v>2</v>
      </c>
      <c r="C41" s="170" t="s">
        <v>35</v>
      </c>
      <c r="D41" s="168"/>
      <c r="E41" s="168"/>
      <c r="F41" s="168"/>
      <c r="G41" s="168"/>
      <c r="H41" s="168"/>
      <c r="I41" s="168"/>
      <c r="J41" s="168"/>
      <c r="K41" s="168"/>
      <c r="L41" s="168"/>
      <c r="M41" s="168"/>
      <c r="N41" s="149">
        <f>CTA!M17+CTA!M58</f>
        <v>0</v>
      </c>
      <c r="O41" s="147"/>
      <c r="P41" s="170" t="s">
        <v>30</v>
      </c>
      <c r="Q41" s="201"/>
      <c r="R41" s="20"/>
      <c r="S41" s="20"/>
      <c r="T41" s="20"/>
      <c r="U41" s="20"/>
      <c r="V41" s="20"/>
      <c r="W41" s="20"/>
      <c r="X41" s="20"/>
      <c r="Y41" s="20"/>
      <c r="Z41" s="20"/>
      <c r="AA41" s="20"/>
      <c r="AB41" s="20"/>
      <c r="AC41" s="20"/>
      <c r="AD41" s="20"/>
    </row>
    <row r="42" spans="1:30" ht="13.8" thickBot="1">
      <c r="A42" s="193"/>
      <c r="B42" s="168"/>
      <c r="C42" s="168"/>
      <c r="D42" s="168"/>
      <c r="E42" s="168"/>
      <c r="F42" s="168"/>
      <c r="G42" s="168"/>
      <c r="H42" s="168"/>
      <c r="I42" s="168"/>
      <c r="J42" s="168"/>
      <c r="K42" s="168"/>
      <c r="L42" s="168"/>
      <c r="M42" s="168"/>
      <c r="N42" s="168"/>
      <c r="O42" s="168"/>
      <c r="P42" s="168"/>
      <c r="Q42" s="201"/>
      <c r="R42" s="20"/>
      <c r="S42" s="20"/>
      <c r="T42" s="20"/>
      <c r="U42" s="20"/>
      <c r="V42" s="20"/>
      <c r="W42" s="20"/>
      <c r="X42" s="20"/>
      <c r="Y42" s="20"/>
      <c r="Z42" s="20"/>
      <c r="AA42" s="20"/>
      <c r="AB42" s="20"/>
      <c r="AC42" s="20"/>
      <c r="AD42" s="20"/>
    </row>
    <row r="43" spans="1:30" ht="13.8" thickBot="1">
      <c r="A43" s="194" t="s">
        <v>36</v>
      </c>
      <c r="B43" s="186" t="s">
        <v>37</v>
      </c>
      <c r="C43" s="189"/>
      <c r="D43" s="189"/>
      <c r="E43" s="189"/>
      <c r="F43" s="189"/>
      <c r="G43" s="189"/>
      <c r="H43" s="190"/>
      <c r="I43" s="168"/>
      <c r="J43" s="168"/>
      <c r="K43" s="168"/>
      <c r="L43" s="168"/>
      <c r="M43" s="168"/>
      <c r="N43" s="168"/>
      <c r="O43" s="168"/>
      <c r="P43" s="168"/>
      <c r="Q43" s="201"/>
      <c r="R43" s="20"/>
      <c r="S43" s="20"/>
      <c r="T43" s="20"/>
      <c r="U43" s="20"/>
      <c r="V43" s="20"/>
      <c r="W43" s="20"/>
      <c r="X43" s="20"/>
      <c r="Y43" s="20"/>
      <c r="Z43" s="20"/>
      <c r="AA43" s="20"/>
      <c r="AB43" s="20"/>
      <c r="AC43" s="20"/>
      <c r="AD43" s="20"/>
    </row>
    <row r="44" spans="1:30">
      <c r="A44" s="193"/>
      <c r="B44" s="168"/>
      <c r="C44" s="168"/>
      <c r="D44" s="168"/>
      <c r="E44" s="168"/>
      <c r="F44" s="168"/>
      <c r="G44" s="168"/>
      <c r="H44" s="168"/>
      <c r="I44" s="168"/>
      <c r="J44" s="168"/>
      <c r="K44" s="168"/>
      <c r="L44" s="168"/>
      <c r="M44" s="168"/>
      <c r="N44" s="168"/>
      <c r="O44" s="168"/>
      <c r="P44" s="168"/>
      <c r="Q44" s="201"/>
      <c r="R44" s="20"/>
      <c r="S44" s="20"/>
      <c r="T44" s="20"/>
      <c r="U44" s="20"/>
      <c r="V44" s="20"/>
      <c r="W44" s="20"/>
      <c r="X44" s="20"/>
      <c r="Y44" s="20"/>
      <c r="Z44" s="20"/>
      <c r="AA44" s="20"/>
      <c r="AB44" s="20"/>
      <c r="AC44" s="20"/>
      <c r="AD44" s="20"/>
    </row>
    <row r="45" spans="1:30">
      <c r="A45" s="193"/>
      <c r="B45" s="172">
        <v>1</v>
      </c>
      <c r="C45" s="170" t="s">
        <v>38</v>
      </c>
      <c r="D45" s="168"/>
      <c r="E45" s="168"/>
      <c r="F45" s="168"/>
      <c r="G45" s="168"/>
      <c r="H45" s="168"/>
      <c r="I45" s="168"/>
      <c r="J45" s="168"/>
      <c r="K45" s="168"/>
      <c r="L45" s="145" t="str">
        <f>AB!K32</f>
        <v>0</v>
      </c>
      <c r="M45" s="177" t="s">
        <v>29</v>
      </c>
      <c r="N45" s="149">
        <f>AB!M32</f>
        <v>0</v>
      </c>
      <c r="O45" s="146"/>
      <c r="P45" s="170" t="s">
        <v>30</v>
      </c>
      <c r="Q45" s="201"/>
      <c r="R45" s="20"/>
      <c r="S45" s="20"/>
      <c r="T45" s="20"/>
      <c r="U45" s="20"/>
      <c r="V45" s="20"/>
      <c r="W45" s="20"/>
      <c r="X45" s="20"/>
      <c r="Y45" s="20"/>
      <c r="Z45" s="20"/>
      <c r="AA45" s="20"/>
      <c r="AB45" s="20"/>
      <c r="AC45" s="20"/>
      <c r="AD45" s="20"/>
    </row>
    <row r="46" spans="1:30">
      <c r="A46" s="193"/>
      <c r="B46" s="168"/>
      <c r="C46" s="168"/>
      <c r="D46" s="168"/>
      <c r="E46" s="168"/>
      <c r="F46" s="168"/>
      <c r="G46" s="168"/>
      <c r="H46" s="168"/>
      <c r="I46" s="168"/>
      <c r="J46" s="168"/>
      <c r="K46" s="168"/>
      <c r="L46" s="168"/>
      <c r="M46" s="168"/>
      <c r="N46" s="168"/>
      <c r="O46" s="168"/>
      <c r="P46" s="168"/>
      <c r="Q46" s="201"/>
      <c r="R46" s="20"/>
      <c r="S46" s="20"/>
      <c r="T46" s="20"/>
      <c r="U46" s="20"/>
      <c r="V46" s="20"/>
      <c r="W46" s="20"/>
      <c r="X46" s="20"/>
      <c r="Y46" s="20"/>
      <c r="Z46" s="20"/>
      <c r="AA46" s="20"/>
      <c r="AB46" s="20"/>
      <c r="AC46" s="20"/>
      <c r="AD46" s="20"/>
    </row>
    <row r="47" spans="1:30">
      <c r="A47" s="193"/>
      <c r="B47" s="172">
        <v>2</v>
      </c>
      <c r="C47" s="170" t="s">
        <v>39</v>
      </c>
      <c r="D47" s="168"/>
      <c r="E47" s="168"/>
      <c r="F47" s="168"/>
      <c r="G47" s="168"/>
      <c r="H47" s="168"/>
      <c r="I47" s="168"/>
      <c r="J47" s="168"/>
      <c r="K47" s="168"/>
      <c r="L47" s="145" t="str">
        <f>AB!K34</f>
        <v>0</v>
      </c>
      <c r="M47" s="177" t="s">
        <v>29</v>
      </c>
      <c r="N47" s="149">
        <f>AB!M34</f>
        <v>0</v>
      </c>
      <c r="O47" s="147"/>
      <c r="P47" s="170" t="s">
        <v>30</v>
      </c>
      <c r="Q47" s="201"/>
      <c r="R47" s="20"/>
      <c r="S47" s="20"/>
      <c r="T47" s="20"/>
      <c r="U47" s="20"/>
      <c r="V47" s="20"/>
      <c r="W47" s="20"/>
      <c r="X47" s="20"/>
      <c r="Y47" s="20"/>
      <c r="Z47" s="20"/>
      <c r="AA47" s="20"/>
      <c r="AB47" s="20"/>
      <c r="AC47" s="20"/>
      <c r="AD47" s="20"/>
    </row>
    <row r="48" spans="1:30">
      <c r="A48" s="193"/>
      <c r="B48" s="168"/>
      <c r="C48" s="168"/>
      <c r="D48" s="168"/>
      <c r="E48" s="168"/>
      <c r="F48" s="168"/>
      <c r="G48" s="168"/>
      <c r="H48" s="168"/>
      <c r="I48" s="168"/>
      <c r="J48" s="168"/>
      <c r="K48" s="168"/>
      <c r="L48" s="168"/>
      <c r="M48" s="168"/>
      <c r="N48" s="168"/>
      <c r="O48" s="168"/>
      <c r="P48" s="168"/>
      <c r="Q48" s="201"/>
      <c r="R48" s="20"/>
      <c r="S48" s="20"/>
      <c r="T48" s="20"/>
      <c r="U48" s="20"/>
      <c r="V48" s="20"/>
      <c r="W48" s="20"/>
      <c r="X48" s="20"/>
      <c r="Y48" s="20"/>
      <c r="Z48" s="20"/>
      <c r="AA48" s="20"/>
      <c r="AB48" s="20"/>
      <c r="AC48" s="20"/>
      <c r="AD48" s="20"/>
    </row>
    <row r="49" spans="1:30">
      <c r="A49" s="193"/>
      <c r="B49" s="172">
        <v>3</v>
      </c>
      <c r="C49" s="170" t="s">
        <v>40</v>
      </c>
      <c r="D49" s="168"/>
      <c r="E49" s="168"/>
      <c r="F49" s="168"/>
      <c r="G49" s="168"/>
      <c r="H49" s="168"/>
      <c r="I49" s="168"/>
      <c r="J49" s="168"/>
      <c r="K49" s="168"/>
      <c r="L49" s="168"/>
      <c r="M49" s="168"/>
      <c r="N49" s="355">
        <f>AB!L36</f>
        <v>0</v>
      </c>
      <c r="O49" s="355"/>
      <c r="P49" s="170" t="s">
        <v>30</v>
      </c>
      <c r="Q49" s="201"/>
      <c r="R49" s="20"/>
      <c r="S49" s="20"/>
      <c r="T49" s="20"/>
      <c r="U49" s="20"/>
      <c r="V49" s="20"/>
      <c r="W49" s="20"/>
      <c r="X49" s="20"/>
      <c r="Y49" s="20"/>
      <c r="Z49" s="20"/>
      <c r="AA49" s="20"/>
      <c r="AB49" s="20"/>
      <c r="AC49" s="20"/>
      <c r="AD49" s="20"/>
    </row>
    <row r="50" spans="1:30">
      <c r="A50" s="193"/>
      <c r="B50" s="168"/>
      <c r="C50" s="168"/>
      <c r="D50" s="168"/>
      <c r="E50" s="168"/>
      <c r="F50" s="168"/>
      <c r="G50" s="168"/>
      <c r="H50" s="168"/>
      <c r="I50" s="168"/>
      <c r="J50" s="168"/>
      <c r="K50" s="168"/>
      <c r="L50" s="168"/>
      <c r="M50" s="168"/>
      <c r="N50" s="168"/>
      <c r="O50" s="168"/>
      <c r="P50" s="168"/>
      <c r="Q50" s="201"/>
      <c r="R50" s="20"/>
      <c r="S50" s="20"/>
      <c r="T50" s="20"/>
      <c r="U50" s="20"/>
      <c r="V50" s="20"/>
      <c r="W50" s="20"/>
      <c r="X50" s="20"/>
      <c r="Y50" s="20"/>
      <c r="Z50" s="20"/>
      <c r="AA50" s="20"/>
      <c r="AB50" s="20"/>
      <c r="AC50" s="20"/>
      <c r="AD50" s="20"/>
    </row>
    <row r="51" spans="1:30">
      <c r="A51" s="193"/>
      <c r="B51" s="168"/>
      <c r="C51" s="168"/>
      <c r="D51" s="168"/>
      <c r="E51" s="168"/>
      <c r="F51" s="168"/>
      <c r="G51" s="168"/>
      <c r="H51" s="168"/>
      <c r="I51" s="168"/>
      <c r="J51" s="168"/>
      <c r="K51" s="168"/>
      <c r="L51" s="168"/>
      <c r="M51" s="168"/>
      <c r="N51" s="168"/>
      <c r="O51" s="168"/>
      <c r="P51" s="168"/>
      <c r="Q51" s="201"/>
      <c r="R51" s="20"/>
      <c r="S51" s="20"/>
      <c r="T51" s="20"/>
      <c r="U51" s="20"/>
      <c r="V51" s="20"/>
      <c r="W51" s="20"/>
      <c r="X51" s="20"/>
      <c r="Y51" s="20"/>
      <c r="Z51" s="20"/>
      <c r="AA51" s="20"/>
      <c r="AB51" s="20"/>
      <c r="AC51" s="20"/>
      <c r="AD51" s="20"/>
    </row>
    <row r="52" spans="1:30">
      <c r="A52" s="193"/>
      <c r="B52" s="168"/>
      <c r="C52" s="168"/>
      <c r="D52" s="168"/>
      <c r="E52" s="168"/>
      <c r="F52" s="168"/>
      <c r="G52" s="168"/>
      <c r="H52" s="168"/>
      <c r="I52" s="168"/>
      <c r="J52" s="168"/>
      <c r="K52" s="168"/>
      <c r="L52" s="168"/>
      <c r="M52" s="168"/>
      <c r="N52" s="168"/>
      <c r="O52" s="168"/>
      <c r="P52" s="168"/>
      <c r="Q52" s="201"/>
      <c r="R52" s="20"/>
      <c r="S52" s="20"/>
      <c r="T52" s="20"/>
      <c r="U52" s="20"/>
      <c r="V52" s="20"/>
      <c r="W52" s="20"/>
      <c r="X52" s="20"/>
      <c r="Y52" s="20"/>
      <c r="Z52" s="20"/>
      <c r="AA52" s="20"/>
      <c r="AB52" s="20"/>
      <c r="AC52" s="20"/>
      <c r="AD52" s="20"/>
    </row>
    <row r="53" spans="1:30">
      <c r="A53" s="193"/>
      <c r="B53" s="168"/>
      <c r="C53" s="168"/>
      <c r="D53" s="168"/>
      <c r="E53" s="168"/>
      <c r="F53" s="168"/>
      <c r="G53" s="168"/>
      <c r="H53" s="168"/>
      <c r="I53" s="168"/>
      <c r="J53" s="168"/>
      <c r="K53" s="168"/>
      <c r="L53" s="168"/>
      <c r="M53" s="168"/>
      <c r="N53" s="168"/>
      <c r="O53" s="168"/>
      <c r="P53" s="168"/>
      <c r="Q53" s="201"/>
      <c r="R53" s="20"/>
      <c r="S53" s="20"/>
      <c r="T53" s="20"/>
      <c r="U53" s="20"/>
      <c r="V53" s="20"/>
      <c r="W53" s="20"/>
      <c r="X53" s="20"/>
      <c r="Y53" s="20"/>
      <c r="Z53" s="20"/>
      <c r="AA53" s="20"/>
      <c r="AB53" s="20"/>
      <c r="AC53" s="20"/>
      <c r="AD53" s="20"/>
    </row>
    <row r="54" spans="1:30">
      <c r="A54" s="193"/>
      <c r="B54" s="168"/>
      <c r="C54" s="168"/>
      <c r="D54" s="168"/>
      <c r="E54" s="168"/>
      <c r="F54" s="168"/>
      <c r="G54" s="168"/>
      <c r="H54" s="168"/>
      <c r="I54" s="168"/>
      <c r="J54" s="168"/>
      <c r="K54" s="168"/>
      <c r="L54" s="168"/>
      <c r="M54" s="168"/>
      <c r="N54" s="168"/>
      <c r="O54" s="168"/>
      <c r="P54" s="168"/>
      <c r="Q54" s="201"/>
      <c r="R54" s="20"/>
      <c r="S54" s="20"/>
      <c r="T54" s="20"/>
      <c r="U54" s="20"/>
      <c r="V54" s="20"/>
      <c r="W54" s="20"/>
      <c r="X54" s="20"/>
      <c r="Y54" s="20"/>
      <c r="Z54" s="20"/>
      <c r="AA54" s="20"/>
      <c r="AB54" s="20"/>
      <c r="AC54" s="20"/>
      <c r="AD54" s="20"/>
    </row>
    <row r="55" spans="1:30">
      <c r="A55" s="193"/>
      <c r="B55" s="168"/>
      <c r="C55" s="168"/>
      <c r="D55" s="168"/>
      <c r="E55" s="168"/>
      <c r="F55" s="168"/>
      <c r="G55" s="168"/>
      <c r="H55" s="168"/>
      <c r="I55" s="168"/>
      <c r="J55" s="168"/>
      <c r="K55" s="168"/>
      <c r="L55" s="168"/>
      <c r="M55" s="168"/>
      <c r="N55" s="168"/>
      <c r="O55" s="168"/>
      <c r="P55" s="168"/>
      <c r="Q55" s="201"/>
      <c r="R55" s="20"/>
      <c r="S55" s="20"/>
      <c r="T55" s="20"/>
      <c r="U55" s="20"/>
      <c r="V55" s="20"/>
      <c r="W55" s="20"/>
      <c r="X55" s="20"/>
      <c r="Y55" s="20"/>
      <c r="Z55" s="20"/>
      <c r="AA55" s="20"/>
      <c r="AB55" s="20"/>
      <c r="AC55" s="20"/>
      <c r="AD55" s="20"/>
    </row>
    <row r="56" spans="1:30">
      <c r="A56" s="193"/>
      <c r="B56" s="168"/>
      <c r="C56" s="168"/>
      <c r="D56" s="168"/>
      <c r="E56" s="168"/>
      <c r="F56" s="168"/>
      <c r="G56" s="168"/>
      <c r="H56" s="168"/>
      <c r="I56" s="168"/>
      <c r="J56" s="168"/>
      <c r="K56" s="168"/>
      <c r="L56" s="168"/>
      <c r="M56" s="168"/>
      <c r="N56" s="168"/>
      <c r="O56" s="168"/>
      <c r="P56" s="168"/>
      <c r="Q56" s="201"/>
      <c r="R56" s="20"/>
      <c r="S56" s="20"/>
      <c r="T56" s="20"/>
      <c r="U56" s="20"/>
      <c r="V56" s="20"/>
      <c r="W56" s="20"/>
      <c r="X56" s="20"/>
      <c r="Y56" s="20"/>
      <c r="Z56" s="20"/>
      <c r="AA56" s="20"/>
      <c r="AB56" s="20"/>
      <c r="AC56" s="20"/>
      <c r="AD56" s="20"/>
    </row>
    <row r="57" spans="1:30">
      <c r="A57" s="193"/>
      <c r="B57" s="168"/>
      <c r="C57" s="168"/>
      <c r="D57" s="168"/>
      <c r="E57" s="168"/>
      <c r="F57" s="168"/>
      <c r="G57" s="168"/>
      <c r="H57" s="168"/>
      <c r="I57" s="168"/>
      <c r="J57" s="168"/>
      <c r="K57" s="168"/>
      <c r="L57" s="168"/>
      <c r="M57" s="168"/>
      <c r="N57" s="168"/>
      <c r="O57" s="168"/>
      <c r="P57" s="168"/>
      <c r="Q57" s="201"/>
      <c r="R57" s="20"/>
      <c r="S57" s="20"/>
      <c r="T57" s="20"/>
      <c r="U57" s="20"/>
      <c r="V57" s="20"/>
      <c r="W57" s="20"/>
      <c r="X57" s="20"/>
      <c r="Y57" s="20"/>
      <c r="Z57" s="20"/>
      <c r="AA57" s="20"/>
      <c r="AB57" s="20"/>
      <c r="AC57" s="20"/>
      <c r="AD57" s="20"/>
    </row>
    <row r="58" spans="1:30">
      <c r="A58" s="197"/>
      <c r="B58" s="3"/>
      <c r="C58" s="3"/>
      <c r="D58" s="3"/>
      <c r="E58" s="3"/>
      <c r="F58" s="3"/>
      <c r="G58" s="3"/>
      <c r="H58" s="3"/>
      <c r="I58" s="3"/>
      <c r="J58" s="3"/>
      <c r="K58" s="3"/>
      <c r="L58" s="3"/>
      <c r="M58" s="3"/>
      <c r="N58" s="3"/>
      <c r="O58" s="3"/>
      <c r="P58" s="3"/>
      <c r="Q58" s="203"/>
      <c r="R58" s="20"/>
      <c r="S58" s="20"/>
      <c r="T58" s="20"/>
      <c r="U58" s="20"/>
      <c r="V58" s="20"/>
      <c r="W58" s="20"/>
      <c r="X58" s="20"/>
      <c r="Y58" s="20"/>
      <c r="Z58" s="20"/>
      <c r="AA58" s="20"/>
      <c r="AB58" s="20"/>
      <c r="AC58" s="20"/>
      <c r="AD58" s="20"/>
    </row>
    <row r="59" spans="1:30">
      <c r="A59" s="193"/>
      <c r="B59" s="168"/>
      <c r="C59" s="168"/>
      <c r="D59" s="168"/>
      <c r="E59" s="168"/>
      <c r="F59" s="168"/>
      <c r="G59" s="168"/>
      <c r="H59" s="168"/>
      <c r="I59" s="168"/>
      <c r="J59" s="168"/>
      <c r="K59" s="168"/>
      <c r="L59" s="168"/>
      <c r="M59" s="168"/>
      <c r="N59" s="168"/>
      <c r="O59" s="168"/>
      <c r="P59" s="168"/>
      <c r="Q59" s="201"/>
      <c r="R59" s="20"/>
      <c r="S59" s="20"/>
      <c r="T59" s="20"/>
      <c r="U59" s="20"/>
      <c r="V59" s="20"/>
      <c r="W59" s="20"/>
      <c r="X59" s="20"/>
      <c r="Y59" s="20"/>
      <c r="Z59" s="20"/>
      <c r="AA59" s="20"/>
      <c r="AB59" s="20"/>
      <c r="AC59" s="20"/>
      <c r="AD59" s="20"/>
    </row>
    <row r="60" spans="1:30">
      <c r="A60" s="193"/>
      <c r="B60" s="168"/>
      <c r="C60" s="168"/>
      <c r="D60" s="168"/>
      <c r="E60" s="168"/>
      <c r="F60" s="168"/>
      <c r="G60" s="168"/>
      <c r="H60" s="168"/>
      <c r="I60" s="168"/>
      <c r="J60" s="168"/>
      <c r="K60" s="168"/>
      <c r="L60" s="168"/>
      <c r="M60" s="168"/>
      <c r="N60" s="168"/>
      <c r="O60" s="168"/>
      <c r="P60" s="168"/>
      <c r="Q60" s="201"/>
      <c r="R60" s="178"/>
      <c r="S60" s="178"/>
      <c r="T60" s="178"/>
      <c r="U60" s="178"/>
      <c r="V60" s="20"/>
      <c r="W60" s="20"/>
      <c r="X60" s="20"/>
      <c r="Y60" s="20"/>
      <c r="Z60" s="20"/>
      <c r="AA60" s="20"/>
      <c r="AB60" s="20"/>
      <c r="AC60" s="20"/>
      <c r="AD60" s="20"/>
    </row>
    <row r="61" spans="1:30" ht="13.8" thickBot="1">
      <c r="A61" s="193"/>
      <c r="B61" s="168"/>
      <c r="C61" s="168"/>
      <c r="D61" s="168"/>
      <c r="E61" s="168"/>
      <c r="F61" s="168"/>
      <c r="G61" s="168"/>
      <c r="H61" s="168"/>
      <c r="I61" s="168"/>
      <c r="J61" s="168"/>
      <c r="K61" s="168"/>
      <c r="L61" s="168"/>
      <c r="M61" s="168"/>
      <c r="N61" s="168"/>
      <c r="O61" s="168"/>
      <c r="P61" s="168"/>
      <c r="Q61" s="201"/>
      <c r="R61" s="25">
        <f>SIN(L39*PI()/180)*N39</f>
        <v>0</v>
      </c>
      <c r="S61" s="25">
        <f>COS(L39*PI()/180)*N39</f>
        <v>0</v>
      </c>
      <c r="T61" s="25">
        <f>SIN(L39*PI()/180)*N39</f>
        <v>0</v>
      </c>
      <c r="U61" s="25">
        <f>COS(L39*PI()/180)*N39</f>
        <v>0</v>
      </c>
      <c r="V61" s="25"/>
      <c r="W61" s="20"/>
      <c r="X61" s="20"/>
      <c r="Y61" s="20"/>
      <c r="Z61" s="20"/>
      <c r="AA61" s="20"/>
      <c r="AB61" s="20"/>
      <c r="AC61" s="20"/>
      <c r="AD61" s="20"/>
    </row>
    <row r="62" spans="1:30" ht="13.8" thickBot="1">
      <c r="A62" s="194" t="s">
        <v>41</v>
      </c>
      <c r="B62" s="186" t="s">
        <v>42</v>
      </c>
      <c r="C62" s="189"/>
      <c r="D62" s="189"/>
      <c r="E62" s="189"/>
      <c r="F62" s="189"/>
      <c r="G62" s="189"/>
      <c r="H62" s="190"/>
      <c r="I62" s="168"/>
      <c r="J62" s="168"/>
      <c r="K62" s="168"/>
      <c r="L62" s="168"/>
      <c r="M62" s="168"/>
      <c r="N62" s="168"/>
      <c r="O62" s="168"/>
      <c r="P62" s="168"/>
      <c r="Q62" s="201"/>
      <c r="R62" s="25">
        <f>SIN(L45*PI()/180)*N45</f>
        <v>0</v>
      </c>
      <c r="S62" s="25">
        <f>COS(L45*PI()/180)*N45</f>
        <v>0</v>
      </c>
      <c r="T62" s="25">
        <f>SIN(L47*PI()/180)*N47</f>
        <v>0</v>
      </c>
      <c r="U62" s="25">
        <f>COS(L47*PI()/180)*N47</f>
        <v>0</v>
      </c>
      <c r="V62" s="25"/>
      <c r="W62" s="20"/>
      <c r="X62" s="20"/>
      <c r="Y62" s="20"/>
      <c r="Z62" s="20"/>
      <c r="AA62" s="20"/>
      <c r="AB62" s="20"/>
      <c r="AC62" s="20"/>
      <c r="AD62" s="20"/>
    </row>
    <row r="63" spans="1:30">
      <c r="A63" s="193"/>
      <c r="B63" s="170" t="s">
        <v>43</v>
      </c>
      <c r="C63" s="168"/>
      <c r="D63" s="168"/>
      <c r="E63" s="168"/>
      <c r="F63" s="168"/>
      <c r="G63" s="168"/>
      <c r="H63" s="168"/>
      <c r="I63" s="168"/>
      <c r="J63" s="168"/>
      <c r="K63" s="168"/>
      <c r="L63" s="168"/>
      <c r="M63" s="168"/>
      <c r="N63" s="168"/>
      <c r="O63" s="168"/>
      <c r="P63" s="168"/>
      <c r="Q63" s="201"/>
      <c r="R63" s="25">
        <f>SUM(R61:R62)</f>
        <v>0</v>
      </c>
      <c r="S63" s="25">
        <f>SUM(S61:S62)</f>
        <v>0</v>
      </c>
      <c r="T63" s="25">
        <f>SUM(T61:T62)</f>
        <v>0</v>
      </c>
      <c r="U63" s="25">
        <f>SUM(U61:U62)</f>
        <v>0</v>
      </c>
      <c r="V63" s="25"/>
      <c r="W63" s="20"/>
      <c r="X63" s="20"/>
      <c r="Y63" s="20"/>
      <c r="Z63" s="20"/>
      <c r="AA63" s="20"/>
      <c r="AB63" s="20"/>
      <c r="AC63" s="20"/>
      <c r="AD63" s="20"/>
    </row>
    <row r="64" spans="1:30">
      <c r="A64" s="193"/>
      <c r="B64" s="170" t="s">
        <v>44</v>
      </c>
      <c r="C64" s="168"/>
      <c r="D64" s="168"/>
      <c r="E64" s="168"/>
      <c r="F64" s="168"/>
      <c r="G64" s="168"/>
      <c r="H64" s="168"/>
      <c r="I64" s="168"/>
      <c r="J64" s="168"/>
      <c r="K64" s="168"/>
      <c r="L64" s="168"/>
      <c r="M64" s="168"/>
      <c r="N64" s="168"/>
      <c r="O64" s="168"/>
      <c r="P64" s="168"/>
      <c r="Q64" s="201"/>
      <c r="R64" s="179" t="s">
        <v>313</v>
      </c>
      <c r="S64" s="179" t="s">
        <v>347</v>
      </c>
      <c r="T64" s="179" t="s">
        <v>313</v>
      </c>
      <c r="U64" s="179" t="s">
        <v>347</v>
      </c>
      <c r="V64" s="20"/>
      <c r="W64" s="20"/>
      <c r="X64" s="20"/>
      <c r="Y64" s="20"/>
      <c r="Z64" s="20"/>
      <c r="AA64" s="20"/>
      <c r="AB64" s="20"/>
      <c r="AC64" s="20"/>
      <c r="AD64" s="20"/>
    </row>
    <row r="65" spans="1:30">
      <c r="A65" s="193"/>
      <c r="B65" s="168"/>
      <c r="C65" s="168"/>
      <c r="D65" s="168"/>
      <c r="E65" s="168"/>
      <c r="F65" s="168"/>
      <c r="G65" s="168"/>
      <c r="H65" s="168"/>
      <c r="I65" s="168"/>
      <c r="J65" s="168"/>
      <c r="K65" s="168"/>
      <c r="L65" s="168"/>
      <c r="M65" s="168"/>
      <c r="N65" s="168"/>
      <c r="O65" s="168"/>
      <c r="P65" s="168"/>
      <c r="Q65" s="201"/>
      <c r="R65" s="29" t="e">
        <f>ATAN(R63/S63)*180/PI()</f>
        <v>#DIV/0!</v>
      </c>
      <c r="S65" s="179"/>
      <c r="T65" s="29" t="e">
        <f>ATAN(T63/U63)*180/PI()</f>
        <v>#DIV/0!</v>
      </c>
      <c r="U65" s="179"/>
      <c r="V65" s="20"/>
      <c r="W65" s="20"/>
      <c r="X65" s="20"/>
      <c r="Y65" s="20"/>
      <c r="Z65" s="20"/>
      <c r="AA65" s="20"/>
      <c r="AB65" s="20"/>
      <c r="AC65" s="20"/>
      <c r="AD65" s="20"/>
    </row>
    <row r="66" spans="1:30">
      <c r="A66" s="193"/>
      <c r="B66" s="168"/>
      <c r="C66" s="168"/>
      <c r="D66" s="168"/>
      <c r="E66" s="168"/>
      <c r="F66" s="168"/>
      <c r="G66" s="168"/>
      <c r="H66" s="168"/>
      <c r="I66" s="168"/>
      <c r="J66" s="170" t="s">
        <v>46</v>
      </c>
      <c r="K66" s="170"/>
      <c r="L66" s="168"/>
      <c r="M66" s="168"/>
      <c r="N66" s="170" t="s">
        <v>48</v>
      </c>
      <c r="O66" s="170"/>
      <c r="P66" s="168"/>
      <c r="Q66" s="201"/>
      <c r="R66" s="179"/>
      <c r="S66" s="179"/>
      <c r="T66" s="179"/>
      <c r="U66" s="179"/>
      <c r="V66" s="20"/>
      <c r="W66" s="20"/>
      <c r="X66" s="20"/>
      <c r="Y66" s="20"/>
      <c r="Z66" s="20"/>
      <c r="AA66" s="20"/>
      <c r="AB66" s="20"/>
      <c r="AC66" s="20"/>
      <c r="AD66" s="20"/>
    </row>
    <row r="67" spans="1:30">
      <c r="A67" s="193"/>
      <c r="B67" s="168"/>
      <c r="C67" s="168"/>
      <c r="D67" s="168"/>
      <c r="E67" s="168"/>
      <c r="F67" s="168"/>
      <c r="G67" s="168"/>
      <c r="H67" s="168"/>
      <c r="I67" s="168"/>
      <c r="J67" s="170" t="s">
        <v>47</v>
      </c>
      <c r="K67" s="170"/>
      <c r="L67" s="168"/>
      <c r="M67" s="168"/>
      <c r="N67" s="170" t="s">
        <v>47</v>
      </c>
      <c r="O67" s="170"/>
      <c r="P67" s="168"/>
      <c r="Q67" s="201"/>
      <c r="R67" s="350"/>
      <c r="S67" s="350"/>
      <c r="T67" s="350"/>
      <c r="U67" s="350"/>
      <c r="V67" s="181"/>
      <c r="W67" s="181"/>
      <c r="X67" s="181"/>
      <c r="Y67" s="20"/>
      <c r="Z67" s="20"/>
      <c r="AA67" s="20"/>
      <c r="AB67" s="20"/>
      <c r="AC67" s="20"/>
      <c r="AD67" s="20"/>
    </row>
    <row r="68" spans="1:30">
      <c r="A68" s="193"/>
      <c r="B68" s="168"/>
      <c r="C68" s="168"/>
      <c r="D68" s="168"/>
      <c r="E68" s="168"/>
      <c r="F68" s="168"/>
      <c r="G68" s="168"/>
      <c r="H68" s="168"/>
      <c r="I68" s="168"/>
      <c r="J68" s="168"/>
      <c r="K68" s="168"/>
      <c r="L68" s="168"/>
      <c r="M68" s="168"/>
      <c r="N68" s="168"/>
      <c r="O68" s="168"/>
      <c r="P68" s="168"/>
      <c r="Q68" s="201"/>
      <c r="R68" s="182"/>
      <c r="S68" s="180"/>
      <c r="T68" s="182"/>
      <c r="U68" s="180"/>
      <c r="V68" s="181"/>
      <c r="W68" s="181"/>
      <c r="X68" s="181"/>
      <c r="Y68" s="20"/>
      <c r="Z68" s="20"/>
      <c r="AA68" s="20"/>
      <c r="AB68" s="20"/>
      <c r="AC68" s="20"/>
      <c r="AD68" s="20"/>
    </row>
    <row r="69" spans="1:30">
      <c r="A69" s="193"/>
      <c r="B69" s="172">
        <v>1</v>
      </c>
      <c r="C69" s="170" t="s">
        <v>45</v>
      </c>
      <c r="D69" s="168"/>
      <c r="E69" s="168"/>
      <c r="F69" s="168"/>
      <c r="G69" s="168"/>
      <c r="H69" s="168"/>
      <c r="I69" s="168"/>
      <c r="J69" s="312">
        <f>IFERROR((ROUND(IF(R63&lt;0,IF(S63&lt;0,R65+180,R65+360),IF(S63&lt;0,R65+180,R65)),0)),0)</f>
        <v>0</v>
      </c>
      <c r="K69" s="312"/>
      <c r="L69" s="312"/>
      <c r="M69" s="168" t="s">
        <v>29</v>
      </c>
      <c r="N69" s="312">
        <f>IFERROR((ROUND(IF(T63&lt;0,IF(U63&lt;0,T65+180,T65+360),IF(U63&lt;0,T65+180,T65)),0)),0)</f>
        <v>0</v>
      </c>
      <c r="O69" s="312"/>
      <c r="P69" s="312"/>
      <c r="Q69" s="201" t="s">
        <v>29</v>
      </c>
      <c r="R69" s="349"/>
      <c r="S69" s="349"/>
      <c r="T69" s="349"/>
      <c r="U69" s="349"/>
      <c r="V69" s="181"/>
      <c r="W69" s="181"/>
      <c r="X69" s="181"/>
      <c r="Y69" s="20"/>
      <c r="Z69" s="20"/>
      <c r="AA69" s="20"/>
      <c r="AB69" s="20"/>
      <c r="AC69" s="20"/>
      <c r="AD69" s="20"/>
    </row>
    <row r="70" spans="1:30">
      <c r="A70" s="193"/>
      <c r="B70" s="168"/>
      <c r="C70" s="168"/>
      <c r="D70" s="168"/>
      <c r="E70" s="168"/>
      <c r="F70" s="168"/>
      <c r="G70" s="168"/>
      <c r="H70" s="168"/>
      <c r="I70" s="168"/>
      <c r="J70" s="168"/>
      <c r="K70" s="168"/>
      <c r="L70" s="168"/>
      <c r="M70" s="168"/>
      <c r="N70" s="168"/>
      <c r="O70" s="168"/>
      <c r="P70" s="168"/>
      <c r="Q70" s="201"/>
      <c r="R70" s="150"/>
      <c r="S70" s="183"/>
      <c r="T70" s="150"/>
      <c r="U70" s="183"/>
      <c r="V70" s="181"/>
      <c r="W70" s="181"/>
      <c r="X70" s="181"/>
      <c r="Y70" s="20"/>
      <c r="Z70" s="20"/>
      <c r="AA70" s="20"/>
      <c r="AB70" s="20"/>
      <c r="AC70" s="20"/>
      <c r="AD70" s="20"/>
    </row>
    <row r="71" spans="1:30">
      <c r="A71" s="193"/>
      <c r="B71" s="172">
        <v>2</v>
      </c>
      <c r="C71" s="170" t="s">
        <v>49</v>
      </c>
      <c r="D71" s="168"/>
      <c r="E71" s="168"/>
      <c r="F71" s="168"/>
      <c r="G71" s="168"/>
      <c r="H71" s="168"/>
      <c r="I71" s="168"/>
      <c r="J71" s="362">
        <f>ROUND(SQRT((R63^2)+(S63^2)),1)</f>
        <v>0</v>
      </c>
      <c r="K71" s="362"/>
      <c r="L71" s="362"/>
      <c r="M71" s="170" t="s">
        <v>30</v>
      </c>
      <c r="N71" s="362">
        <f>ROUND(SQRT((T63^2)+(U63^2)),1)</f>
        <v>0</v>
      </c>
      <c r="O71" s="362"/>
      <c r="P71" s="362"/>
      <c r="Q71" s="204" t="s">
        <v>30</v>
      </c>
      <c r="R71" s="181"/>
      <c r="S71" s="181"/>
      <c r="T71" s="181"/>
      <c r="U71" s="181"/>
      <c r="V71" s="181"/>
      <c r="W71" s="181"/>
      <c r="X71" s="181"/>
      <c r="Y71" s="20"/>
      <c r="Z71" s="20"/>
      <c r="AA71" s="20"/>
      <c r="AB71" s="20"/>
      <c r="AC71" s="20"/>
      <c r="AD71" s="20"/>
    </row>
    <row r="72" spans="1:30">
      <c r="A72" s="193"/>
      <c r="B72" s="168"/>
      <c r="C72" s="168"/>
      <c r="D72" s="168"/>
      <c r="E72" s="168"/>
      <c r="F72" s="168"/>
      <c r="G72" s="168"/>
      <c r="H72" s="168"/>
      <c r="I72" s="168"/>
      <c r="J72" s="168"/>
      <c r="K72" s="168"/>
      <c r="L72" s="168"/>
      <c r="M72" s="168"/>
      <c r="N72" s="168"/>
      <c r="O72" s="168"/>
      <c r="P72" s="168"/>
      <c r="Q72" s="201"/>
      <c r="R72" s="163"/>
      <c r="S72" s="183"/>
      <c r="T72" s="183"/>
      <c r="U72" s="183"/>
      <c r="V72" s="150"/>
      <c r="W72" s="181"/>
      <c r="X72" s="181"/>
      <c r="Y72" s="20"/>
      <c r="Z72" s="20"/>
      <c r="AA72" s="20"/>
      <c r="AB72" s="20"/>
      <c r="AC72" s="20"/>
      <c r="AD72" s="20"/>
    </row>
    <row r="73" spans="1:30">
      <c r="A73" s="193"/>
      <c r="B73" s="172">
        <v>3</v>
      </c>
      <c r="C73" s="170" t="s">
        <v>50</v>
      </c>
      <c r="D73" s="168"/>
      <c r="E73" s="168"/>
      <c r="F73" s="168"/>
      <c r="G73" s="168"/>
      <c r="H73" s="168"/>
      <c r="I73" s="168"/>
      <c r="J73" s="312">
        <f>ROUND(J71*N27,2)</f>
        <v>0</v>
      </c>
      <c r="K73" s="312"/>
      <c r="L73" s="312"/>
      <c r="M73" s="170" t="s">
        <v>52</v>
      </c>
      <c r="N73" s="312">
        <f>ROUND(N71*N27,2)</f>
        <v>0</v>
      </c>
      <c r="O73" s="312"/>
      <c r="P73" s="312"/>
      <c r="Q73" s="204" t="s">
        <v>52</v>
      </c>
      <c r="R73" s="163"/>
      <c r="S73" s="150" t="s">
        <v>492</v>
      </c>
      <c r="T73" s="150">
        <f>J21+L21/60</f>
        <v>0</v>
      </c>
      <c r="U73" s="163" t="s">
        <v>499</v>
      </c>
      <c r="V73" s="150"/>
      <c r="W73" s="181"/>
      <c r="X73" s="181"/>
      <c r="Y73" s="20"/>
      <c r="Z73" s="20"/>
      <c r="AA73" s="20"/>
      <c r="AB73" s="20"/>
      <c r="AC73" s="20"/>
      <c r="AD73" s="20"/>
    </row>
    <row r="74" spans="1:30">
      <c r="A74" s="193"/>
      <c r="B74" s="168"/>
      <c r="C74" s="184" t="s">
        <v>51</v>
      </c>
      <c r="D74" s="168"/>
      <c r="E74" s="168"/>
      <c r="F74" s="168"/>
      <c r="G74" s="168"/>
      <c r="H74" s="168"/>
      <c r="I74" s="168"/>
      <c r="J74" s="168"/>
      <c r="K74" s="168"/>
      <c r="L74" s="168"/>
      <c r="M74" s="168"/>
      <c r="N74" s="168"/>
      <c r="O74" s="168"/>
      <c r="P74" s="168"/>
      <c r="Q74" s="201"/>
      <c r="R74" s="150"/>
      <c r="S74" s="150"/>
      <c r="T74" s="150">
        <f>N21+P21/60</f>
        <v>0</v>
      </c>
      <c r="U74" s="150" t="s">
        <v>500</v>
      </c>
      <c r="V74" s="150"/>
      <c r="W74" s="181"/>
      <c r="X74" s="181"/>
      <c r="Y74" s="20"/>
      <c r="Z74" s="20"/>
      <c r="AA74" s="20"/>
      <c r="AB74" s="20"/>
      <c r="AC74" s="20"/>
      <c r="AD74" s="20"/>
    </row>
    <row r="75" spans="1:30">
      <c r="A75" s="193"/>
      <c r="B75" s="168"/>
      <c r="C75" s="168"/>
      <c r="D75" s="168"/>
      <c r="E75" s="168"/>
      <c r="F75" s="168"/>
      <c r="G75" s="168"/>
      <c r="H75" s="168"/>
      <c r="I75" s="168"/>
      <c r="J75" s="168"/>
      <c r="K75" s="168"/>
      <c r="L75" s="168"/>
      <c r="M75" s="168"/>
      <c r="N75" s="168"/>
      <c r="O75" s="168"/>
      <c r="P75" s="168"/>
      <c r="Q75" s="201"/>
      <c r="R75" s="150"/>
      <c r="S75" s="150"/>
      <c r="T75" s="150"/>
      <c r="U75" s="150"/>
      <c r="V75" s="150"/>
      <c r="W75" s="181"/>
      <c r="X75" s="181"/>
      <c r="Y75" s="20"/>
      <c r="Z75" s="20"/>
      <c r="AA75" s="20"/>
      <c r="AB75" s="20"/>
      <c r="AC75" s="20"/>
      <c r="AD75" s="20"/>
    </row>
    <row r="76" spans="1:30">
      <c r="A76" s="193"/>
      <c r="B76" s="172">
        <v>4</v>
      </c>
      <c r="C76" s="170" t="s">
        <v>53</v>
      </c>
      <c r="D76" s="168"/>
      <c r="E76" s="168"/>
      <c r="F76" s="168"/>
      <c r="G76" s="168"/>
      <c r="H76" s="168"/>
      <c r="I76" s="168"/>
      <c r="J76" s="168"/>
      <c r="K76" s="168"/>
      <c r="L76" s="168"/>
      <c r="M76" s="168"/>
      <c r="N76" s="362">
        <f>SQRT((N34^2)+(N41^2)+(N49^2))</f>
        <v>0</v>
      </c>
      <c r="O76" s="362"/>
      <c r="P76" s="362"/>
      <c r="Q76" s="204" t="s">
        <v>30</v>
      </c>
      <c r="R76" s="150" t="s">
        <v>493</v>
      </c>
      <c r="S76" s="164" t="s">
        <v>494</v>
      </c>
      <c r="T76" s="150">
        <f>COS(J69*PI()/180)*J73</f>
        <v>0</v>
      </c>
      <c r="U76" s="150"/>
      <c r="V76" s="150"/>
      <c r="W76" s="181"/>
      <c r="X76" s="181"/>
      <c r="Y76" s="20"/>
      <c r="Z76" s="20"/>
      <c r="AA76" s="20"/>
      <c r="AB76" s="20"/>
      <c r="AC76" s="20"/>
      <c r="AD76" s="20"/>
    </row>
    <row r="77" spans="1:30">
      <c r="A77" s="193"/>
      <c r="B77" s="168"/>
      <c r="C77" s="184" t="s">
        <v>304</v>
      </c>
      <c r="D77" s="168"/>
      <c r="E77" s="168"/>
      <c r="F77" s="168"/>
      <c r="G77" s="168"/>
      <c r="H77" s="168"/>
      <c r="I77" s="168"/>
      <c r="J77" s="168"/>
      <c r="K77" s="168"/>
      <c r="L77" s="168"/>
      <c r="M77" s="168"/>
      <c r="N77" s="168"/>
      <c r="O77" s="168"/>
      <c r="P77" s="168"/>
      <c r="Q77" s="201"/>
      <c r="R77" s="150"/>
      <c r="S77" s="164" t="s">
        <v>495</v>
      </c>
      <c r="T77" s="150">
        <f>U77/(COS(T79*PI()/180))</f>
        <v>0</v>
      </c>
      <c r="U77" s="150">
        <f>SIN(J69*PI()/180)*J73</f>
        <v>0</v>
      </c>
      <c r="V77" s="150"/>
      <c r="W77" s="181"/>
      <c r="X77" s="181"/>
      <c r="Y77" s="20"/>
      <c r="Z77" s="20"/>
      <c r="AA77" s="20"/>
      <c r="AB77" s="20"/>
      <c r="AC77" s="20"/>
      <c r="AD77" s="20"/>
    </row>
    <row r="78" spans="1:30" ht="13.8" thickBot="1">
      <c r="A78" s="193"/>
      <c r="B78" s="168"/>
      <c r="C78" s="168"/>
      <c r="D78" s="168"/>
      <c r="E78" s="168"/>
      <c r="F78" s="168"/>
      <c r="G78" s="168"/>
      <c r="H78" s="168"/>
      <c r="I78" s="168"/>
      <c r="J78" s="168"/>
      <c r="K78" s="168"/>
      <c r="L78" s="168"/>
      <c r="M78" s="168"/>
      <c r="N78" s="168"/>
      <c r="O78" s="168"/>
      <c r="P78" s="168"/>
      <c r="Q78" s="201"/>
      <c r="R78" s="150"/>
      <c r="S78" s="150"/>
      <c r="T78" s="150"/>
      <c r="U78" s="150"/>
      <c r="V78" s="150"/>
      <c r="W78" s="181"/>
      <c r="X78" s="181"/>
      <c r="Y78" s="20"/>
      <c r="Z78" s="20"/>
      <c r="AA78" s="20"/>
      <c r="AB78" s="20"/>
      <c r="AC78" s="20"/>
      <c r="AD78" s="20"/>
    </row>
    <row r="79" spans="1:30" ht="13.8" thickBot="1">
      <c r="A79" s="194" t="s">
        <v>54</v>
      </c>
      <c r="B79" s="186" t="s">
        <v>55</v>
      </c>
      <c r="C79" s="189"/>
      <c r="D79" s="189"/>
      <c r="E79" s="189"/>
      <c r="F79" s="189"/>
      <c r="G79" s="189"/>
      <c r="H79" s="190"/>
      <c r="I79" s="168"/>
      <c r="J79" s="168"/>
      <c r="K79" s="168"/>
      <c r="L79" s="168"/>
      <c r="M79" s="168"/>
      <c r="N79" s="168"/>
      <c r="O79" s="168"/>
      <c r="P79" s="168"/>
      <c r="Q79" s="201"/>
      <c r="R79" s="150"/>
      <c r="S79" s="150" t="s">
        <v>496</v>
      </c>
      <c r="T79" s="150">
        <f>IF(M21="N",(T73-(T76*-1)/60),(T73-T76/60))</f>
        <v>0</v>
      </c>
      <c r="U79" s="150">
        <f>(T79-J84)*60</f>
        <v>0</v>
      </c>
      <c r="V79" s="150"/>
      <c r="W79" s="181"/>
      <c r="X79" s="181"/>
      <c r="Y79" s="20"/>
      <c r="Z79" s="20"/>
      <c r="AA79" s="20"/>
      <c r="AB79" s="20"/>
      <c r="AC79" s="20"/>
      <c r="AD79" s="20"/>
    </row>
    <row r="80" spans="1:30">
      <c r="A80" s="193"/>
      <c r="B80" s="168"/>
      <c r="C80" s="170" t="s">
        <v>56</v>
      </c>
      <c r="D80" s="168"/>
      <c r="E80" s="168"/>
      <c r="F80" s="168"/>
      <c r="G80" s="168"/>
      <c r="H80" s="168"/>
      <c r="I80" s="168"/>
      <c r="J80" s="168"/>
      <c r="K80" s="168"/>
      <c r="L80" s="168"/>
      <c r="M80" s="168"/>
      <c r="N80" s="168"/>
      <c r="O80" s="168"/>
      <c r="P80" s="168"/>
      <c r="Q80" s="201"/>
      <c r="R80" s="150"/>
      <c r="S80" s="150" t="s">
        <v>497</v>
      </c>
      <c r="T80" s="150">
        <f>T74-T77/60</f>
        <v>0</v>
      </c>
      <c r="U80" s="150">
        <f>(T80-N84)*60</f>
        <v>0</v>
      </c>
      <c r="V80" s="150"/>
      <c r="W80" s="181"/>
      <c r="X80" s="181"/>
      <c r="Y80" s="20"/>
      <c r="Z80" s="20"/>
      <c r="AA80" s="20"/>
      <c r="AB80" s="20"/>
      <c r="AC80" s="20"/>
      <c r="AD80" s="20"/>
    </row>
    <row r="81" spans="1:30">
      <c r="A81" s="193"/>
      <c r="B81" s="168"/>
      <c r="C81" s="170" t="s">
        <v>57</v>
      </c>
      <c r="D81" s="168"/>
      <c r="E81" s="168"/>
      <c r="F81" s="168"/>
      <c r="G81" s="168"/>
      <c r="H81" s="168"/>
      <c r="I81" s="168"/>
      <c r="J81" s="168"/>
      <c r="K81" s="168"/>
      <c r="L81" s="168"/>
      <c r="M81" s="168"/>
      <c r="N81" s="168"/>
      <c r="O81" s="168"/>
      <c r="P81" s="168"/>
      <c r="Q81" s="201"/>
      <c r="R81" s="150"/>
      <c r="S81" s="150"/>
      <c r="T81" s="150"/>
      <c r="U81" s="150"/>
      <c r="V81" s="150"/>
      <c r="W81" s="181"/>
      <c r="X81" s="181"/>
      <c r="Y81" s="20"/>
      <c r="Z81" s="20"/>
      <c r="AA81" s="20"/>
      <c r="AB81" s="20"/>
      <c r="AC81" s="20"/>
      <c r="AD81" s="20"/>
    </row>
    <row r="82" spans="1:30">
      <c r="A82" s="193"/>
      <c r="B82" s="168"/>
      <c r="C82" s="168"/>
      <c r="D82" s="168"/>
      <c r="E82" s="168"/>
      <c r="F82" s="168"/>
      <c r="G82" s="168"/>
      <c r="H82" s="168"/>
      <c r="I82" s="168"/>
      <c r="J82" s="168"/>
      <c r="K82" s="168"/>
      <c r="L82" s="168"/>
      <c r="M82" s="168"/>
      <c r="N82" s="168"/>
      <c r="O82" s="168"/>
      <c r="P82" s="168"/>
      <c r="Q82" s="201"/>
      <c r="R82" s="150"/>
      <c r="S82" s="150"/>
      <c r="T82" s="150"/>
      <c r="U82" s="150"/>
      <c r="V82" s="150"/>
      <c r="W82" s="181"/>
      <c r="X82" s="181"/>
      <c r="Y82" s="20"/>
      <c r="Z82" s="20"/>
      <c r="AA82" s="20"/>
      <c r="AB82" s="20"/>
      <c r="AC82" s="20"/>
      <c r="AD82" s="20"/>
    </row>
    <row r="83" spans="1:30">
      <c r="A83" s="193"/>
      <c r="B83" s="172">
        <v>1</v>
      </c>
      <c r="C83" s="170" t="s">
        <v>58</v>
      </c>
      <c r="D83" s="168"/>
      <c r="E83" s="168"/>
      <c r="F83" s="168"/>
      <c r="G83" s="168"/>
      <c r="H83" s="168"/>
      <c r="I83" s="168"/>
      <c r="J83" s="168"/>
      <c r="K83" s="168"/>
      <c r="L83" s="168"/>
      <c r="M83" s="168"/>
      <c r="N83" s="168"/>
      <c r="O83" s="168"/>
      <c r="P83" s="168"/>
      <c r="Q83" s="201"/>
      <c r="R83" s="150"/>
      <c r="S83" s="150" t="s">
        <v>492</v>
      </c>
      <c r="T83" s="150">
        <f>J21+L21/60</f>
        <v>0</v>
      </c>
      <c r="U83" s="163" t="s">
        <v>499</v>
      </c>
      <c r="V83" s="150"/>
      <c r="W83" s="181"/>
      <c r="X83" s="181"/>
      <c r="Y83" s="20"/>
      <c r="Z83" s="20"/>
      <c r="AA83" s="20"/>
      <c r="AB83" s="20"/>
      <c r="AC83" s="20"/>
      <c r="AD83" s="20"/>
    </row>
    <row r="84" spans="1:30">
      <c r="A84" s="193"/>
      <c r="B84" s="168"/>
      <c r="C84" s="170" t="s">
        <v>59</v>
      </c>
      <c r="D84" s="168"/>
      <c r="E84" s="168"/>
      <c r="F84" s="168"/>
      <c r="G84" s="168"/>
      <c r="H84" s="168"/>
      <c r="I84" s="168"/>
      <c r="J84" s="145">
        <f>IFERROR((TRUNC(T79)),0)</f>
        <v>0</v>
      </c>
      <c r="K84" s="174" t="s">
        <v>490</v>
      </c>
      <c r="L84" s="145">
        <f>IFERROR((ROUND(U79,1)),0)</f>
        <v>0</v>
      </c>
      <c r="M84" s="175" t="str">
        <f>M21</f>
        <v>S</v>
      </c>
      <c r="N84" s="145">
        <f>IFERROR((TRUNC(T80)),0)</f>
        <v>0</v>
      </c>
      <c r="O84" s="174" t="s">
        <v>490</v>
      </c>
      <c r="P84" s="145">
        <f>IFERROR((ROUND(U80,1)),0)</f>
        <v>0</v>
      </c>
      <c r="Q84" s="202" t="s">
        <v>491</v>
      </c>
      <c r="R84" s="150"/>
      <c r="S84" s="150"/>
      <c r="T84" s="150">
        <f>N21+P21/60</f>
        <v>0</v>
      </c>
      <c r="U84" s="150" t="s">
        <v>500</v>
      </c>
      <c r="V84" s="150"/>
      <c r="W84" s="181"/>
      <c r="X84" s="181"/>
      <c r="Y84" s="20"/>
      <c r="Z84" s="20"/>
      <c r="AA84" s="20"/>
      <c r="AB84" s="20"/>
      <c r="AC84" s="20"/>
      <c r="AD84" s="20"/>
    </row>
    <row r="85" spans="1:30">
      <c r="A85" s="193"/>
      <c r="B85" s="168"/>
      <c r="C85" s="168"/>
      <c r="D85" s="168"/>
      <c r="E85" s="168"/>
      <c r="F85" s="168"/>
      <c r="G85" s="168"/>
      <c r="H85" s="168"/>
      <c r="I85" s="168"/>
      <c r="J85" s="168"/>
      <c r="K85" s="168"/>
      <c r="L85" s="168"/>
      <c r="M85" s="168"/>
      <c r="N85" s="168"/>
      <c r="O85" s="168"/>
      <c r="P85" s="168"/>
      <c r="Q85" s="201"/>
      <c r="R85" s="150"/>
      <c r="S85" s="150"/>
      <c r="T85" s="150"/>
      <c r="U85" s="150"/>
      <c r="V85" s="150"/>
      <c r="W85" s="181"/>
      <c r="X85" s="181"/>
      <c r="Y85" s="20"/>
      <c r="Z85" s="20"/>
      <c r="AA85" s="20"/>
      <c r="AB85" s="20"/>
      <c r="AC85" s="20"/>
      <c r="AD85" s="20"/>
    </row>
    <row r="86" spans="1:30">
      <c r="A86" s="193"/>
      <c r="B86" s="172">
        <v>2</v>
      </c>
      <c r="C86" s="170" t="s">
        <v>58</v>
      </c>
      <c r="D86" s="168"/>
      <c r="E86" s="168"/>
      <c r="F86" s="168"/>
      <c r="G86" s="168"/>
      <c r="H86" s="168"/>
      <c r="I86" s="168"/>
      <c r="J86" s="145">
        <f>IFERROR((TRUNC(T89)),0)</f>
        <v>0</v>
      </c>
      <c r="K86" s="174" t="s">
        <v>490</v>
      </c>
      <c r="L86" s="145">
        <f>IFERROR((ROUND(U89,1)),0)</f>
        <v>0</v>
      </c>
      <c r="M86" s="175" t="str">
        <f>M21</f>
        <v>S</v>
      </c>
      <c r="N86" s="145">
        <f>IFERROR((TRUNC(T90)),0)</f>
        <v>0</v>
      </c>
      <c r="O86" s="174" t="s">
        <v>490</v>
      </c>
      <c r="P86" s="145">
        <f>IFERROR((ROUND(U90,1)),0)</f>
        <v>0</v>
      </c>
      <c r="Q86" s="202" t="s">
        <v>491</v>
      </c>
      <c r="R86" s="150" t="s">
        <v>498</v>
      </c>
      <c r="S86" s="164" t="s">
        <v>494</v>
      </c>
      <c r="T86" s="150">
        <f>COS(N69*PI()/180)*N73</f>
        <v>0</v>
      </c>
      <c r="U86" s="150"/>
      <c r="V86" s="150"/>
      <c r="W86" s="181"/>
      <c r="X86" s="181"/>
      <c r="Y86" s="20"/>
      <c r="Z86" s="20"/>
      <c r="AA86" s="20"/>
      <c r="AB86" s="20"/>
      <c r="AC86" s="20"/>
      <c r="AD86" s="20"/>
    </row>
    <row r="87" spans="1:30">
      <c r="A87" s="193"/>
      <c r="B87" s="168"/>
      <c r="C87" s="170" t="s">
        <v>60</v>
      </c>
      <c r="D87" s="168"/>
      <c r="E87" s="168"/>
      <c r="F87" s="168"/>
      <c r="G87" s="168"/>
      <c r="H87" s="168"/>
      <c r="I87" s="168"/>
      <c r="J87" s="168"/>
      <c r="K87" s="168"/>
      <c r="L87" s="168"/>
      <c r="M87" s="168"/>
      <c r="N87" s="168"/>
      <c r="O87" s="168"/>
      <c r="P87" s="168"/>
      <c r="Q87" s="201"/>
      <c r="R87" s="150"/>
      <c r="S87" s="164" t="s">
        <v>495</v>
      </c>
      <c r="T87" s="150">
        <f>U87/(COS(T89*PI()/180))</f>
        <v>0</v>
      </c>
      <c r="U87" s="150">
        <f>SIN(N69*PI()/180)*N73</f>
        <v>0</v>
      </c>
      <c r="V87" s="150"/>
      <c r="W87" s="181"/>
      <c r="X87" s="181"/>
      <c r="Y87" s="20"/>
      <c r="Z87" s="20"/>
      <c r="AA87" s="20"/>
      <c r="AB87" s="20"/>
      <c r="AC87" s="20"/>
      <c r="AD87" s="20"/>
    </row>
    <row r="88" spans="1:30">
      <c r="A88" s="193"/>
      <c r="B88" s="168"/>
      <c r="C88" s="168"/>
      <c r="D88" s="168"/>
      <c r="E88" s="168"/>
      <c r="F88" s="168"/>
      <c r="G88" s="168"/>
      <c r="H88" s="168"/>
      <c r="I88" s="168"/>
      <c r="J88" s="168"/>
      <c r="K88" s="168"/>
      <c r="L88" s="168"/>
      <c r="M88" s="168"/>
      <c r="N88" s="168"/>
      <c r="O88" s="168"/>
      <c r="P88" s="168"/>
      <c r="Q88" s="201"/>
      <c r="R88" s="150"/>
      <c r="S88" s="150"/>
      <c r="T88" s="150"/>
      <c r="U88" s="150"/>
      <c r="V88" s="150"/>
      <c r="W88" s="181"/>
      <c r="X88" s="151"/>
      <c r="Y88" s="20"/>
      <c r="Z88" s="20"/>
      <c r="AA88" s="20"/>
      <c r="AB88" s="20"/>
      <c r="AC88" s="20"/>
      <c r="AD88" s="20"/>
    </row>
    <row r="89" spans="1:30">
      <c r="A89" s="193"/>
      <c r="B89" s="172">
        <v>3</v>
      </c>
      <c r="C89" s="171" t="s">
        <v>61</v>
      </c>
      <c r="D89" s="168"/>
      <c r="E89" s="168"/>
      <c r="F89" s="168"/>
      <c r="G89" s="168"/>
      <c r="H89" s="168"/>
      <c r="I89" s="168"/>
      <c r="J89" s="168"/>
      <c r="K89" s="168"/>
      <c r="L89" s="168"/>
      <c r="M89" s="168"/>
      <c r="N89" s="312">
        <f>IFERROR((ROUND(V97,1)),0)</f>
        <v>0</v>
      </c>
      <c r="O89" s="312"/>
      <c r="P89" s="312"/>
      <c r="Q89" s="204" t="s">
        <v>52</v>
      </c>
      <c r="R89" s="150"/>
      <c r="S89" s="150" t="s">
        <v>496</v>
      </c>
      <c r="T89" s="150">
        <f>IF(M21="n",(T83-(T86*-1)/60),(T83-T86/60))</f>
        <v>0</v>
      </c>
      <c r="U89" s="150">
        <f>(T89-J86)*60</f>
        <v>0</v>
      </c>
      <c r="V89" s="150"/>
      <c r="W89" s="181"/>
      <c r="X89" s="181"/>
      <c r="Y89" s="20"/>
      <c r="Z89" s="20"/>
      <c r="AA89" s="20"/>
      <c r="AB89" s="20"/>
      <c r="AC89" s="20"/>
      <c r="AD89" s="20"/>
    </row>
    <row r="90" spans="1:30" ht="13.8" thickBot="1">
      <c r="A90" s="193"/>
      <c r="B90" s="168"/>
      <c r="C90" s="168"/>
      <c r="D90" s="168"/>
      <c r="E90" s="168"/>
      <c r="F90" s="168"/>
      <c r="G90" s="168"/>
      <c r="H90" s="168"/>
      <c r="I90" s="168"/>
      <c r="J90" s="168"/>
      <c r="K90" s="168"/>
      <c r="L90" s="168"/>
      <c r="M90" s="168"/>
      <c r="N90" s="168"/>
      <c r="O90" s="168"/>
      <c r="P90" s="168"/>
      <c r="Q90" s="201"/>
      <c r="R90" s="150"/>
      <c r="S90" s="150" t="s">
        <v>497</v>
      </c>
      <c r="T90" s="150">
        <f>T84-T87/60</f>
        <v>0</v>
      </c>
      <c r="U90" s="150">
        <f>(T90-N86)*60</f>
        <v>0</v>
      </c>
      <c r="V90" s="150"/>
      <c r="W90" s="181"/>
      <c r="X90" s="181"/>
      <c r="Y90" s="20"/>
      <c r="Z90" s="20"/>
      <c r="AA90" s="20"/>
      <c r="AB90" s="20"/>
      <c r="AC90" s="20"/>
      <c r="AD90" s="20"/>
    </row>
    <row r="91" spans="1:30" ht="13.8" thickBot="1">
      <c r="A91" s="194" t="s">
        <v>62</v>
      </c>
      <c r="B91" s="186" t="s">
        <v>63</v>
      </c>
      <c r="C91" s="189"/>
      <c r="D91" s="189"/>
      <c r="E91" s="189"/>
      <c r="F91" s="189"/>
      <c r="G91" s="189"/>
      <c r="H91" s="190"/>
      <c r="I91" s="168"/>
      <c r="J91" s="168"/>
      <c r="K91" s="168"/>
      <c r="L91" s="168"/>
      <c r="M91" s="168"/>
      <c r="N91" s="168"/>
      <c r="O91" s="168"/>
      <c r="P91" s="168"/>
      <c r="Q91" s="201"/>
      <c r="R91" s="150"/>
      <c r="S91" s="150"/>
      <c r="T91" s="150"/>
      <c r="U91" s="150"/>
      <c r="V91" s="150"/>
      <c r="W91" s="181"/>
      <c r="X91" s="181"/>
      <c r="Y91" s="20"/>
      <c r="Z91" s="20"/>
      <c r="AA91" s="20"/>
      <c r="AB91" s="20"/>
      <c r="AC91" s="20"/>
      <c r="AD91" s="20"/>
    </row>
    <row r="92" spans="1:30">
      <c r="A92" s="193"/>
      <c r="B92" s="170" t="s">
        <v>64</v>
      </c>
      <c r="C92" s="168"/>
      <c r="D92" s="168"/>
      <c r="E92" s="168"/>
      <c r="F92" s="168"/>
      <c r="G92" s="168"/>
      <c r="H92" s="168"/>
      <c r="I92" s="168"/>
      <c r="J92" s="168"/>
      <c r="K92" s="168"/>
      <c r="L92" s="168"/>
      <c r="M92" s="168"/>
      <c r="N92" s="168"/>
      <c r="O92" s="168"/>
      <c r="P92" s="168"/>
      <c r="Q92" s="201"/>
      <c r="R92" s="181"/>
      <c r="S92" s="181"/>
      <c r="T92" s="181"/>
      <c r="U92" s="181"/>
      <c r="V92" s="181"/>
      <c r="W92" s="181"/>
      <c r="X92" s="181"/>
      <c r="Y92" s="20"/>
      <c r="Z92" s="20"/>
      <c r="AA92" s="20"/>
      <c r="AB92" s="20"/>
      <c r="AC92" s="20"/>
      <c r="AD92" s="20"/>
    </row>
    <row r="93" spans="1:30">
      <c r="A93" s="193"/>
      <c r="B93" s="168"/>
      <c r="C93" s="168"/>
      <c r="D93" s="168"/>
      <c r="E93" s="168"/>
      <c r="F93" s="168"/>
      <c r="G93" s="168"/>
      <c r="H93" s="168"/>
      <c r="I93" s="168"/>
      <c r="J93" s="168"/>
      <c r="K93" s="168"/>
      <c r="L93" s="168"/>
      <c r="M93" s="168"/>
      <c r="N93" s="168"/>
      <c r="O93" s="168"/>
      <c r="P93" s="168"/>
      <c r="Q93" s="201"/>
      <c r="R93" s="181"/>
      <c r="S93" s="181"/>
      <c r="T93" s="150"/>
      <c r="U93" s="150" t="s">
        <v>501</v>
      </c>
      <c r="V93" s="150">
        <f>(T79+T89)/2</f>
        <v>0</v>
      </c>
      <c r="W93" s="150"/>
      <c r="X93" s="150"/>
      <c r="Y93" s="20"/>
      <c r="Z93" s="20"/>
      <c r="AA93" s="20"/>
      <c r="AB93" s="20"/>
      <c r="AC93" s="20"/>
      <c r="AD93" s="20"/>
    </row>
    <row r="94" spans="1:30">
      <c r="A94" s="193"/>
      <c r="B94" s="172">
        <v>1</v>
      </c>
      <c r="C94" s="170" t="s">
        <v>66</v>
      </c>
      <c r="D94" s="168"/>
      <c r="E94" s="168"/>
      <c r="F94" s="168"/>
      <c r="G94" s="168"/>
      <c r="H94" s="168"/>
      <c r="I94" s="168"/>
      <c r="J94" s="168"/>
      <c r="K94" s="168"/>
      <c r="L94" s="168"/>
      <c r="M94" s="168"/>
      <c r="N94" s="312">
        <f>E!L58</f>
        <v>0</v>
      </c>
      <c r="O94" s="312"/>
      <c r="P94" s="312"/>
      <c r="Q94" s="204" t="s">
        <v>65</v>
      </c>
      <c r="R94" s="181"/>
      <c r="S94" s="181"/>
      <c r="T94" s="150"/>
      <c r="U94" s="150"/>
      <c r="V94" s="150"/>
      <c r="W94" s="150"/>
      <c r="X94" s="150"/>
      <c r="Y94" s="20"/>
      <c r="Z94" s="20"/>
      <c r="AA94" s="20"/>
      <c r="AB94" s="20"/>
      <c r="AC94" s="20"/>
      <c r="AD94" s="20"/>
    </row>
    <row r="95" spans="1:30">
      <c r="A95" s="193"/>
      <c r="B95" s="168"/>
      <c r="C95" s="168"/>
      <c r="D95" s="168"/>
      <c r="E95" s="168"/>
      <c r="F95" s="168"/>
      <c r="G95" s="168"/>
      <c r="H95" s="168"/>
      <c r="I95" s="168"/>
      <c r="J95" s="168"/>
      <c r="K95" s="168"/>
      <c r="L95" s="168"/>
      <c r="M95" s="168"/>
      <c r="N95" s="168"/>
      <c r="O95" s="168"/>
      <c r="P95" s="168"/>
      <c r="Q95" s="201"/>
      <c r="R95" s="185" t="s">
        <v>337</v>
      </c>
      <c r="S95" s="181"/>
      <c r="T95" s="150"/>
      <c r="U95" s="150"/>
      <c r="V95" s="150" t="s">
        <v>502</v>
      </c>
      <c r="W95" s="150">
        <f>T79-T89</f>
        <v>0</v>
      </c>
      <c r="X95" s="150"/>
      <c r="Y95" s="20"/>
      <c r="Z95" s="20"/>
      <c r="AA95" s="20"/>
      <c r="AB95" s="20"/>
      <c r="AC95" s="20"/>
      <c r="AD95" s="20"/>
    </row>
    <row r="96" spans="1:30">
      <c r="A96" s="193"/>
      <c r="B96" s="172">
        <v>2</v>
      </c>
      <c r="C96" s="170" t="s">
        <v>67</v>
      </c>
      <c r="D96" s="168"/>
      <c r="E96" s="168"/>
      <c r="F96" s="168"/>
      <c r="G96" s="168"/>
      <c r="H96" s="168"/>
      <c r="I96" s="168"/>
      <c r="J96" s="168"/>
      <c r="K96" s="168"/>
      <c r="L96" s="168"/>
      <c r="M96" s="168"/>
      <c r="N96" s="312">
        <f>E!L61</f>
        <v>0</v>
      </c>
      <c r="O96" s="312"/>
      <c r="P96" s="312"/>
      <c r="Q96" s="204" t="s">
        <v>52</v>
      </c>
      <c r="R96" s="181"/>
      <c r="S96" s="181"/>
      <c r="T96" s="150"/>
      <c r="U96" s="150"/>
      <c r="V96" s="150" t="s">
        <v>503</v>
      </c>
      <c r="W96" s="150">
        <f>(T80-T90)*COS(V93*PI()/180)</f>
        <v>0</v>
      </c>
      <c r="X96" s="150"/>
      <c r="Y96" s="20"/>
      <c r="Z96" s="20"/>
      <c r="AA96" s="20"/>
      <c r="AB96" s="20"/>
      <c r="AC96" s="20"/>
      <c r="AD96" s="20"/>
    </row>
    <row r="97" spans="1:30">
      <c r="A97" s="193"/>
      <c r="B97" s="168"/>
      <c r="C97" s="168"/>
      <c r="D97" s="168"/>
      <c r="E97" s="168"/>
      <c r="F97" s="168"/>
      <c r="G97" s="168"/>
      <c r="H97" s="168"/>
      <c r="I97" s="168"/>
      <c r="J97" s="168"/>
      <c r="K97" s="168"/>
      <c r="L97" s="168"/>
      <c r="M97" s="168"/>
      <c r="N97" s="168"/>
      <c r="O97" s="168"/>
      <c r="P97" s="168"/>
      <c r="Q97" s="201"/>
      <c r="R97" s="181"/>
      <c r="S97" s="181"/>
      <c r="T97" s="150"/>
      <c r="U97" s="150"/>
      <c r="V97" s="150">
        <f>(SQRT((W95^2)+(W96^2)))*60</f>
        <v>0</v>
      </c>
      <c r="W97" s="150"/>
      <c r="X97" s="150"/>
      <c r="Y97" s="20"/>
      <c r="Z97" s="20"/>
      <c r="AA97" s="20"/>
      <c r="AB97" s="20"/>
      <c r="AC97" s="20"/>
      <c r="AD97" s="20"/>
    </row>
    <row r="98" spans="1:30">
      <c r="A98" s="193"/>
      <c r="B98" s="172">
        <v>3</v>
      </c>
      <c r="C98" s="170" t="s">
        <v>68</v>
      </c>
      <c r="D98" s="168"/>
      <c r="E98" s="168"/>
      <c r="F98" s="168"/>
      <c r="G98" s="168"/>
      <c r="H98" s="168"/>
      <c r="I98" s="168"/>
      <c r="J98" s="168"/>
      <c r="K98" s="168"/>
      <c r="L98" s="168"/>
      <c r="M98" s="168"/>
      <c r="N98" s="312">
        <f>IFERROR((ROUND(N89/N96,2)),0)</f>
        <v>0</v>
      </c>
      <c r="O98" s="312"/>
      <c r="P98" s="312"/>
      <c r="Q98" s="201"/>
      <c r="R98" s="181"/>
      <c r="S98" s="181"/>
      <c r="T98" s="181"/>
      <c r="U98" s="181"/>
      <c r="V98" s="181"/>
      <c r="W98" s="181"/>
      <c r="X98" s="181"/>
      <c r="Y98" s="20"/>
      <c r="Z98" s="20"/>
      <c r="AA98" s="20"/>
      <c r="AB98" s="20"/>
      <c r="AC98" s="20"/>
      <c r="AD98" s="20"/>
    </row>
    <row r="99" spans="1:30">
      <c r="A99" s="193"/>
      <c r="B99" s="168"/>
      <c r="C99" s="168"/>
      <c r="D99" s="168"/>
      <c r="E99" s="168"/>
      <c r="F99" s="168"/>
      <c r="G99" s="168"/>
      <c r="H99" s="168"/>
      <c r="I99" s="168"/>
      <c r="J99" s="168"/>
      <c r="K99" s="168"/>
      <c r="L99" s="168"/>
      <c r="M99" s="168"/>
      <c r="N99" s="168"/>
      <c r="O99" s="168"/>
      <c r="P99" s="168"/>
      <c r="Q99" s="201"/>
      <c r="R99" s="181"/>
      <c r="S99" s="181"/>
      <c r="T99" s="181"/>
      <c r="U99" s="181"/>
      <c r="V99" s="181"/>
      <c r="W99" s="181"/>
      <c r="X99" s="181"/>
      <c r="Y99" s="20"/>
      <c r="Z99" s="20"/>
      <c r="AA99" s="20"/>
      <c r="AB99" s="20"/>
      <c r="AC99" s="20"/>
      <c r="AD99" s="20"/>
    </row>
    <row r="100" spans="1:30">
      <c r="A100" s="193"/>
      <c r="B100" s="172">
        <v>4</v>
      </c>
      <c r="C100" s="170" t="s">
        <v>69</v>
      </c>
      <c r="D100" s="168"/>
      <c r="E100" s="168"/>
      <c r="F100" s="168"/>
      <c r="G100" s="168"/>
      <c r="H100" s="168"/>
      <c r="I100" s="168"/>
      <c r="J100" s="168"/>
      <c r="K100" s="168"/>
      <c r="L100" s="168"/>
      <c r="M100" s="168"/>
      <c r="N100" s="168"/>
      <c r="O100" s="168"/>
      <c r="P100" s="168"/>
      <c r="Q100" s="201"/>
      <c r="R100" s="181"/>
      <c r="S100" s="181"/>
      <c r="T100" s="181"/>
      <c r="U100" s="181"/>
      <c r="V100" s="181"/>
      <c r="W100" s="181"/>
      <c r="X100" s="181"/>
      <c r="Y100" s="20"/>
      <c r="Z100" s="20"/>
      <c r="AA100" s="20"/>
      <c r="AB100" s="20"/>
      <c r="AC100" s="20"/>
      <c r="AD100" s="20"/>
    </row>
    <row r="101" spans="1:30" ht="13.8" thickBot="1">
      <c r="A101" s="198"/>
      <c r="B101" s="199"/>
      <c r="C101" s="199"/>
      <c r="D101" s="199"/>
      <c r="E101" s="199"/>
      <c r="F101" s="199"/>
      <c r="G101" s="199"/>
      <c r="H101" s="199"/>
      <c r="I101" s="199"/>
      <c r="J101" s="199"/>
      <c r="K101" s="199"/>
      <c r="L101" s="199"/>
      <c r="M101" s="199"/>
      <c r="N101" s="199"/>
      <c r="O101" s="199"/>
      <c r="P101" s="199"/>
      <c r="Q101" s="205"/>
      <c r="R101" s="181"/>
      <c r="S101" s="181"/>
      <c r="T101" s="181"/>
      <c r="U101" s="181"/>
      <c r="V101" s="181"/>
      <c r="W101" s="181"/>
      <c r="X101" s="181"/>
      <c r="Y101" s="20"/>
      <c r="Z101" s="20"/>
      <c r="AA101" s="20"/>
      <c r="AB101" s="20"/>
      <c r="AC101" s="20"/>
      <c r="AD101" s="20"/>
    </row>
    <row r="102" spans="1:30" ht="13.8" thickTop="1">
      <c r="A102" s="20"/>
      <c r="B102" s="20"/>
      <c r="C102" s="20"/>
      <c r="D102" s="20"/>
      <c r="E102" s="20"/>
      <c r="F102" s="20"/>
      <c r="G102" s="20"/>
      <c r="H102" s="20"/>
      <c r="I102" s="20"/>
      <c r="J102" s="20"/>
      <c r="K102" s="20"/>
      <c r="L102" s="20"/>
      <c r="M102" s="20"/>
      <c r="N102" s="20"/>
      <c r="O102" s="20"/>
      <c r="P102" s="20"/>
      <c r="Q102" s="20"/>
      <c r="R102" s="20"/>
      <c r="S102" s="20"/>
      <c r="T102" s="20"/>
      <c r="U102" s="20"/>
      <c r="V102" s="20"/>
      <c r="W102" s="20"/>
      <c r="X102" s="20"/>
      <c r="Y102" s="20"/>
      <c r="Z102" s="20"/>
      <c r="AA102" s="20"/>
      <c r="AB102" s="20"/>
      <c r="AC102" s="20"/>
      <c r="AD102" s="20"/>
    </row>
    <row r="103" spans="1:30">
      <c r="A103" s="20"/>
      <c r="B103" s="20"/>
      <c r="C103" s="20"/>
      <c r="D103" s="20"/>
      <c r="E103" s="20"/>
      <c r="F103" s="20"/>
      <c r="G103" s="20"/>
      <c r="H103" s="20"/>
      <c r="I103" s="20"/>
      <c r="J103" s="20"/>
      <c r="K103" s="20"/>
      <c r="L103" s="20"/>
      <c r="M103" s="20"/>
      <c r="N103" s="20"/>
      <c r="O103" s="20"/>
      <c r="P103" s="20"/>
      <c r="Q103" s="20"/>
      <c r="R103" s="20"/>
      <c r="S103" s="20"/>
      <c r="T103" s="20"/>
      <c r="U103" s="20"/>
      <c r="V103" s="20"/>
      <c r="W103" s="20"/>
      <c r="X103" s="20"/>
      <c r="Y103" s="20"/>
      <c r="Z103" s="20"/>
      <c r="AA103" s="20"/>
      <c r="AB103" s="20"/>
      <c r="AC103" s="20"/>
      <c r="AD103" s="20"/>
    </row>
    <row r="104" spans="1:30">
      <c r="A104" s="20"/>
      <c r="B104" s="20"/>
      <c r="C104" s="20"/>
      <c r="D104" s="20"/>
      <c r="E104" s="20"/>
      <c r="F104" s="20"/>
      <c r="G104" s="20"/>
      <c r="H104" s="20"/>
      <c r="I104" s="20"/>
      <c r="J104" s="20"/>
      <c r="K104" s="20"/>
      <c r="L104" s="20"/>
      <c r="M104" s="20"/>
      <c r="N104" s="20"/>
      <c r="O104" s="20"/>
      <c r="P104" s="20"/>
      <c r="Q104" s="20"/>
      <c r="R104" s="20"/>
      <c r="S104" s="20"/>
      <c r="T104" s="20"/>
      <c r="U104" s="20"/>
      <c r="V104" s="20"/>
      <c r="W104" s="20"/>
      <c r="X104" s="20"/>
      <c r="Y104" s="20"/>
      <c r="Z104" s="20"/>
      <c r="AA104" s="20"/>
      <c r="AB104" s="20"/>
      <c r="AC104" s="20"/>
      <c r="AD104" s="20"/>
    </row>
    <row r="105" spans="1:30">
      <c r="A105" s="20"/>
      <c r="B105" s="20"/>
      <c r="C105" s="20"/>
      <c r="D105" s="20"/>
      <c r="E105" s="20"/>
      <c r="F105" s="20"/>
      <c r="G105" s="20"/>
      <c r="H105" s="20"/>
      <c r="I105" s="20"/>
      <c r="J105" s="20"/>
      <c r="K105" s="20"/>
      <c r="L105" s="20"/>
      <c r="M105" s="20"/>
      <c r="N105" s="20"/>
      <c r="O105" s="20"/>
      <c r="P105" s="20"/>
      <c r="Q105" s="20"/>
      <c r="R105" s="20"/>
      <c r="S105" s="20"/>
      <c r="T105" s="20"/>
      <c r="U105" s="20"/>
      <c r="V105" s="20"/>
      <c r="W105" s="20"/>
      <c r="X105" s="20"/>
      <c r="Y105" s="20"/>
      <c r="Z105" s="20"/>
      <c r="AA105" s="20"/>
      <c r="AB105" s="20"/>
      <c r="AC105" s="20"/>
      <c r="AD105" s="20"/>
    </row>
    <row r="106" spans="1:30">
      <c r="A106" s="20"/>
      <c r="B106" s="20"/>
      <c r="C106" s="20"/>
      <c r="D106" s="20"/>
      <c r="E106" s="20"/>
      <c r="F106" s="20"/>
      <c r="G106" s="20"/>
      <c r="H106" s="20"/>
      <c r="I106" s="20"/>
      <c r="J106" s="20"/>
      <c r="K106" s="20"/>
      <c r="L106" s="20"/>
      <c r="M106" s="20"/>
      <c r="N106" s="20"/>
      <c r="O106" s="20"/>
      <c r="P106" s="20"/>
      <c r="Q106" s="20"/>
      <c r="R106" s="20"/>
      <c r="S106" s="20"/>
      <c r="T106" s="20"/>
      <c r="U106" s="20"/>
      <c r="V106" s="20"/>
      <c r="W106" s="20"/>
      <c r="X106" s="20"/>
      <c r="Y106" s="20"/>
      <c r="Z106" s="20"/>
      <c r="AA106" s="20"/>
      <c r="AB106" s="20"/>
      <c r="AC106" s="20"/>
      <c r="AD106" s="20"/>
    </row>
    <row r="107" spans="1:30">
      <c r="A107" s="20"/>
      <c r="B107" s="20"/>
      <c r="C107" s="20"/>
      <c r="D107" s="20"/>
      <c r="E107" s="20"/>
      <c r="F107" s="20"/>
      <c r="G107" s="20"/>
      <c r="H107" s="20"/>
      <c r="I107" s="20"/>
      <c r="J107" s="20"/>
      <c r="K107" s="20"/>
      <c r="L107" s="20"/>
      <c r="M107" s="20"/>
      <c r="N107" s="20"/>
      <c r="O107" s="20"/>
      <c r="P107" s="20"/>
      <c r="Q107" s="20"/>
      <c r="R107" s="20"/>
      <c r="S107" s="20"/>
      <c r="T107" s="20"/>
      <c r="U107" s="20"/>
      <c r="V107" s="20"/>
      <c r="W107" s="20"/>
      <c r="X107" s="20"/>
      <c r="Y107" s="20"/>
      <c r="Z107" s="20"/>
      <c r="AA107" s="20"/>
      <c r="AB107" s="20"/>
      <c r="AC107" s="20"/>
      <c r="AD107" s="20"/>
    </row>
    <row r="108" spans="1:30">
      <c r="A108" s="20"/>
      <c r="B108" s="20"/>
      <c r="C108" s="20"/>
      <c r="D108" s="20"/>
      <c r="E108" s="20"/>
      <c r="F108" s="20"/>
      <c r="G108" s="20"/>
      <c r="H108" s="20"/>
      <c r="I108" s="20"/>
      <c r="J108" s="20"/>
      <c r="K108" s="20"/>
      <c r="L108" s="20"/>
      <c r="M108" s="20"/>
      <c r="N108" s="20"/>
      <c r="O108" s="20"/>
      <c r="P108" s="20"/>
      <c r="Q108" s="20"/>
      <c r="R108" s="20"/>
      <c r="S108" s="20"/>
      <c r="T108" s="20"/>
      <c r="U108" s="20"/>
      <c r="V108" s="20"/>
      <c r="W108" s="20"/>
      <c r="X108" s="20"/>
      <c r="Y108" s="20"/>
      <c r="Z108" s="20"/>
      <c r="AA108" s="20"/>
      <c r="AB108" s="20"/>
      <c r="AC108" s="20"/>
      <c r="AD108" s="20"/>
    </row>
    <row r="109" spans="1:30">
      <c r="A109" s="20"/>
      <c r="B109" s="20"/>
      <c r="C109" s="20"/>
      <c r="D109" s="20"/>
      <c r="E109" s="20"/>
      <c r="F109" s="20"/>
      <c r="G109" s="20"/>
      <c r="H109" s="20"/>
      <c r="I109" s="20"/>
      <c r="J109" s="20"/>
      <c r="K109" s="20"/>
      <c r="L109" s="20"/>
      <c r="M109" s="20"/>
      <c r="N109" s="20"/>
      <c r="O109" s="20"/>
      <c r="P109" s="20"/>
      <c r="Q109" s="20"/>
      <c r="R109" s="20"/>
      <c r="S109" s="20"/>
      <c r="T109" s="20"/>
      <c r="U109" s="20"/>
      <c r="V109" s="20"/>
      <c r="W109" s="20"/>
      <c r="X109" s="20"/>
      <c r="Y109" s="20"/>
      <c r="Z109" s="20"/>
      <c r="AA109" s="20"/>
      <c r="AB109" s="20"/>
      <c r="AC109" s="20"/>
      <c r="AD109" s="20"/>
    </row>
    <row r="110" spans="1:30">
      <c r="A110" s="20"/>
      <c r="B110" s="20"/>
      <c r="C110" s="20"/>
      <c r="D110" s="20"/>
      <c r="E110" s="20"/>
      <c r="F110" s="20"/>
      <c r="G110" s="20"/>
      <c r="H110" s="20"/>
      <c r="I110" s="20"/>
      <c r="J110" s="20"/>
      <c r="K110" s="20"/>
      <c r="L110" s="20"/>
      <c r="M110" s="20"/>
      <c r="N110" s="20"/>
      <c r="O110" s="20"/>
      <c r="P110" s="20"/>
      <c r="Q110" s="20"/>
      <c r="R110" s="20"/>
      <c r="S110" s="20"/>
      <c r="T110" s="20"/>
      <c r="U110" s="20"/>
      <c r="V110" s="20"/>
      <c r="W110" s="20"/>
      <c r="X110" s="20"/>
      <c r="Y110" s="20"/>
      <c r="Z110" s="20"/>
      <c r="AA110" s="20"/>
      <c r="AB110" s="20"/>
      <c r="AC110" s="20"/>
      <c r="AD110" s="20"/>
    </row>
    <row r="111" spans="1:30">
      <c r="A111" s="20"/>
      <c r="B111" s="20"/>
      <c r="C111" s="20"/>
      <c r="D111" s="20"/>
      <c r="E111" s="20"/>
      <c r="F111" s="20"/>
      <c r="G111" s="20"/>
      <c r="H111" s="20"/>
      <c r="I111" s="20"/>
      <c r="J111" s="20"/>
      <c r="K111" s="20"/>
      <c r="L111" s="20"/>
      <c r="M111" s="20"/>
      <c r="N111" s="20"/>
      <c r="O111" s="20"/>
      <c r="P111" s="20"/>
      <c r="Q111" s="20"/>
      <c r="R111" s="20"/>
      <c r="S111" s="20"/>
      <c r="T111" s="20"/>
      <c r="U111" s="20"/>
      <c r="V111" s="20"/>
      <c r="W111" s="20"/>
      <c r="X111" s="20"/>
      <c r="Y111" s="20"/>
      <c r="Z111" s="20"/>
      <c r="AA111" s="20"/>
      <c r="AB111" s="20"/>
      <c r="AC111" s="20"/>
      <c r="AD111" s="20"/>
    </row>
    <row r="112" spans="1:30">
      <c r="A112" s="20"/>
      <c r="B112" s="20"/>
      <c r="C112" s="20"/>
      <c r="D112" s="20"/>
      <c r="E112" s="20"/>
      <c r="F112" s="20"/>
      <c r="G112" s="20"/>
      <c r="H112" s="20"/>
      <c r="I112" s="20"/>
      <c r="J112" s="20"/>
      <c r="K112" s="20"/>
      <c r="L112" s="20"/>
      <c r="M112" s="20"/>
      <c r="N112" s="20"/>
      <c r="O112" s="20"/>
      <c r="P112" s="20"/>
      <c r="Q112" s="20"/>
      <c r="R112" s="20"/>
      <c r="S112" s="20"/>
      <c r="T112" s="20"/>
      <c r="U112" s="20"/>
      <c r="V112" s="20"/>
      <c r="W112" s="20"/>
      <c r="X112" s="20"/>
      <c r="Y112" s="20"/>
      <c r="Z112" s="20"/>
      <c r="AA112" s="20"/>
      <c r="AB112" s="20"/>
      <c r="AC112" s="20"/>
      <c r="AD112" s="20"/>
    </row>
    <row r="113" spans="1:30">
      <c r="A113" s="20"/>
      <c r="B113" s="20"/>
      <c r="C113" s="20"/>
      <c r="D113" s="20"/>
      <c r="E113" s="20"/>
      <c r="F113" s="20"/>
      <c r="G113" s="20"/>
      <c r="H113" s="20"/>
      <c r="I113" s="20"/>
      <c r="J113" s="20"/>
      <c r="K113" s="20"/>
      <c r="L113" s="20"/>
      <c r="M113" s="20"/>
      <c r="N113" s="20"/>
      <c r="O113" s="20"/>
      <c r="P113" s="20"/>
      <c r="Q113" s="20"/>
      <c r="R113" s="20"/>
      <c r="S113" s="20"/>
      <c r="T113" s="20"/>
      <c r="U113" s="20"/>
      <c r="V113" s="20"/>
      <c r="W113" s="20"/>
      <c r="X113" s="20"/>
      <c r="Y113" s="20"/>
      <c r="Z113" s="20"/>
      <c r="AA113" s="20"/>
      <c r="AB113" s="20"/>
      <c r="AC113" s="20"/>
      <c r="AD113" s="20"/>
    </row>
    <row r="114" spans="1:30">
      <c r="A114" s="20"/>
      <c r="B114" s="20"/>
      <c r="C114" s="20"/>
      <c r="D114" s="20"/>
      <c r="E114" s="20"/>
      <c r="F114" s="20"/>
      <c r="G114" s="20"/>
      <c r="H114" s="20"/>
      <c r="I114" s="20"/>
      <c r="J114" s="20"/>
      <c r="K114" s="20"/>
      <c r="L114" s="20"/>
      <c r="M114" s="20"/>
      <c r="N114" s="20"/>
      <c r="O114" s="20"/>
      <c r="P114" s="20"/>
      <c r="Q114" s="20"/>
      <c r="R114" s="20"/>
      <c r="S114" s="20"/>
      <c r="T114" s="20"/>
      <c r="U114" s="20"/>
      <c r="V114" s="20"/>
      <c r="W114" s="20"/>
      <c r="X114" s="20"/>
      <c r="Y114" s="20"/>
      <c r="Z114" s="20"/>
      <c r="AA114" s="20"/>
      <c r="AB114" s="20"/>
      <c r="AC114" s="20"/>
      <c r="AD114" s="20"/>
    </row>
    <row r="115" spans="1:30">
      <c r="A115" s="20"/>
      <c r="B115" s="20"/>
      <c r="C115" s="20"/>
      <c r="D115" s="20"/>
      <c r="E115" s="20"/>
      <c r="F115" s="20"/>
      <c r="G115" s="20"/>
      <c r="H115" s="20"/>
      <c r="I115" s="20"/>
      <c r="J115" s="20"/>
      <c r="K115" s="20"/>
      <c r="L115" s="20"/>
      <c r="M115" s="20"/>
      <c r="N115" s="20"/>
      <c r="O115" s="20"/>
      <c r="P115" s="20"/>
      <c r="Q115" s="20"/>
      <c r="R115" s="20"/>
      <c r="S115" s="20"/>
      <c r="T115" s="20"/>
      <c r="U115" s="20"/>
      <c r="V115" s="20"/>
      <c r="W115" s="20"/>
      <c r="X115" s="20"/>
      <c r="Y115" s="20"/>
      <c r="Z115" s="20"/>
      <c r="AA115" s="20"/>
      <c r="AB115" s="20"/>
      <c r="AC115" s="20"/>
      <c r="AD115" s="20"/>
    </row>
    <row r="116" spans="1:30">
      <c r="A116" s="20"/>
      <c r="B116" s="20"/>
      <c r="C116" s="20"/>
      <c r="D116" s="20"/>
      <c r="E116" s="20"/>
      <c r="F116" s="20"/>
      <c r="G116" s="20"/>
      <c r="H116" s="20"/>
      <c r="I116" s="20"/>
      <c r="J116" s="20"/>
      <c r="K116" s="20"/>
      <c r="L116" s="20"/>
      <c r="M116" s="20"/>
      <c r="N116" s="20"/>
      <c r="O116" s="20"/>
      <c r="P116" s="20"/>
      <c r="Q116" s="20"/>
      <c r="R116" s="20"/>
      <c r="S116" s="20"/>
      <c r="T116" s="20"/>
      <c r="U116" s="20"/>
      <c r="V116" s="20"/>
      <c r="W116" s="20"/>
      <c r="X116" s="20"/>
      <c r="Y116" s="20"/>
      <c r="Z116" s="20"/>
      <c r="AA116" s="20"/>
      <c r="AB116" s="20"/>
      <c r="AC116" s="20"/>
      <c r="AD116" s="20"/>
    </row>
    <row r="117" spans="1:30">
      <c r="A117" s="20"/>
      <c r="B117" s="20"/>
      <c r="C117" s="20"/>
      <c r="D117" s="20"/>
      <c r="E117" s="20"/>
      <c r="F117" s="20"/>
      <c r="G117" s="20"/>
      <c r="H117" s="20"/>
      <c r="I117" s="20"/>
      <c r="J117" s="20"/>
      <c r="K117" s="20"/>
      <c r="L117" s="20"/>
      <c r="M117" s="20"/>
      <c r="N117" s="20"/>
      <c r="O117" s="20"/>
      <c r="P117" s="20"/>
      <c r="Q117" s="20"/>
      <c r="R117" s="20"/>
      <c r="S117" s="20"/>
      <c r="T117" s="20"/>
      <c r="U117" s="20"/>
      <c r="V117" s="20"/>
      <c r="W117" s="20"/>
      <c r="X117" s="20"/>
      <c r="Y117" s="20"/>
      <c r="Z117" s="20"/>
      <c r="AA117" s="20"/>
      <c r="AB117" s="20"/>
      <c r="AC117" s="20"/>
      <c r="AD117" s="20"/>
    </row>
    <row r="118" spans="1:30">
      <c r="A118" s="20"/>
      <c r="B118" s="20"/>
      <c r="C118" s="20"/>
      <c r="D118" s="20"/>
      <c r="E118" s="20"/>
      <c r="F118" s="20"/>
      <c r="G118" s="20"/>
      <c r="H118" s="20"/>
      <c r="I118" s="20"/>
      <c r="J118" s="20"/>
      <c r="K118" s="20"/>
      <c r="L118" s="20"/>
      <c r="M118" s="20"/>
      <c r="N118" s="20"/>
      <c r="O118" s="20"/>
      <c r="P118" s="20"/>
      <c r="Q118" s="20"/>
      <c r="R118" s="20"/>
      <c r="S118" s="20"/>
      <c r="T118" s="20"/>
      <c r="U118" s="20"/>
      <c r="V118" s="20"/>
      <c r="W118" s="20"/>
      <c r="X118" s="20"/>
      <c r="Y118" s="20"/>
      <c r="Z118" s="20"/>
      <c r="AA118" s="20"/>
      <c r="AB118" s="20"/>
      <c r="AC118" s="20"/>
      <c r="AD118" s="20"/>
    </row>
    <row r="119" spans="1:30">
      <c r="A119" s="20"/>
      <c r="B119" s="20"/>
      <c r="C119" s="20"/>
      <c r="D119" s="20"/>
      <c r="E119" s="20"/>
      <c r="F119" s="20"/>
      <c r="G119" s="20"/>
      <c r="H119" s="20"/>
      <c r="I119" s="20"/>
      <c r="J119" s="20"/>
      <c r="K119" s="20"/>
      <c r="L119" s="20"/>
      <c r="M119" s="20"/>
      <c r="N119" s="20"/>
      <c r="O119" s="20"/>
      <c r="P119" s="20"/>
      <c r="Q119" s="20"/>
      <c r="R119" s="20"/>
      <c r="S119" s="20"/>
      <c r="T119" s="20"/>
      <c r="U119" s="20"/>
      <c r="V119" s="20"/>
      <c r="W119" s="20"/>
      <c r="X119" s="20"/>
      <c r="Y119" s="20"/>
      <c r="Z119" s="20"/>
      <c r="AA119" s="20"/>
      <c r="AB119" s="20"/>
      <c r="AC119" s="20"/>
      <c r="AD119" s="20"/>
    </row>
    <row r="120" spans="1:30">
      <c r="A120" s="20"/>
      <c r="B120" s="20"/>
      <c r="C120" s="20"/>
      <c r="D120" s="20"/>
      <c r="E120" s="20"/>
      <c r="F120" s="20"/>
      <c r="G120" s="20"/>
      <c r="H120" s="20"/>
      <c r="I120" s="20"/>
      <c r="J120" s="20"/>
      <c r="K120" s="20"/>
      <c r="L120" s="20"/>
      <c r="M120" s="20"/>
      <c r="N120" s="20"/>
      <c r="O120" s="20"/>
      <c r="P120" s="20"/>
      <c r="Q120" s="20"/>
      <c r="R120" s="20"/>
      <c r="S120" s="20"/>
      <c r="T120" s="20"/>
      <c r="U120" s="20"/>
      <c r="V120" s="20"/>
      <c r="W120" s="20"/>
      <c r="X120" s="20"/>
      <c r="Y120" s="20"/>
      <c r="Z120" s="20"/>
      <c r="AA120" s="20"/>
      <c r="AB120" s="20"/>
      <c r="AC120" s="20"/>
      <c r="AD120" s="20"/>
    </row>
    <row r="121" spans="1:30">
      <c r="A121" s="20"/>
      <c r="B121" s="20"/>
      <c r="C121" s="20"/>
      <c r="D121" s="20"/>
      <c r="E121" s="20"/>
      <c r="F121" s="20"/>
      <c r="G121" s="20"/>
      <c r="H121" s="20"/>
      <c r="I121" s="20"/>
      <c r="J121" s="20"/>
      <c r="K121" s="20"/>
      <c r="L121" s="20"/>
      <c r="M121" s="20"/>
      <c r="N121" s="20"/>
      <c r="O121" s="20"/>
      <c r="P121" s="20"/>
      <c r="Q121" s="20"/>
      <c r="R121" s="20"/>
      <c r="S121" s="20"/>
      <c r="T121" s="20"/>
      <c r="U121" s="20"/>
      <c r="V121" s="20"/>
      <c r="W121" s="20"/>
      <c r="X121" s="20"/>
      <c r="Y121" s="20"/>
      <c r="Z121" s="20"/>
      <c r="AA121" s="20"/>
      <c r="AB121" s="20"/>
      <c r="AC121" s="20"/>
      <c r="AD121" s="20"/>
    </row>
    <row r="122" spans="1:30">
      <c r="A122" s="20"/>
      <c r="B122" s="20"/>
      <c r="C122" s="20"/>
      <c r="D122" s="20"/>
      <c r="E122" s="20"/>
      <c r="F122" s="20"/>
      <c r="G122" s="20"/>
      <c r="H122" s="20"/>
      <c r="I122" s="20"/>
      <c r="J122" s="20"/>
      <c r="K122" s="20"/>
      <c r="L122" s="20"/>
      <c r="M122" s="20"/>
      <c r="N122" s="20"/>
      <c r="O122" s="20"/>
      <c r="P122" s="20"/>
      <c r="Q122" s="20"/>
      <c r="R122" s="20"/>
      <c r="S122" s="20"/>
      <c r="T122" s="20"/>
      <c r="U122" s="20"/>
      <c r="V122" s="20"/>
      <c r="W122" s="20"/>
      <c r="X122" s="20"/>
      <c r="Y122" s="20"/>
      <c r="Z122" s="20"/>
      <c r="AA122" s="20"/>
      <c r="AB122" s="20"/>
      <c r="AC122" s="20"/>
      <c r="AD122" s="20"/>
    </row>
    <row r="123" spans="1:30">
      <c r="A123" s="20"/>
      <c r="B123" s="20"/>
      <c r="C123" s="20"/>
      <c r="D123" s="20"/>
      <c r="E123" s="20"/>
      <c r="F123" s="20"/>
      <c r="G123" s="20"/>
      <c r="H123" s="20"/>
      <c r="I123" s="20"/>
      <c r="J123" s="20"/>
      <c r="K123" s="20"/>
      <c r="L123" s="20"/>
      <c r="M123" s="20"/>
      <c r="N123" s="20"/>
      <c r="O123" s="20"/>
      <c r="P123" s="20"/>
      <c r="Q123" s="20"/>
      <c r="R123" s="20"/>
      <c r="S123" s="20"/>
      <c r="T123" s="20"/>
      <c r="U123" s="20"/>
      <c r="V123" s="20"/>
      <c r="W123" s="20"/>
      <c r="X123" s="20"/>
      <c r="Y123" s="20"/>
      <c r="Z123" s="20"/>
      <c r="AA123" s="20"/>
      <c r="AB123" s="20"/>
      <c r="AC123" s="20"/>
      <c r="AD123" s="20"/>
    </row>
    <row r="124" spans="1:30">
      <c r="A124" s="20"/>
      <c r="B124" s="20"/>
      <c r="C124" s="20"/>
      <c r="D124" s="20"/>
      <c r="E124" s="20"/>
      <c r="F124" s="20"/>
      <c r="G124" s="20"/>
      <c r="H124" s="20"/>
      <c r="I124" s="20"/>
      <c r="J124" s="20"/>
      <c r="K124" s="20"/>
      <c r="L124" s="20"/>
      <c r="M124" s="20"/>
      <c r="N124" s="20"/>
      <c r="O124" s="20"/>
      <c r="P124" s="20"/>
      <c r="Q124" s="20"/>
      <c r="R124" s="20"/>
      <c r="S124" s="20"/>
      <c r="T124" s="20"/>
      <c r="U124" s="20"/>
      <c r="V124" s="20"/>
      <c r="W124" s="20"/>
      <c r="X124" s="20"/>
      <c r="Y124" s="20"/>
      <c r="Z124" s="20"/>
      <c r="AA124" s="20"/>
      <c r="AB124" s="20"/>
      <c r="AC124" s="20"/>
      <c r="AD124" s="20"/>
    </row>
    <row r="125" spans="1:30">
      <c r="A125" s="20"/>
      <c r="B125" s="20"/>
      <c r="C125" s="20"/>
      <c r="D125" s="20"/>
      <c r="E125" s="20"/>
      <c r="F125" s="20"/>
      <c r="G125" s="20"/>
      <c r="H125" s="20"/>
      <c r="I125" s="20"/>
      <c r="J125" s="20"/>
      <c r="K125" s="20"/>
      <c r="L125" s="20"/>
      <c r="M125" s="20"/>
      <c r="N125" s="20"/>
      <c r="O125" s="20"/>
      <c r="P125" s="20"/>
      <c r="Q125" s="20"/>
      <c r="R125" s="20"/>
      <c r="S125" s="20"/>
      <c r="T125" s="20"/>
      <c r="U125" s="20"/>
      <c r="V125" s="20"/>
      <c r="W125" s="20"/>
      <c r="X125" s="20"/>
      <c r="Y125" s="20"/>
      <c r="Z125" s="20"/>
      <c r="AA125" s="20"/>
      <c r="AB125" s="20"/>
      <c r="AC125" s="20"/>
      <c r="AD125" s="20"/>
    </row>
    <row r="126" spans="1:30">
      <c r="A126" s="20"/>
      <c r="B126" s="20"/>
      <c r="C126" s="20"/>
      <c r="D126" s="20"/>
      <c r="E126" s="20"/>
      <c r="F126" s="20"/>
      <c r="G126" s="20"/>
      <c r="H126" s="20"/>
      <c r="I126" s="20"/>
      <c r="J126" s="20"/>
      <c r="K126" s="20"/>
      <c r="L126" s="20"/>
      <c r="M126" s="20"/>
      <c r="N126" s="20"/>
      <c r="O126" s="20"/>
      <c r="P126" s="20"/>
      <c r="Q126" s="20"/>
      <c r="R126" s="20"/>
      <c r="S126" s="20"/>
      <c r="T126" s="20"/>
      <c r="U126" s="20"/>
      <c r="V126" s="20"/>
      <c r="W126" s="20"/>
      <c r="X126" s="20"/>
      <c r="Y126" s="20"/>
      <c r="Z126" s="20"/>
      <c r="AA126" s="20"/>
      <c r="AB126" s="20"/>
      <c r="AC126" s="20"/>
      <c r="AD126" s="20"/>
    </row>
    <row r="127" spans="1:30">
      <c r="A127" s="20"/>
      <c r="B127" s="20"/>
      <c r="C127" s="20"/>
      <c r="D127" s="20"/>
      <c r="E127" s="20"/>
      <c r="F127" s="20"/>
      <c r="G127" s="20"/>
      <c r="H127" s="20"/>
      <c r="I127" s="20"/>
      <c r="J127" s="20"/>
      <c r="K127" s="20"/>
      <c r="L127" s="20"/>
      <c r="M127" s="20"/>
      <c r="N127" s="20"/>
      <c r="O127" s="20"/>
      <c r="P127" s="20"/>
      <c r="Q127" s="20"/>
      <c r="R127" s="20"/>
      <c r="S127" s="20"/>
      <c r="T127" s="20"/>
      <c r="U127" s="20"/>
      <c r="V127" s="20"/>
      <c r="W127" s="20"/>
      <c r="X127" s="20"/>
      <c r="Y127" s="20"/>
      <c r="Z127" s="20"/>
      <c r="AA127" s="20"/>
      <c r="AB127" s="20"/>
      <c r="AC127" s="20"/>
      <c r="AD127" s="20"/>
    </row>
    <row r="128" spans="1:30">
      <c r="A128" s="20"/>
      <c r="B128" s="20"/>
      <c r="C128" s="20"/>
      <c r="D128" s="20"/>
      <c r="E128" s="20"/>
      <c r="F128" s="20"/>
      <c r="G128" s="20"/>
      <c r="H128" s="20"/>
      <c r="I128" s="20"/>
      <c r="J128" s="20"/>
      <c r="K128" s="20"/>
      <c r="L128" s="20"/>
      <c r="M128" s="20"/>
      <c r="N128" s="20"/>
      <c r="O128" s="20"/>
      <c r="P128" s="20"/>
      <c r="Q128" s="20"/>
      <c r="R128" s="20"/>
      <c r="S128" s="20"/>
      <c r="T128" s="20"/>
      <c r="U128" s="20"/>
      <c r="V128" s="20"/>
      <c r="W128" s="20"/>
      <c r="X128" s="20"/>
      <c r="Y128" s="20"/>
      <c r="Z128" s="20"/>
      <c r="AA128" s="20"/>
      <c r="AB128" s="20"/>
      <c r="AC128" s="20"/>
      <c r="AD128" s="20"/>
    </row>
    <row r="129" spans="1:30">
      <c r="A129" s="20"/>
      <c r="B129" s="20"/>
      <c r="C129" s="20"/>
      <c r="D129" s="20"/>
      <c r="E129" s="20"/>
      <c r="F129" s="20"/>
      <c r="G129" s="20"/>
      <c r="H129" s="20"/>
      <c r="I129" s="20"/>
      <c r="J129" s="20"/>
      <c r="K129" s="20"/>
      <c r="L129" s="20"/>
      <c r="M129" s="20"/>
      <c r="N129" s="20"/>
      <c r="O129" s="20"/>
      <c r="P129" s="20"/>
      <c r="Q129" s="20"/>
      <c r="R129" s="20"/>
      <c r="S129" s="20"/>
      <c r="T129" s="20"/>
      <c r="U129" s="20"/>
      <c r="V129" s="20"/>
      <c r="W129" s="20"/>
      <c r="X129" s="20"/>
      <c r="Y129" s="20"/>
      <c r="Z129" s="20"/>
      <c r="AA129" s="20"/>
      <c r="AB129" s="20"/>
      <c r="AC129" s="20"/>
      <c r="AD129" s="20"/>
    </row>
    <row r="130" spans="1:30">
      <c r="A130" s="20"/>
      <c r="B130" s="20"/>
      <c r="C130" s="20"/>
      <c r="D130" s="20"/>
      <c r="E130" s="20"/>
      <c r="F130" s="20"/>
      <c r="G130" s="20"/>
      <c r="H130" s="20"/>
      <c r="I130" s="20"/>
      <c r="J130" s="20"/>
      <c r="K130" s="20"/>
      <c r="L130" s="20"/>
      <c r="M130" s="20"/>
      <c r="N130" s="20"/>
      <c r="O130" s="20"/>
      <c r="P130" s="20"/>
      <c r="Q130" s="20"/>
      <c r="R130" s="20"/>
      <c r="S130" s="20"/>
      <c r="T130" s="20"/>
      <c r="U130" s="20"/>
      <c r="V130" s="20"/>
      <c r="W130" s="20"/>
      <c r="X130" s="20"/>
      <c r="Y130" s="20"/>
      <c r="Z130" s="20"/>
      <c r="AA130" s="20"/>
      <c r="AB130" s="20"/>
      <c r="AC130" s="20"/>
      <c r="AD130" s="20"/>
    </row>
    <row r="131" spans="1:30">
      <c r="A131" s="20"/>
      <c r="B131" s="20"/>
      <c r="C131" s="20"/>
      <c r="D131" s="20"/>
      <c r="E131" s="20"/>
      <c r="F131" s="20"/>
      <c r="G131" s="20"/>
      <c r="H131" s="20"/>
      <c r="I131" s="20"/>
      <c r="J131" s="20"/>
      <c r="K131" s="20"/>
      <c r="L131" s="20"/>
      <c r="M131" s="20"/>
      <c r="N131" s="20"/>
      <c r="O131" s="20"/>
      <c r="P131" s="20"/>
      <c r="Q131" s="20"/>
      <c r="R131" s="20"/>
      <c r="S131" s="20"/>
      <c r="T131" s="20"/>
      <c r="U131" s="20"/>
      <c r="V131" s="20"/>
      <c r="W131" s="20"/>
      <c r="X131" s="20"/>
      <c r="Y131" s="20"/>
      <c r="Z131" s="20"/>
      <c r="AA131" s="20"/>
      <c r="AB131" s="20"/>
      <c r="AC131" s="20"/>
      <c r="AD131" s="20"/>
    </row>
    <row r="132" spans="1:30">
      <c r="A132" s="20"/>
      <c r="B132" s="20"/>
      <c r="C132" s="20"/>
      <c r="D132" s="20"/>
      <c r="E132" s="20"/>
      <c r="F132" s="20"/>
      <c r="G132" s="20"/>
      <c r="H132" s="20"/>
      <c r="I132" s="20"/>
      <c r="J132" s="20"/>
      <c r="K132" s="20"/>
      <c r="L132" s="20"/>
      <c r="M132" s="20"/>
      <c r="N132" s="20"/>
      <c r="O132" s="20"/>
      <c r="P132" s="20"/>
      <c r="Q132" s="20"/>
      <c r="R132" s="20"/>
      <c r="S132" s="20"/>
      <c r="T132" s="20"/>
      <c r="U132" s="20"/>
      <c r="V132" s="20"/>
      <c r="W132" s="20"/>
      <c r="X132" s="20"/>
      <c r="Y132" s="20"/>
      <c r="Z132" s="20"/>
      <c r="AA132" s="20"/>
      <c r="AB132" s="20"/>
      <c r="AC132" s="20"/>
      <c r="AD132" s="20"/>
    </row>
    <row r="133" spans="1:30">
      <c r="A133" s="20"/>
      <c r="B133" s="20"/>
      <c r="C133" s="20"/>
      <c r="D133" s="20"/>
      <c r="E133" s="20"/>
      <c r="F133" s="20"/>
      <c r="G133" s="20"/>
      <c r="H133" s="20"/>
      <c r="I133" s="20"/>
      <c r="J133" s="20"/>
      <c r="K133" s="20"/>
      <c r="L133" s="20"/>
      <c r="M133" s="20"/>
      <c r="N133" s="20"/>
      <c r="O133" s="20"/>
      <c r="P133" s="20"/>
      <c r="Q133" s="20"/>
      <c r="R133" s="20"/>
      <c r="S133" s="20"/>
      <c r="T133" s="20"/>
      <c r="U133" s="20"/>
      <c r="V133" s="20"/>
      <c r="W133" s="20"/>
      <c r="X133" s="20"/>
      <c r="Y133" s="20"/>
      <c r="Z133" s="20"/>
      <c r="AA133" s="20"/>
      <c r="AB133" s="20"/>
      <c r="AC133" s="20"/>
      <c r="AD133" s="20"/>
    </row>
    <row r="134" spans="1:30">
      <c r="A134" s="20"/>
      <c r="B134" s="20"/>
      <c r="C134" s="20"/>
      <c r="D134" s="20"/>
      <c r="E134" s="20"/>
      <c r="F134" s="20"/>
      <c r="G134" s="20"/>
      <c r="H134" s="20"/>
      <c r="I134" s="20"/>
      <c r="J134" s="20"/>
      <c r="K134" s="20"/>
      <c r="L134" s="20"/>
      <c r="M134" s="20"/>
      <c r="N134" s="20"/>
      <c r="O134" s="20"/>
      <c r="P134" s="20"/>
      <c r="Q134" s="20"/>
      <c r="R134" s="20"/>
      <c r="S134" s="20"/>
      <c r="T134" s="20"/>
      <c r="U134" s="20"/>
      <c r="V134" s="20"/>
      <c r="W134" s="20"/>
      <c r="X134" s="20"/>
      <c r="Y134" s="20"/>
      <c r="Z134" s="20"/>
      <c r="AA134" s="20"/>
      <c r="AB134" s="20"/>
      <c r="AC134" s="20"/>
      <c r="AD134" s="20"/>
    </row>
    <row r="135" spans="1:30">
      <c r="A135" s="20"/>
      <c r="B135" s="20"/>
      <c r="C135" s="20"/>
      <c r="D135" s="20"/>
      <c r="E135" s="20"/>
      <c r="F135" s="20"/>
      <c r="G135" s="20"/>
      <c r="H135" s="20"/>
      <c r="I135" s="20"/>
      <c r="J135" s="20"/>
      <c r="K135" s="20"/>
      <c r="L135" s="20"/>
      <c r="M135" s="20"/>
      <c r="N135" s="20"/>
      <c r="O135" s="20"/>
      <c r="P135" s="20"/>
      <c r="Q135" s="20"/>
      <c r="R135" s="20"/>
      <c r="S135" s="20"/>
      <c r="T135" s="20"/>
      <c r="U135" s="20"/>
      <c r="V135" s="20"/>
      <c r="W135" s="20"/>
      <c r="X135" s="20"/>
      <c r="Y135" s="20"/>
      <c r="Z135" s="20"/>
      <c r="AA135" s="20"/>
      <c r="AB135" s="20"/>
      <c r="AC135" s="20"/>
      <c r="AD135" s="20"/>
    </row>
    <row r="136" spans="1:30">
      <c r="A136" s="20"/>
      <c r="B136" s="20"/>
      <c r="C136" s="20"/>
      <c r="D136" s="20"/>
      <c r="E136" s="20"/>
      <c r="F136" s="20"/>
      <c r="G136" s="20"/>
      <c r="H136" s="20"/>
      <c r="I136" s="20"/>
      <c r="J136" s="20"/>
      <c r="K136" s="20"/>
      <c r="L136" s="20"/>
      <c r="M136" s="20"/>
      <c r="N136" s="20"/>
      <c r="O136" s="20"/>
      <c r="P136" s="20"/>
      <c r="Q136" s="20"/>
      <c r="R136" s="20"/>
      <c r="S136" s="20"/>
      <c r="T136" s="20"/>
      <c r="U136" s="20"/>
      <c r="V136" s="20"/>
      <c r="W136" s="20"/>
      <c r="X136" s="20"/>
      <c r="Y136" s="20"/>
      <c r="Z136" s="20"/>
      <c r="AA136" s="20"/>
      <c r="AB136" s="20"/>
      <c r="AC136" s="20"/>
      <c r="AD136" s="20"/>
    </row>
    <row r="137" spans="1:30">
      <c r="A137" s="20"/>
      <c r="B137" s="20"/>
      <c r="C137" s="20"/>
      <c r="D137" s="20"/>
      <c r="E137" s="20"/>
      <c r="F137" s="20"/>
      <c r="G137" s="20"/>
      <c r="H137" s="20"/>
      <c r="I137" s="20"/>
      <c r="J137" s="20"/>
      <c r="K137" s="20"/>
      <c r="L137" s="20"/>
      <c r="M137" s="20"/>
      <c r="N137" s="20"/>
      <c r="O137" s="20"/>
      <c r="P137" s="20"/>
      <c r="Q137" s="20"/>
      <c r="R137" s="20"/>
      <c r="S137" s="20"/>
      <c r="T137" s="20"/>
      <c r="U137" s="20"/>
      <c r="V137" s="20"/>
      <c r="W137" s="20"/>
      <c r="X137" s="20"/>
      <c r="Y137" s="20"/>
      <c r="Z137" s="20"/>
      <c r="AA137" s="20"/>
      <c r="AB137" s="20"/>
      <c r="AC137" s="20"/>
      <c r="AD137" s="20"/>
    </row>
    <row r="138" spans="1:30">
      <c r="A138" s="20"/>
      <c r="B138" s="20"/>
      <c r="C138" s="20"/>
      <c r="D138" s="20"/>
      <c r="E138" s="20"/>
      <c r="F138" s="20"/>
      <c r="G138" s="20"/>
      <c r="H138" s="20"/>
      <c r="I138" s="20"/>
      <c r="J138" s="20"/>
      <c r="K138" s="20"/>
      <c r="L138" s="20"/>
      <c r="M138" s="20"/>
      <c r="N138" s="20"/>
      <c r="O138" s="20"/>
      <c r="P138" s="20"/>
      <c r="Q138" s="20"/>
      <c r="R138" s="20"/>
      <c r="S138" s="20"/>
      <c r="T138" s="20"/>
      <c r="U138" s="20"/>
      <c r="V138" s="20"/>
      <c r="W138" s="20"/>
      <c r="X138" s="20"/>
      <c r="Y138" s="20"/>
      <c r="Z138" s="20"/>
      <c r="AA138" s="20"/>
      <c r="AB138" s="20"/>
      <c r="AC138" s="20"/>
      <c r="AD138" s="20"/>
    </row>
    <row r="139" spans="1:30">
      <c r="A139" s="20"/>
      <c r="B139" s="20"/>
      <c r="C139" s="20"/>
      <c r="D139" s="20"/>
      <c r="E139" s="20"/>
      <c r="F139" s="20"/>
      <c r="G139" s="20"/>
      <c r="H139" s="20"/>
      <c r="I139" s="20"/>
      <c r="J139" s="20"/>
      <c r="K139" s="20"/>
      <c r="L139" s="20"/>
      <c r="M139" s="20"/>
      <c r="N139" s="20"/>
      <c r="O139" s="20"/>
      <c r="P139" s="20"/>
      <c r="Q139" s="20"/>
      <c r="R139" s="20"/>
      <c r="S139" s="20"/>
      <c r="T139" s="20"/>
      <c r="U139" s="20"/>
      <c r="V139" s="20"/>
      <c r="W139" s="20"/>
      <c r="X139" s="20"/>
      <c r="Y139" s="20"/>
      <c r="Z139" s="20"/>
      <c r="AA139" s="20"/>
      <c r="AB139" s="20"/>
      <c r="AC139" s="20"/>
      <c r="AD139" s="20"/>
    </row>
    <row r="140" spans="1:30">
      <c r="A140" s="20"/>
      <c r="B140" s="20"/>
      <c r="C140" s="20"/>
      <c r="D140" s="20"/>
      <c r="E140" s="20"/>
      <c r="F140" s="20"/>
      <c r="G140" s="20"/>
      <c r="H140" s="20"/>
      <c r="I140" s="20"/>
      <c r="J140" s="20"/>
      <c r="K140" s="20"/>
      <c r="L140" s="20"/>
      <c r="M140" s="20"/>
      <c r="N140" s="20"/>
      <c r="O140" s="20"/>
      <c r="P140" s="20"/>
      <c r="Q140" s="20"/>
      <c r="R140" s="20"/>
      <c r="S140" s="20"/>
      <c r="T140" s="20"/>
      <c r="U140" s="20"/>
      <c r="V140" s="20"/>
      <c r="W140" s="20"/>
      <c r="X140" s="20"/>
      <c r="Y140" s="20"/>
      <c r="Z140" s="20"/>
      <c r="AA140" s="20"/>
      <c r="AB140" s="20"/>
      <c r="AC140" s="20"/>
      <c r="AD140" s="20"/>
    </row>
    <row r="141" spans="1:30">
      <c r="A141" s="20"/>
      <c r="B141" s="20"/>
      <c r="C141" s="20"/>
      <c r="D141" s="20"/>
      <c r="E141" s="20"/>
      <c r="F141" s="20"/>
      <c r="G141" s="20"/>
      <c r="H141" s="20"/>
      <c r="I141" s="20"/>
      <c r="J141" s="20"/>
      <c r="K141" s="20"/>
      <c r="L141" s="20"/>
      <c r="M141" s="20"/>
      <c r="N141" s="20"/>
      <c r="O141" s="20"/>
      <c r="P141" s="20"/>
      <c r="Q141" s="20"/>
      <c r="R141" s="20"/>
      <c r="S141" s="20"/>
      <c r="T141" s="20"/>
      <c r="U141" s="20"/>
      <c r="V141" s="20"/>
      <c r="W141" s="20"/>
      <c r="X141" s="20"/>
      <c r="Y141" s="20"/>
      <c r="Z141" s="20"/>
      <c r="AA141" s="20"/>
      <c r="AB141" s="20"/>
      <c r="AC141" s="20"/>
      <c r="AD141" s="20"/>
    </row>
    <row r="142" spans="1:30">
      <c r="A142" s="20"/>
      <c r="B142" s="20"/>
      <c r="C142" s="20"/>
      <c r="D142" s="20"/>
      <c r="E142" s="20"/>
      <c r="F142" s="20"/>
      <c r="G142" s="20"/>
      <c r="H142" s="20"/>
      <c r="I142" s="20"/>
      <c r="J142" s="20"/>
      <c r="K142" s="20"/>
      <c r="L142" s="20"/>
      <c r="M142" s="20"/>
      <c r="N142" s="20"/>
      <c r="O142" s="20"/>
      <c r="P142" s="20"/>
      <c r="Q142" s="20"/>
      <c r="R142" s="20"/>
      <c r="S142" s="20"/>
      <c r="T142" s="20"/>
      <c r="U142" s="20"/>
      <c r="V142" s="20"/>
      <c r="W142" s="20"/>
      <c r="X142" s="20"/>
      <c r="Y142" s="20"/>
      <c r="Z142" s="20"/>
      <c r="AA142" s="20"/>
      <c r="AB142" s="20"/>
      <c r="AC142" s="20"/>
      <c r="AD142" s="20"/>
    </row>
    <row r="143" spans="1:30">
      <c r="A143" s="20"/>
      <c r="B143" s="20"/>
      <c r="C143" s="20"/>
      <c r="D143" s="20"/>
      <c r="E143" s="20"/>
      <c r="F143" s="20"/>
      <c r="G143" s="20"/>
      <c r="H143" s="20"/>
      <c r="I143" s="20"/>
      <c r="J143" s="20"/>
      <c r="K143" s="20"/>
      <c r="L143" s="20"/>
      <c r="M143" s="20"/>
      <c r="N143" s="20"/>
      <c r="O143" s="20"/>
      <c r="P143" s="20"/>
      <c r="Q143" s="20"/>
      <c r="R143" s="20"/>
      <c r="S143" s="20"/>
      <c r="T143" s="20"/>
      <c r="U143" s="20"/>
      <c r="V143" s="20"/>
      <c r="W143" s="20"/>
      <c r="X143" s="20"/>
      <c r="Y143" s="20"/>
      <c r="Z143" s="20"/>
      <c r="AA143" s="20"/>
      <c r="AB143" s="20"/>
      <c r="AC143" s="20"/>
      <c r="AD143" s="20"/>
    </row>
    <row r="144" spans="1:30">
      <c r="A144" s="20"/>
      <c r="B144" s="20"/>
      <c r="C144" s="20"/>
      <c r="D144" s="20"/>
      <c r="E144" s="20"/>
      <c r="F144" s="20"/>
      <c r="G144" s="20"/>
      <c r="H144" s="20"/>
      <c r="I144" s="20"/>
      <c r="J144" s="20"/>
      <c r="K144" s="20"/>
      <c r="L144" s="20"/>
      <c r="M144" s="20"/>
      <c r="N144" s="20"/>
      <c r="O144" s="20"/>
      <c r="P144" s="20"/>
      <c r="Q144" s="20"/>
      <c r="R144" s="20"/>
      <c r="S144" s="20"/>
      <c r="T144" s="20"/>
      <c r="U144" s="20"/>
      <c r="V144" s="20"/>
      <c r="W144" s="20"/>
      <c r="X144" s="20"/>
      <c r="Y144" s="20"/>
      <c r="Z144" s="20"/>
      <c r="AA144" s="20"/>
      <c r="AB144" s="20"/>
      <c r="AC144" s="20"/>
      <c r="AD144" s="20"/>
    </row>
    <row r="145" spans="1:30">
      <c r="A145" s="20"/>
      <c r="B145" s="20"/>
      <c r="C145" s="20"/>
      <c r="D145" s="20"/>
      <c r="E145" s="20"/>
      <c r="F145" s="20"/>
      <c r="G145" s="20"/>
      <c r="H145" s="20"/>
      <c r="I145" s="20"/>
      <c r="J145" s="20"/>
      <c r="K145" s="20"/>
      <c r="L145" s="20"/>
      <c r="M145" s="20"/>
      <c r="N145" s="20"/>
      <c r="O145" s="20"/>
      <c r="P145" s="20"/>
      <c r="Q145" s="20"/>
      <c r="R145" s="20"/>
      <c r="S145" s="20"/>
      <c r="T145" s="20"/>
      <c r="U145" s="20"/>
      <c r="V145" s="20"/>
      <c r="W145" s="20"/>
      <c r="X145" s="20"/>
      <c r="Y145" s="20"/>
      <c r="Z145" s="20"/>
      <c r="AA145" s="20"/>
      <c r="AB145" s="20"/>
      <c r="AC145" s="20"/>
      <c r="AD145" s="20"/>
    </row>
    <row r="146" spans="1:30">
      <c r="A146" s="20"/>
      <c r="B146" s="20"/>
      <c r="C146" s="20"/>
      <c r="D146" s="20"/>
      <c r="E146" s="20"/>
      <c r="F146" s="20"/>
      <c r="G146" s="20"/>
      <c r="H146" s="20"/>
      <c r="I146" s="20"/>
      <c r="J146" s="20"/>
      <c r="K146" s="20"/>
      <c r="L146" s="20"/>
      <c r="M146" s="20"/>
      <c r="N146" s="20"/>
      <c r="O146" s="20"/>
      <c r="P146" s="20"/>
      <c r="Q146" s="20"/>
      <c r="R146" s="20"/>
      <c r="S146" s="20"/>
      <c r="T146" s="20"/>
      <c r="U146" s="20"/>
      <c r="V146" s="20"/>
      <c r="W146" s="20"/>
      <c r="X146" s="20"/>
      <c r="Y146" s="20"/>
      <c r="Z146" s="20"/>
      <c r="AA146" s="20"/>
      <c r="AB146" s="20"/>
      <c r="AC146" s="20"/>
      <c r="AD146" s="20"/>
    </row>
    <row r="147" spans="1:30">
      <c r="A147" s="20"/>
      <c r="B147" s="20"/>
      <c r="C147" s="20"/>
      <c r="D147" s="20"/>
      <c r="E147" s="20"/>
      <c r="F147" s="20"/>
      <c r="G147" s="20"/>
      <c r="H147" s="20"/>
      <c r="I147" s="20"/>
      <c r="J147" s="20"/>
      <c r="K147" s="20"/>
      <c r="L147" s="20"/>
      <c r="M147" s="20"/>
      <c r="N147" s="20"/>
      <c r="O147" s="20"/>
      <c r="P147" s="20"/>
      <c r="Q147" s="20"/>
      <c r="R147" s="20"/>
      <c r="S147" s="20"/>
      <c r="T147" s="20"/>
      <c r="U147" s="20"/>
      <c r="V147" s="20"/>
      <c r="W147" s="20"/>
      <c r="X147" s="20"/>
      <c r="Y147" s="20"/>
      <c r="Z147" s="20"/>
      <c r="AA147" s="20"/>
      <c r="AB147" s="20"/>
      <c r="AC147" s="20"/>
      <c r="AD147" s="20"/>
    </row>
    <row r="148" spans="1:30">
      <c r="A148" s="20"/>
      <c r="B148" s="20"/>
      <c r="C148" s="20"/>
      <c r="D148" s="20"/>
      <c r="E148" s="20"/>
      <c r="F148" s="20"/>
      <c r="G148" s="20"/>
      <c r="H148" s="20"/>
      <c r="I148" s="20"/>
      <c r="J148" s="20"/>
      <c r="K148" s="20"/>
      <c r="L148" s="20"/>
      <c r="M148" s="20"/>
      <c r="N148" s="20"/>
      <c r="O148" s="20"/>
      <c r="P148" s="20"/>
      <c r="Q148" s="20"/>
      <c r="R148" s="20"/>
      <c r="S148" s="20"/>
      <c r="T148" s="20"/>
      <c r="U148" s="20"/>
      <c r="V148" s="20"/>
      <c r="W148" s="20"/>
      <c r="X148" s="20"/>
      <c r="Y148" s="20"/>
      <c r="Z148" s="20"/>
      <c r="AA148" s="20"/>
      <c r="AB148" s="20"/>
      <c r="AC148" s="20"/>
      <c r="AD148" s="20"/>
    </row>
    <row r="149" spans="1:30">
      <c r="A149" s="20"/>
      <c r="B149" s="20"/>
      <c r="C149" s="20"/>
      <c r="D149" s="20"/>
      <c r="E149" s="20"/>
      <c r="F149" s="20"/>
      <c r="G149" s="20"/>
      <c r="H149" s="20"/>
      <c r="I149" s="20"/>
      <c r="J149" s="20"/>
      <c r="K149" s="20"/>
      <c r="L149" s="20"/>
      <c r="M149" s="20"/>
      <c r="N149" s="20"/>
      <c r="O149" s="20"/>
      <c r="P149" s="20"/>
      <c r="Q149" s="20"/>
      <c r="R149" s="20"/>
      <c r="S149" s="20"/>
      <c r="T149" s="20"/>
      <c r="U149" s="20"/>
      <c r="V149" s="20"/>
      <c r="W149" s="20"/>
      <c r="X149" s="20"/>
      <c r="Y149" s="20"/>
      <c r="Z149" s="20"/>
      <c r="AA149" s="20"/>
      <c r="AB149" s="20"/>
      <c r="AC149" s="20"/>
      <c r="AD149" s="20"/>
    </row>
    <row r="150" spans="1:30">
      <c r="A150" s="20"/>
      <c r="B150" s="20"/>
      <c r="C150" s="20"/>
      <c r="D150" s="20"/>
      <c r="E150" s="20"/>
      <c r="F150" s="20"/>
      <c r="G150" s="20"/>
      <c r="H150" s="20"/>
      <c r="I150" s="20"/>
      <c r="J150" s="20"/>
      <c r="K150" s="20"/>
      <c r="L150" s="20"/>
      <c r="M150" s="20"/>
      <c r="N150" s="20"/>
      <c r="O150" s="20"/>
      <c r="P150" s="20"/>
      <c r="Q150" s="20"/>
      <c r="R150" s="20"/>
      <c r="S150" s="20"/>
      <c r="T150" s="20"/>
      <c r="U150" s="20"/>
      <c r="V150" s="20"/>
      <c r="W150" s="20"/>
      <c r="X150" s="20"/>
      <c r="Y150" s="20"/>
      <c r="Z150" s="20"/>
      <c r="AA150" s="20"/>
      <c r="AB150" s="20"/>
      <c r="AC150" s="20"/>
      <c r="AD150" s="20"/>
    </row>
    <row r="151" spans="1:30">
      <c r="A151" s="20"/>
      <c r="B151" s="20"/>
      <c r="C151" s="20"/>
      <c r="D151" s="20"/>
      <c r="E151" s="20"/>
      <c r="F151" s="20"/>
      <c r="G151" s="20"/>
      <c r="H151" s="20"/>
      <c r="I151" s="20"/>
      <c r="J151" s="20"/>
      <c r="K151" s="20"/>
      <c r="L151" s="20"/>
      <c r="M151" s="20"/>
      <c r="N151" s="20"/>
      <c r="O151" s="20"/>
      <c r="P151" s="20"/>
      <c r="Q151" s="20"/>
      <c r="R151" s="20"/>
      <c r="S151" s="20"/>
      <c r="T151" s="20"/>
      <c r="U151" s="20"/>
      <c r="V151" s="20"/>
      <c r="W151" s="20"/>
      <c r="X151" s="20"/>
      <c r="Y151" s="20"/>
      <c r="Z151" s="20"/>
      <c r="AA151" s="20"/>
      <c r="AB151" s="20"/>
      <c r="AC151" s="20"/>
      <c r="AD151" s="20"/>
    </row>
    <row r="152" spans="1:30">
      <c r="A152" s="20"/>
      <c r="B152" s="20"/>
      <c r="C152" s="20"/>
      <c r="D152" s="20"/>
      <c r="E152" s="20"/>
      <c r="F152" s="20"/>
      <c r="G152" s="20"/>
      <c r="H152" s="20"/>
      <c r="I152" s="20"/>
      <c r="J152" s="20"/>
      <c r="K152" s="20"/>
      <c r="L152" s="20"/>
      <c r="M152" s="20"/>
      <c r="N152" s="20"/>
      <c r="O152" s="20"/>
      <c r="P152" s="20"/>
      <c r="Q152" s="20"/>
    </row>
    <row r="153" spans="1:30">
      <c r="A153" s="20"/>
      <c r="B153" s="20"/>
      <c r="C153" s="20"/>
      <c r="D153" s="20"/>
      <c r="E153" s="20"/>
      <c r="F153" s="20"/>
      <c r="G153" s="20"/>
      <c r="H153" s="20"/>
      <c r="I153" s="20"/>
      <c r="J153" s="20"/>
      <c r="K153" s="20"/>
      <c r="L153" s="20"/>
      <c r="M153" s="20"/>
      <c r="N153" s="20"/>
      <c r="O153" s="20"/>
      <c r="P153" s="20"/>
      <c r="Q153" s="20"/>
    </row>
    <row r="154" spans="1:30">
      <c r="A154" s="20"/>
      <c r="B154" s="20"/>
      <c r="C154" s="20"/>
      <c r="D154" s="20"/>
      <c r="E154" s="20"/>
      <c r="F154" s="20"/>
      <c r="G154" s="20"/>
      <c r="H154" s="20"/>
      <c r="I154" s="20"/>
      <c r="J154" s="20"/>
      <c r="K154" s="20"/>
      <c r="L154" s="20"/>
      <c r="M154" s="20"/>
      <c r="N154" s="20"/>
      <c r="O154" s="20"/>
      <c r="P154" s="20"/>
      <c r="Q154" s="20"/>
    </row>
    <row r="155" spans="1:30">
      <c r="A155" s="20"/>
      <c r="B155" s="20"/>
      <c r="C155" s="20"/>
      <c r="D155" s="20"/>
      <c r="E155" s="20"/>
      <c r="F155" s="20"/>
      <c r="G155" s="20"/>
      <c r="H155" s="20"/>
      <c r="I155" s="20"/>
      <c r="J155" s="20"/>
      <c r="K155" s="20"/>
      <c r="L155" s="20"/>
      <c r="M155" s="20"/>
      <c r="N155" s="20"/>
      <c r="O155" s="20"/>
      <c r="P155" s="20"/>
      <c r="Q155" s="20"/>
    </row>
    <row r="156" spans="1:30">
      <c r="A156" s="20"/>
      <c r="B156" s="20"/>
      <c r="C156" s="20"/>
      <c r="D156" s="20"/>
      <c r="E156" s="20"/>
      <c r="F156" s="20"/>
      <c r="G156" s="20"/>
      <c r="H156" s="20"/>
      <c r="I156" s="20"/>
      <c r="J156" s="20"/>
      <c r="K156" s="20"/>
      <c r="L156" s="20"/>
      <c r="M156" s="20"/>
      <c r="N156" s="20"/>
      <c r="O156" s="20"/>
      <c r="P156" s="20"/>
      <c r="Q156" s="20"/>
    </row>
    <row r="157" spans="1:30">
      <c r="A157" s="20"/>
      <c r="B157" s="20"/>
      <c r="C157" s="20"/>
      <c r="D157" s="20"/>
      <c r="E157" s="20"/>
      <c r="F157" s="20"/>
      <c r="G157" s="20"/>
      <c r="H157" s="20"/>
      <c r="I157" s="20"/>
      <c r="J157" s="20"/>
      <c r="K157" s="20"/>
      <c r="L157" s="20"/>
      <c r="M157" s="20"/>
      <c r="N157" s="20"/>
      <c r="O157" s="20"/>
      <c r="P157" s="20"/>
      <c r="Q157" s="20"/>
    </row>
    <row r="158" spans="1:30">
      <c r="A158" s="20"/>
      <c r="B158" s="20"/>
      <c r="C158" s="20"/>
      <c r="D158" s="20"/>
      <c r="E158" s="20"/>
      <c r="F158" s="20"/>
      <c r="G158" s="20"/>
      <c r="H158" s="20"/>
      <c r="I158" s="20"/>
      <c r="J158" s="20"/>
      <c r="K158" s="20"/>
      <c r="L158" s="20"/>
      <c r="M158" s="20"/>
      <c r="N158" s="20"/>
      <c r="O158" s="20"/>
      <c r="P158" s="20"/>
      <c r="Q158" s="20"/>
    </row>
    <row r="159" spans="1:30">
      <c r="A159" s="20"/>
      <c r="B159" s="20"/>
      <c r="C159" s="20"/>
      <c r="D159" s="20"/>
      <c r="E159" s="20"/>
      <c r="F159" s="20"/>
      <c r="G159" s="20"/>
      <c r="H159" s="20"/>
      <c r="I159" s="20"/>
      <c r="J159" s="20"/>
      <c r="K159" s="20"/>
      <c r="L159" s="20"/>
      <c r="M159" s="20"/>
      <c r="N159" s="20"/>
      <c r="O159" s="20"/>
      <c r="P159" s="20"/>
      <c r="Q159" s="20"/>
    </row>
    <row r="160" spans="1:30">
      <c r="A160" s="20"/>
      <c r="B160" s="20"/>
      <c r="C160" s="20"/>
      <c r="D160" s="20"/>
      <c r="E160" s="20"/>
      <c r="F160" s="20"/>
      <c r="G160" s="20"/>
      <c r="H160" s="20"/>
      <c r="I160" s="20"/>
      <c r="J160" s="20"/>
      <c r="K160" s="20"/>
      <c r="L160" s="20"/>
      <c r="M160" s="20"/>
      <c r="N160" s="20"/>
      <c r="O160" s="20"/>
      <c r="P160" s="20"/>
      <c r="Q160" s="20"/>
    </row>
  </sheetData>
  <sheetProtection algorithmName="SHA-512" hashValue="vUIs16YaEvdLKkIGM9z6aE63lsvqLbcjPULAQtBOogBwb/8IYAO+hHHoIab6FVpKmcbS0mN74EJYUvXJeAAP4w==" saltValue="Gk/iio3PFXhiFxxo36SqtQ==" spinCount="100000" sheet="1" selectLockedCells="1"/>
  <mergeCells count="30">
    <mergeCell ref="B3:P4"/>
    <mergeCell ref="N89:P89"/>
    <mergeCell ref="N94:P94"/>
    <mergeCell ref="J73:L73"/>
    <mergeCell ref="N73:P73"/>
    <mergeCell ref="N76:P76"/>
    <mergeCell ref="N96:P96"/>
    <mergeCell ref="N98:P98"/>
    <mergeCell ref="D7:F7"/>
    <mergeCell ref="D9:F9"/>
    <mergeCell ref="N7:P7"/>
    <mergeCell ref="D11:I11"/>
    <mergeCell ref="J7:K7"/>
    <mergeCell ref="J9:K9"/>
    <mergeCell ref="N32:O32"/>
    <mergeCell ref="N27:O27"/>
    <mergeCell ref="J69:L69"/>
    <mergeCell ref="N71:P71"/>
    <mergeCell ref="J71:L71"/>
    <mergeCell ref="R69:S69"/>
    <mergeCell ref="T69:U69"/>
    <mergeCell ref="R67:S67"/>
    <mergeCell ref="T67:U67"/>
    <mergeCell ref="J19:L19"/>
    <mergeCell ref="N19:P19"/>
    <mergeCell ref="J25:L25"/>
    <mergeCell ref="N25:P25"/>
    <mergeCell ref="N34:O34"/>
    <mergeCell ref="N49:O49"/>
    <mergeCell ref="N69:P69"/>
  </mergeCells>
  <phoneticPr fontId="2" type="noConversion"/>
  <conditionalFormatting sqref="D7:F7 J7:K7 N7:P7 D9:F9 J9:K9 P9 D11:I11 P15:P17 J19:L19 N19:P19 J21 L21 N21 P21 J25:L25 N25:P25 N27:O27">
    <cfRule type="containsBlanks" dxfId="136" priority="3" stopIfTrue="1">
      <formula>LEN(TRIM(D7))=0</formula>
    </cfRule>
  </conditionalFormatting>
  <conditionalFormatting sqref="L32">
    <cfRule type="cellIs" dxfId="135" priority="6" stopIfTrue="1" operator="greaterThan">
      <formula>0</formula>
    </cfRule>
  </conditionalFormatting>
  <conditionalFormatting sqref="N32:O32">
    <cfRule type="cellIs" dxfId="134" priority="5" stopIfTrue="1" operator="greaterThan">
      <formula>0</formula>
    </cfRule>
  </conditionalFormatting>
  <conditionalFormatting sqref="N34:O34">
    <cfRule type="cellIs" dxfId="133" priority="4" stopIfTrue="1" operator="greaterThan">
      <formula>0</formula>
    </cfRule>
  </conditionalFormatting>
  <conditionalFormatting sqref="A1:AD2 A67:AD71 A61:Q66 W61:AD66 A101:AD160 A72:Q91 W72:AD91 A92:U100 Y92:AD100 A5:AD60 A3:B3 A4 Q3:AD4">
    <cfRule type="expression" dxfId="132" priority="2" stopIfTrue="1">
      <formula>AND(A1&lt;&gt;"",OR(A1=0,A1="0"))</formula>
    </cfRule>
  </conditionalFormatting>
  <hyperlinks>
    <hyperlink ref="R95" location="'Guía de trabajo'!A31" display="'Guía de trabajo'!A31" xr:uid="{00000000-0004-0000-0200-000000000000}"/>
    <hyperlink ref="R27" location="'Guía de trabajo'!A11" display="'Guía de trabajo'!A11" xr:uid="{00000000-0004-0000-0200-000001000000}"/>
  </hyperlinks>
  <pageMargins left="0.74803149606299213" right="0.39370078740157483" top="0.98425196850393704" bottom="0.8" header="0.35433070866141736" footer="0"/>
  <pageSetup paperSize="9" orientation="portrait" blackAndWhite="1" horizontalDpi="4294967292" verticalDpi="4294967292" r:id="rId1"/>
  <headerFooter alignWithMargins="0">
    <oddHeader xml:space="preserve">&amp;LPREFECTURA NAVAL ARGENTINA
</oddHeader>
  </headerFooter>
  <drawing r:id="rId2"/>
  <legacy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3"/>
  <dimension ref="A1:AA309"/>
  <sheetViews>
    <sheetView topLeftCell="A15" zoomScale="115" zoomScaleNormal="115" zoomScaleSheetLayoutView="85" workbookViewId="0">
      <selection activeCell="A18" sqref="A18"/>
    </sheetView>
  </sheetViews>
  <sheetFormatPr baseColWidth="10" defaultRowHeight="13.2"/>
  <cols>
    <col min="1" max="1" width="7.33203125" customWidth="1"/>
    <col min="2" max="3" width="5.6640625" customWidth="1"/>
    <col min="4" max="4" width="3" customWidth="1"/>
    <col min="5" max="5" width="5.6640625" customWidth="1"/>
    <col min="6" max="6" width="3.6640625" customWidth="1"/>
    <col min="7" max="7" width="5.6640625" customWidth="1"/>
    <col min="8" max="8" width="4.44140625" customWidth="1"/>
    <col min="9" max="9" width="5.6640625" customWidth="1"/>
    <col min="10" max="10" width="6.88671875" customWidth="1"/>
    <col min="11" max="13" width="5.6640625" customWidth="1"/>
    <col min="14" max="14" width="6.33203125" customWidth="1"/>
    <col min="15" max="16" width="5.6640625" customWidth="1"/>
    <col min="17" max="17" width="6.44140625" customWidth="1"/>
    <col min="19" max="19" width="12.33203125" bestFit="1" customWidth="1"/>
  </cols>
  <sheetData>
    <row r="1" spans="1:27" ht="13.8" thickBot="1">
      <c r="A1" s="3"/>
      <c r="B1" s="3"/>
      <c r="C1" s="3"/>
      <c r="D1" s="3"/>
      <c r="E1" s="3"/>
      <c r="F1" s="3"/>
      <c r="G1" s="3"/>
      <c r="H1" s="3"/>
      <c r="I1" s="3"/>
      <c r="J1" s="3"/>
      <c r="K1" s="3"/>
      <c r="L1" s="3"/>
      <c r="M1" s="3"/>
      <c r="N1" s="3"/>
      <c r="O1" s="3"/>
      <c r="P1" s="3"/>
      <c r="Q1" s="34"/>
      <c r="R1" s="34"/>
      <c r="S1" s="34"/>
      <c r="T1" s="34"/>
      <c r="U1" s="34"/>
      <c r="V1" s="34"/>
      <c r="W1" s="34"/>
      <c r="X1" s="34"/>
      <c r="Y1" s="34"/>
      <c r="Z1" s="34"/>
      <c r="AA1" s="34"/>
    </row>
    <row r="2" spans="1:27" ht="13.8" thickTop="1">
      <c r="A2" s="192"/>
      <c r="B2" s="191"/>
      <c r="C2" s="191"/>
      <c r="D2" s="191"/>
      <c r="E2" s="191"/>
      <c r="F2" s="191"/>
      <c r="G2" s="191"/>
      <c r="H2" s="191"/>
      <c r="I2" s="191"/>
      <c r="J2" s="191"/>
      <c r="K2" s="191"/>
      <c r="L2" s="191"/>
      <c r="M2" s="191"/>
      <c r="N2" s="191"/>
      <c r="O2" s="191"/>
      <c r="P2" s="200"/>
      <c r="Q2" s="34"/>
      <c r="R2" s="34"/>
      <c r="S2" s="34"/>
      <c r="T2" s="34"/>
      <c r="U2" s="34"/>
      <c r="V2" s="34"/>
      <c r="W2" s="34"/>
      <c r="X2" s="34"/>
      <c r="Y2" s="34"/>
      <c r="Z2" s="34"/>
      <c r="AA2" s="34"/>
    </row>
    <row r="3" spans="1:27">
      <c r="A3" s="368" t="s">
        <v>70</v>
      </c>
      <c r="B3" s="369"/>
      <c r="C3" s="369"/>
      <c r="D3" s="369"/>
      <c r="E3" s="369"/>
      <c r="F3" s="369"/>
      <c r="G3" s="369"/>
      <c r="H3" s="369"/>
      <c r="I3" s="369"/>
      <c r="J3" s="369"/>
      <c r="K3" s="369"/>
      <c r="L3" s="369"/>
      <c r="M3" s="369"/>
      <c r="N3" s="369"/>
      <c r="O3" s="369"/>
      <c r="P3" s="370"/>
      <c r="Q3" s="34"/>
      <c r="R3" s="34"/>
      <c r="S3" s="34"/>
      <c r="T3" s="34"/>
      <c r="U3" s="34"/>
      <c r="V3" s="34"/>
      <c r="W3" s="34"/>
      <c r="X3" s="34"/>
      <c r="Y3" s="34"/>
      <c r="Z3" s="34"/>
      <c r="AA3" s="34"/>
    </row>
    <row r="4" spans="1:27">
      <c r="A4" s="194"/>
      <c r="B4" s="168"/>
      <c r="C4" s="168"/>
      <c r="D4" s="168"/>
      <c r="E4" s="168"/>
      <c r="F4" s="168"/>
      <c r="G4" s="168"/>
      <c r="H4" s="168"/>
      <c r="I4" s="168"/>
      <c r="J4" s="168"/>
      <c r="K4" s="168"/>
      <c r="L4" s="168"/>
      <c r="M4" s="168"/>
      <c r="N4" s="168"/>
      <c r="O4" s="168"/>
      <c r="P4" s="201"/>
      <c r="Q4" s="34"/>
      <c r="R4" s="34"/>
      <c r="S4" s="34"/>
      <c r="T4" s="34"/>
      <c r="U4" s="34"/>
      <c r="V4" s="34"/>
      <c r="W4" s="34"/>
      <c r="X4" s="34"/>
      <c r="Y4" s="34"/>
      <c r="Z4" s="34"/>
      <c r="AA4" s="34"/>
    </row>
    <row r="5" spans="1:27">
      <c r="A5" s="193"/>
      <c r="B5" s="168"/>
      <c r="C5" s="168"/>
      <c r="D5" s="168"/>
      <c r="E5" s="168"/>
      <c r="F5" s="168"/>
      <c r="G5" s="168"/>
      <c r="H5" s="168"/>
      <c r="I5" s="168"/>
      <c r="J5" s="168"/>
      <c r="K5" s="168"/>
      <c r="L5" s="168"/>
      <c r="M5" s="168"/>
      <c r="N5" s="168"/>
      <c r="O5" s="168"/>
      <c r="P5" s="201"/>
      <c r="Q5" s="34"/>
      <c r="R5" s="34"/>
      <c r="S5" s="34"/>
      <c r="T5" s="34"/>
      <c r="U5" s="34"/>
      <c r="V5" s="34"/>
      <c r="W5" s="34"/>
      <c r="X5" s="34"/>
      <c r="Y5" s="34"/>
      <c r="Z5" s="34"/>
      <c r="AA5" s="34"/>
    </row>
    <row r="6" spans="1:27">
      <c r="A6" s="193"/>
      <c r="B6" s="168"/>
      <c r="C6" s="168"/>
      <c r="D6" s="168"/>
      <c r="E6" s="168"/>
      <c r="F6" s="168"/>
      <c r="G6" s="168"/>
      <c r="H6" s="168"/>
      <c r="I6" s="168"/>
      <c r="J6" s="168"/>
      <c r="K6" s="168"/>
      <c r="L6" s="168"/>
      <c r="M6" s="168"/>
      <c r="N6" s="168"/>
      <c r="O6" s="168"/>
      <c r="P6" s="201"/>
      <c r="Q6" s="34"/>
      <c r="R6" s="34"/>
      <c r="S6" s="34"/>
      <c r="T6" s="34"/>
      <c r="U6" s="34"/>
      <c r="V6" s="34"/>
      <c r="W6" s="34"/>
      <c r="X6" s="34"/>
      <c r="Y6" s="34"/>
      <c r="Z6" s="34"/>
      <c r="AA6" s="34"/>
    </row>
    <row r="7" spans="1:27">
      <c r="A7" s="213" t="s">
        <v>0</v>
      </c>
      <c r="B7" s="206"/>
      <c r="C7" s="206"/>
      <c r="D7" s="372">
        <f>Datum!D7</f>
        <v>0</v>
      </c>
      <c r="E7" s="372"/>
      <c r="F7" s="372"/>
      <c r="G7" s="372"/>
      <c r="H7" s="206"/>
      <c r="I7" s="206" t="s">
        <v>1</v>
      </c>
      <c r="J7" s="206"/>
      <c r="K7" s="5">
        <f>Datum!J7</f>
        <v>0</v>
      </c>
      <c r="L7" s="206"/>
      <c r="M7" s="206" t="s">
        <v>2</v>
      </c>
      <c r="N7" s="367">
        <f>Datum!N7</f>
        <v>0</v>
      </c>
      <c r="O7" s="312"/>
      <c r="P7" s="201"/>
      <c r="Q7" s="34"/>
      <c r="R7" s="34"/>
      <c r="S7" s="34"/>
      <c r="T7" s="34"/>
      <c r="U7" s="34"/>
      <c r="V7" s="34"/>
      <c r="W7" s="34"/>
      <c r="X7" s="34"/>
      <c r="Y7" s="34"/>
      <c r="Z7" s="34"/>
      <c r="AA7" s="34"/>
    </row>
    <row r="8" spans="1:27">
      <c r="A8" s="193"/>
      <c r="B8" s="168"/>
      <c r="C8" s="168"/>
      <c r="D8" s="168"/>
      <c r="E8" s="168"/>
      <c r="F8" s="168"/>
      <c r="G8" s="168"/>
      <c r="H8" s="168"/>
      <c r="I8" s="168"/>
      <c r="J8" s="168"/>
      <c r="K8" s="168"/>
      <c r="L8" s="168"/>
      <c r="M8" s="168"/>
      <c r="N8" s="168"/>
      <c r="O8" s="168"/>
      <c r="P8" s="201"/>
      <c r="Q8" s="34"/>
      <c r="R8" s="34"/>
      <c r="S8" s="34"/>
      <c r="T8" s="34"/>
      <c r="U8" s="34"/>
      <c r="V8" s="34"/>
      <c r="W8" s="34"/>
      <c r="X8" s="34"/>
      <c r="Y8" s="34"/>
      <c r="Z8" s="34"/>
      <c r="AA8" s="34"/>
    </row>
    <row r="9" spans="1:27">
      <c r="A9" s="213" t="s">
        <v>3</v>
      </c>
      <c r="B9" s="206"/>
      <c r="C9" s="206"/>
      <c r="D9" s="372">
        <f>Datum!D9</f>
        <v>0</v>
      </c>
      <c r="E9" s="372"/>
      <c r="F9" s="372"/>
      <c r="G9" s="372"/>
      <c r="H9" s="206"/>
      <c r="I9" s="206" t="s">
        <v>4</v>
      </c>
      <c r="J9" s="206"/>
      <c r="K9" s="145">
        <f>Datum!J9</f>
        <v>0</v>
      </c>
      <c r="L9" s="206" t="s">
        <v>5</v>
      </c>
      <c r="M9" s="168"/>
      <c r="N9" s="206"/>
      <c r="O9" s="145">
        <f>Datum!P9</f>
        <v>0</v>
      </c>
      <c r="P9" s="201"/>
      <c r="Q9" s="34"/>
      <c r="R9" s="34"/>
      <c r="S9" s="34"/>
      <c r="T9" s="34"/>
      <c r="U9" s="34"/>
      <c r="V9" s="34"/>
      <c r="W9" s="34"/>
      <c r="X9" s="34"/>
      <c r="Y9" s="34"/>
      <c r="Z9" s="34"/>
      <c r="AA9" s="34"/>
    </row>
    <row r="10" spans="1:27" ht="13.8" thickBot="1">
      <c r="A10" s="193"/>
      <c r="B10" s="168"/>
      <c r="C10" s="168"/>
      <c r="D10" s="168"/>
      <c r="E10" s="168"/>
      <c r="F10" s="168"/>
      <c r="G10" s="168"/>
      <c r="H10" s="168"/>
      <c r="I10" s="168"/>
      <c r="J10" s="168"/>
      <c r="K10" s="168"/>
      <c r="L10" s="168"/>
      <c r="M10" s="168"/>
      <c r="N10" s="168"/>
      <c r="O10" s="168"/>
      <c r="P10" s="201"/>
      <c r="Q10" s="34"/>
      <c r="R10" s="34"/>
      <c r="S10" s="34"/>
      <c r="T10" s="34"/>
      <c r="U10" s="34"/>
      <c r="V10" s="34"/>
      <c r="W10" s="34"/>
      <c r="X10" s="34"/>
      <c r="Y10" s="34"/>
      <c r="Z10" s="34"/>
      <c r="AA10" s="34"/>
    </row>
    <row r="11" spans="1:27" ht="13.8" thickBot="1">
      <c r="A11" s="186" t="s">
        <v>7</v>
      </c>
      <c r="B11" s="187" t="s">
        <v>28</v>
      </c>
      <c r="C11" s="187"/>
      <c r="D11" s="187"/>
      <c r="E11" s="187"/>
      <c r="F11" s="187"/>
      <c r="G11" s="187"/>
      <c r="H11" s="188"/>
      <c r="I11" s="169"/>
      <c r="J11" s="168"/>
      <c r="K11" s="168"/>
      <c r="L11" s="168"/>
      <c r="M11" s="168"/>
      <c r="N11" s="168"/>
      <c r="O11" s="168"/>
      <c r="P11" s="201"/>
      <c r="Q11" s="34"/>
      <c r="R11" s="34"/>
      <c r="S11" s="34"/>
      <c r="T11" s="34"/>
      <c r="U11" s="34"/>
      <c r="V11" s="34"/>
      <c r="W11" s="34"/>
      <c r="X11" s="34"/>
      <c r="Y11" s="34"/>
      <c r="Z11" s="34"/>
      <c r="AA11" s="34"/>
    </row>
    <row r="12" spans="1:27">
      <c r="A12" s="193"/>
      <c r="B12" s="168"/>
      <c r="C12" s="168"/>
      <c r="D12" s="168"/>
      <c r="E12" s="168"/>
      <c r="F12" s="168"/>
      <c r="G12" s="168"/>
      <c r="H12" s="168"/>
      <c r="I12" s="168"/>
      <c r="J12" s="168"/>
      <c r="K12" s="168"/>
      <c r="L12" s="168"/>
      <c r="M12" s="168"/>
      <c r="N12" s="168"/>
      <c r="O12" s="168"/>
      <c r="P12" s="201"/>
      <c r="Q12" s="34"/>
      <c r="R12" s="34"/>
      <c r="S12" s="34"/>
      <c r="T12" s="34"/>
      <c r="U12" s="34"/>
      <c r="V12" s="34"/>
      <c r="W12" s="34"/>
      <c r="X12" s="34"/>
      <c r="Y12" s="34"/>
      <c r="Z12" s="34"/>
      <c r="AA12" s="34"/>
    </row>
    <row r="13" spans="1:27">
      <c r="A13" s="193"/>
      <c r="B13" s="172">
        <v>1</v>
      </c>
      <c r="C13" s="206" t="s">
        <v>71</v>
      </c>
      <c r="D13" s="206"/>
      <c r="E13" s="206"/>
      <c r="F13" s="206"/>
      <c r="G13" s="206"/>
      <c r="H13" s="206"/>
      <c r="I13" s="206"/>
      <c r="J13" s="206"/>
      <c r="K13" s="206"/>
      <c r="L13" s="206"/>
      <c r="M13" s="206"/>
      <c r="N13" s="168"/>
      <c r="O13" s="177"/>
      <c r="P13" s="201"/>
      <c r="Q13" s="34"/>
      <c r="R13" s="34"/>
      <c r="S13" s="34"/>
      <c r="T13" s="34"/>
      <c r="U13" s="34"/>
      <c r="V13" s="34"/>
      <c r="W13" s="34"/>
      <c r="X13" s="34"/>
      <c r="Y13" s="34"/>
      <c r="Z13" s="34"/>
      <c r="AA13" s="34"/>
    </row>
    <row r="14" spans="1:27">
      <c r="A14" s="193"/>
      <c r="B14" s="168"/>
      <c r="C14" s="206"/>
      <c r="D14" s="206"/>
      <c r="E14" s="206"/>
      <c r="F14" s="206"/>
      <c r="G14" s="206"/>
      <c r="H14" s="206"/>
      <c r="I14" s="206"/>
      <c r="J14" s="206"/>
      <c r="K14" s="206"/>
      <c r="L14" s="206"/>
      <c r="M14" s="206"/>
      <c r="N14" s="168"/>
      <c r="O14" s="177"/>
      <c r="P14" s="201"/>
      <c r="Q14" s="34"/>
      <c r="R14" s="34"/>
      <c r="S14" s="34"/>
      <c r="T14" s="34"/>
      <c r="U14" s="34"/>
      <c r="V14" s="34"/>
      <c r="W14" s="34"/>
      <c r="X14" s="34"/>
      <c r="Y14" s="34"/>
      <c r="Z14" s="34"/>
      <c r="AA14" s="34"/>
    </row>
    <row r="15" spans="1:27">
      <c r="A15" s="213" t="s">
        <v>72</v>
      </c>
      <c r="B15" s="206"/>
      <c r="C15" s="371" t="s">
        <v>74</v>
      </c>
      <c r="D15" s="371"/>
      <c r="E15" s="371"/>
      <c r="F15" s="206"/>
      <c r="G15" s="206" t="s">
        <v>76</v>
      </c>
      <c r="H15" s="206"/>
      <c r="I15" s="206" t="s">
        <v>79</v>
      </c>
      <c r="J15" s="206"/>
      <c r="K15" s="206" t="s">
        <v>81</v>
      </c>
      <c r="L15" s="206"/>
      <c r="M15" s="206"/>
      <c r="N15" s="371" t="s">
        <v>82</v>
      </c>
      <c r="O15" s="371"/>
      <c r="P15" s="201"/>
      <c r="Q15" s="34"/>
      <c r="R15" s="34"/>
      <c r="S15" s="34"/>
      <c r="T15" s="34"/>
      <c r="U15" s="34"/>
      <c r="V15" s="34"/>
      <c r="W15" s="34"/>
      <c r="X15" s="34"/>
      <c r="Y15" s="34"/>
      <c r="Z15" s="34"/>
      <c r="AA15" s="34"/>
    </row>
    <row r="16" spans="1:27">
      <c r="A16" s="213" t="s">
        <v>73</v>
      </c>
      <c r="B16" s="206"/>
      <c r="C16" s="371" t="s">
        <v>75</v>
      </c>
      <c r="D16" s="371"/>
      <c r="E16" s="371"/>
      <c r="F16" s="206"/>
      <c r="G16" s="206" t="s">
        <v>77</v>
      </c>
      <c r="H16" s="206"/>
      <c r="I16" s="206" t="s">
        <v>80</v>
      </c>
      <c r="J16" s="206"/>
      <c r="K16" s="206" t="s">
        <v>80</v>
      </c>
      <c r="L16" s="206"/>
      <c r="M16" s="206"/>
      <c r="N16" s="371" t="s">
        <v>80</v>
      </c>
      <c r="O16" s="371"/>
      <c r="P16" s="201"/>
      <c r="Q16" s="34"/>
      <c r="R16" s="34"/>
      <c r="S16" s="34"/>
      <c r="T16" s="34"/>
      <c r="U16" s="34"/>
      <c r="V16" s="34"/>
      <c r="W16" s="34"/>
      <c r="X16" s="34"/>
      <c r="Y16" s="34"/>
      <c r="Z16" s="34"/>
      <c r="AA16" s="34"/>
    </row>
    <row r="17" spans="1:27">
      <c r="A17" s="213"/>
      <c r="B17" s="208"/>
      <c r="C17" s="206"/>
      <c r="D17" s="206"/>
      <c r="E17" s="206"/>
      <c r="F17" s="206"/>
      <c r="G17" s="207" t="s">
        <v>78</v>
      </c>
      <c r="H17" s="206"/>
      <c r="I17" s="209" t="s">
        <v>314</v>
      </c>
      <c r="J17" s="206"/>
      <c r="K17" s="207" t="s">
        <v>315</v>
      </c>
      <c r="L17" s="206"/>
      <c r="M17" s="207"/>
      <c r="N17" s="371" t="s">
        <v>303</v>
      </c>
      <c r="O17" s="371"/>
      <c r="P17" s="201"/>
      <c r="Q17" s="34"/>
      <c r="R17" s="34"/>
      <c r="S17" s="34"/>
      <c r="T17" s="34"/>
      <c r="U17" s="34"/>
      <c r="V17" s="34"/>
      <c r="W17" s="34"/>
      <c r="X17" s="34"/>
      <c r="Y17" s="34"/>
      <c r="Z17" s="34"/>
      <c r="AA17" s="34"/>
    </row>
    <row r="18" spans="1:27">
      <c r="A18" s="214"/>
      <c r="B18" s="209"/>
      <c r="C18" s="6"/>
      <c r="D18" s="209" t="s">
        <v>84</v>
      </c>
      <c r="E18" s="6"/>
      <c r="F18" s="207"/>
      <c r="G18" s="7"/>
      <c r="H18" s="207"/>
      <c r="I18" s="8"/>
      <c r="J18" s="206" t="s">
        <v>29</v>
      </c>
      <c r="K18" s="290"/>
      <c r="L18" s="206" t="s">
        <v>30</v>
      </c>
      <c r="M18" s="206"/>
      <c r="N18" s="365">
        <f>G18*K18</f>
        <v>0</v>
      </c>
      <c r="O18" s="365"/>
      <c r="P18" s="201" t="s">
        <v>83</v>
      </c>
      <c r="Q18" s="25">
        <f>SIN(I18*PI()/180)*N18</f>
        <v>0</v>
      </c>
      <c r="R18" s="25">
        <f>COS(I18*PI()/180)*N18</f>
        <v>0</v>
      </c>
      <c r="S18" s="34"/>
      <c r="T18" s="34"/>
      <c r="U18" s="34"/>
      <c r="V18" s="34"/>
      <c r="W18" s="34"/>
      <c r="X18" s="34"/>
      <c r="Y18" s="34"/>
      <c r="Z18" s="34"/>
      <c r="AA18" s="34"/>
    </row>
    <row r="19" spans="1:27">
      <c r="A19" s="215"/>
      <c r="B19" s="177"/>
      <c r="C19" s="207"/>
      <c r="D19" s="177"/>
      <c r="E19" s="177"/>
      <c r="F19" s="177"/>
      <c r="G19" s="177"/>
      <c r="H19" s="177"/>
      <c r="I19" s="177"/>
      <c r="J19" s="168"/>
      <c r="K19" s="177"/>
      <c r="L19" s="168"/>
      <c r="M19" s="168"/>
      <c r="N19" s="177"/>
      <c r="O19" s="177"/>
      <c r="P19" s="201"/>
      <c r="Q19" s="25"/>
      <c r="R19" s="25"/>
      <c r="S19" s="34"/>
      <c r="T19" s="34"/>
      <c r="U19" s="34"/>
      <c r="V19" s="34"/>
      <c r="W19" s="34"/>
      <c r="X19" s="34"/>
      <c r="Y19" s="34"/>
      <c r="Z19" s="34"/>
      <c r="AA19" s="34"/>
    </row>
    <row r="20" spans="1:27">
      <c r="A20" s="214"/>
      <c r="B20" s="209"/>
      <c r="C20" s="6"/>
      <c r="D20" s="209" t="s">
        <v>84</v>
      </c>
      <c r="E20" s="6"/>
      <c r="F20" s="207"/>
      <c r="G20" s="7"/>
      <c r="H20" s="207"/>
      <c r="I20" s="8"/>
      <c r="J20" s="206" t="s">
        <v>29</v>
      </c>
      <c r="K20" s="290"/>
      <c r="L20" s="206" t="s">
        <v>30</v>
      </c>
      <c r="M20" s="206"/>
      <c r="N20" s="365">
        <f>G20*K20</f>
        <v>0</v>
      </c>
      <c r="O20" s="365"/>
      <c r="P20" s="201" t="s">
        <v>83</v>
      </c>
      <c r="Q20" s="25">
        <f>SIN(I20*PI()/180)*N20</f>
        <v>0</v>
      </c>
      <c r="R20" s="25">
        <f>COS(I20*PI()/180)*N20</f>
        <v>0</v>
      </c>
      <c r="S20" s="34"/>
      <c r="T20" s="34"/>
      <c r="U20" s="34"/>
      <c r="V20" s="34"/>
      <c r="W20" s="34"/>
      <c r="X20" s="34"/>
      <c r="Y20" s="34"/>
      <c r="Z20" s="34"/>
      <c r="AA20" s="34"/>
    </row>
    <row r="21" spans="1:27">
      <c r="A21" s="216"/>
      <c r="B21" s="210"/>
      <c r="C21" s="210"/>
      <c r="D21" s="177"/>
      <c r="E21" s="177"/>
      <c r="F21" s="177"/>
      <c r="G21" s="177"/>
      <c r="H21" s="177"/>
      <c r="I21" s="177"/>
      <c r="J21" s="168"/>
      <c r="K21" s="177"/>
      <c r="L21" s="168"/>
      <c r="M21" s="168"/>
      <c r="N21" s="177"/>
      <c r="O21" s="177"/>
      <c r="P21" s="201"/>
      <c r="Q21" s="25"/>
      <c r="R21" s="25"/>
      <c r="S21" s="34"/>
      <c r="T21" s="34"/>
      <c r="U21" s="34"/>
      <c r="V21" s="34"/>
      <c r="W21" s="34"/>
      <c r="X21" s="34"/>
      <c r="Y21" s="34"/>
      <c r="Z21" s="34"/>
      <c r="AA21" s="34"/>
    </row>
    <row r="22" spans="1:27">
      <c r="A22" s="214"/>
      <c r="B22" s="209"/>
      <c r="C22" s="6"/>
      <c r="D22" s="209" t="s">
        <v>84</v>
      </c>
      <c r="E22" s="6"/>
      <c r="F22" s="207"/>
      <c r="G22" s="7"/>
      <c r="H22" s="207"/>
      <c r="I22" s="8"/>
      <c r="J22" s="206" t="s">
        <v>29</v>
      </c>
      <c r="K22" s="290"/>
      <c r="L22" s="206" t="s">
        <v>30</v>
      </c>
      <c r="M22" s="206"/>
      <c r="N22" s="365">
        <f>G22*K22</f>
        <v>0</v>
      </c>
      <c r="O22" s="365"/>
      <c r="P22" s="201" t="s">
        <v>83</v>
      </c>
      <c r="Q22" s="25">
        <f>SIN(I22*PI()/180)*N22</f>
        <v>0</v>
      </c>
      <c r="R22" s="25">
        <f>COS(I22*PI()/180)*N22</f>
        <v>0</v>
      </c>
      <c r="S22" s="34"/>
      <c r="T22" s="34"/>
      <c r="U22" s="34"/>
      <c r="V22" s="34"/>
      <c r="W22" s="34"/>
      <c r="X22" s="34"/>
      <c r="Y22" s="34"/>
      <c r="Z22" s="34"/>
      <c r="AA22" s="34"/>
    </row>
    <row r="23" spans="1:27">
      <c r="A23" s="215"/>
      <c r="B23" s="177"/>
      <c r="C23" s="207"/>
      <c r="D23" s="177"/>
      <c r="E23" s="177"/>
      <c r="F23" s="177"/>
      <c r="G23" s="177"/>
      <c r="H23" s="177"/>
      <c r="I23" s="177"/>
      <c r="J23" s="168"/>
      <c r="K23" s="177"/>
      <c r="L23" s="168"/>
      <c r="M23" s="211"/>
      <c r="N23" s="177"/>
      <c r="O23" s="177"/>
      <c r="P23" s="201"/>
      <c r="Q23" s="25"/>
      <c r="R23" s="25"/>
      <c r="S23" s="34"/>
      <c r="T23" s="34"/>
      <c r="U23" s="34"/>
      <c r="V23" s="34"/>
      <c r="W23" s="34"/>
      <c r="X23" s="34"/>
      <c r="Y23" s="34"/>
      <c r="Z23" s="34"/>
      <c r="AA23" s="34"/>
    </row>
    <row r="24" spans="1:27">
      <c r="A24" s="214"/>
      <c r="B24" s="209"/>
      <c r="C24" s="6"/>
      <c r="D24" s="209" t="s">
        <v>84</v>
      </c>
      <c r="E24" s="6"/>
      <c r="F24" s="207"/>
      <c r="G24" s="7"/>
      <c r="H24" s="207"/>
      <c r="I24" s="8"/>
      <c r="J24" s="206" t="s">
        <v>29</v>
      </c>
      <c r="K24" s="290"/>
      <c r="L24" s="206" t="s">
        <v>30</v>
      </c>
      <c r="M24" s="206"/>
      <c r="N24" s="365">
        <f>G24*K24</f>
        <v>0</v>
      </c>
      <c r="O24" s="365"/>
      <c r="P24" s="201" t="s">
        <v>83</v>
      </c>
      <c r="Q24" s="25">
        <f>SIN(I24*PI()/180)*N24</f>
        <v>0</v>
      </c>
      <c r="R24" s="25">
        <f>COS(I24*PI()/180)*N24</f>
        <v>0</v>
      </c>
      <c r="S24" s="34"/>
      <c r="T24" s="34"/>
      <c r="U24" s="34"/>
      <c r="V24" s="34"/>
      <c r="W24" s="34"/>
      <c r="X24" s="34"/>
      <c r="Y24" s="34"/>
      <c r="Z24" s="34"/>
      <c r="AA24" s="34"/>
    </row>
    <row r="25" spans="1:27">
      <c r="A25" s="215"/>
      <c r="B25" s="177"/>
      <c r="C25" s="207"/>
      <c r="D25" s="177"/>
      <c r="E25" s="177"/>
      <c r="F25" s="177"/>
      <c r="G25" s="177"/>
      <c r="H25" s="177"/>
      <c r="I25" s="177"/>
      <c r="J25" s="168"/>
      <c r="K25" s="177"/>
      <c r="L25" s="168"/>
      <c r="M25" s="168"/>
      <c r="N25" s="177"/>
      <c r="O25" s="207"/>
      <c r="P25" s="201"/>
      <c r="Q25" s="25"/>
      <c r="R25" s="25"/>
      <c r="S25" s="34"/>
      <c r="T25" s="34"/>
      <c r="U25" s="34"/>
      <c r="V25" s="34"/>
      <c r="W25" s="34"/>
      <c r="X25" s="34"/>
      <c r="Y25" s="34"/>
      <c r="Z25" s="34"/>
      <c r="AA25" s="34"/>
    </row>
    <row r="26" spans="1:27">
      <c r="A26" s="214"/>
      <c r="B26" s="209"/>
      <c r="C26" s="6"/>
      <c r="D26" s="209" t="s">
        <v>84</v>
      </c>
      <c r="E26" s="6"/>
      <c r="F26" s="207"/>
      <c r="G26" s="7"/>
      <c r="H26" s="207"/>
      <c r="I26" s="8"/>
      <c r="J26" s="206" t="s">
        <v>29</v>
      </c>
      <c r="K26" s="290"/>
      <c r="L26" s="206" t="s">
        <v>30</v>
      </c>
      <c r="M26" s="206"/>
      <c r="N26" s="365">
        <f>G26*K26</f>
        <v>0</v>
      </c>
      <c r="O26" s="365"/>
      <c r="P26" s="201" t="s">
        <v>83</v>
      </c>
      <c r="Q26" s="25">
        <f>SIN(I26*PI()/180)*N26</f>
        <v>0</v>
      </c>
      <c r="R26" s="25">
        <f>COS(I26*PI()/180)*N26</f>
        <v>0</v>
      </c>
      <c r="S26" s="34"/>
      <c r="T26" s="34"/>
      <c r="U26" s="34"/>
      <c r="V26" s="34"/>
      <c r="W26" s="34"/>
      <c r="X26" s="34"/>
      <c r="Y26" s="34"/>
      <c r="Z26" s="34"/>
      <c r="AA26" s="34"/>
    </row>
    <row r="27" spans="1:27">
      <c r="A27" s="216"/>
      <c r="B27" s="210"/>
      <c r="C27" s="177"/>
      <c r="D27" s="177"/>
      <c r="E27" s="177"/>
      <c r="F27" s="177"/>
      <c r="G27" s="177"/>
      <c r="H27" s="177"/>
      <c r="I27" s="177"/>
      <c r="J27" s="168"/>
      <c r="K27" s="177"/>
      <c r="L27" s="168"/>
      <c r="M27" s="168"/>
      <c r="N27" s="177"/>
      <c r="O27" s="177"/>
      <c r="P27" s="201"/>
      <c r="Q27" s="25"/>
      <c r="R27" s="25"/>
      <c r="S27" s="34"/>
      <c r="T27" s="34"/>
      <c r="U27" s="34"/>
      <c r="V27" s="34"/>
      <c r="W27" s="34"/>
      <c r="X27" s="34"/>
      <c r="Y27" s="34"/>
      <c r="Z27" s="34"/>
      <c r="AA27" s="34"/>
    </row>
    <row r="28" spans="1:27">
      <c r="A28" s="214"/>
      <c r="B28" s="209"/>
      <c r="C28" s="6"/>
      <c r="D28" s="209" t="s">
        <v>84</v>
      </c>
      <c r="E28" s="6"/>
      <c r="F28" s="207"/>
      <c r="G28" s="7"/>
      <c r="H28" s="207"/>
      <c r="I28" s="8"/>
      <c r="J28" s="206" t="s">
        <v>29</v>
      </c>
      <c r="K28" s="290"/>
      <c r="L28" s="206" t="s">
        <v>30</v>
      </c>
      <c r="M28" s="206"/>
      <c r="N28" s="365">
        <f>G28*K28</f>
        <v>0</v>
      </c>
      <c r="O28" s="365"/>
      <c r="P28" s="201" t="s">
        <v>83</v>
      </c>
      <c r="Q28" s="25">
        <f>SIN(I28*PI()/180)*N28</f>
        <v>0</v>
      </c>
      <c r="R28" s="25">
        <f>COS(I28*PI()/180)*N28</f>
        <v>0</v>
      </c>
      <c r="S28" s="34"/>
      <c r="T28" s="34"/>
      <c r="U28" s="34"/>
      <c r="V28" s="34"/>
      <c r="W28" s="34"/>
      <c r="X28" s="34"/>
      <c r="Y28" s="34"/>
      <c r="Z28" s="34"/>
      <c r="AA28" s="34"/>
    </row>
    <row r="29" spans="1:27">
      <c r="A29" s="215"/>
      <c r="B29" s="177"/>
      <c r="C29" s="177"/>
      <c r="D29" s="177"/>
      <c r="E29" s="177"/>
      <c r="F29" s="177"/>
      <c r="G29" s="177"/>
      <c r="H29" s="177"/>
      <c r="I29" s="177"/>
      <c r="J29" s="168"/>
      <c r="K29" s="177"/>
      <c r="L29" s="168"/>
      <c r="M29" s="168"/>
      <c r="N29" s="177"/>
      <c r="O29" s="177"/>
      <c r="P29" s="201"/>
      <c r="Q29" s="25"/>
      <c r="R29" s="25"/>
      <c r="S29" s="34"/>
      <c r="T29" s="34"/>
      <c r="U29" s="34"/>
      <c r="V29" s="34"/>
      <c r="W29" s="34"/>
      <c r="X29" s="34"/>
      <c r="Y29" s="34"/>
      <c r="Z29" s="34"/>
      <c r="AA29" s="34"/>
    </row>
    <row r="30" spans="1:27">
      <c r="A30" s="214"/>
      <c r="B30" s="209"/>
      <c r="C30" s="6"/>
      <c r="D30" s="209" t="s">
        <v>84</v>
      </c>
      <c r="E30" s="6"/>
      <c r="F30" s="207"/>
      <c r="G30" s="7"/>
      <c r="H30" s="207"/>
      <c r="I30" s="8"/>
      <c r="J30" s="206" t="s">
        <v>29</v>
      </c>
      <c r="K30" s="290"/>
      <c r="L30" s="206" t="s">
        <v>30</v>
      </c>
      <c r="M30" s="206"/>
      <c r="N30" s="365">
        <f>G30*K30</f>
        <v>0</v>
      </c>
      <c r="O30" s="365"/>
      <c r="P30" s="201" t="s">
        <v>83</v>
      </c>
      <c r="Q30" s="25">
        <f>SIN(I30*PI()/180)*N30</f>
        <v>0</v>
      </c>
      <c r="R30" s="25">
        <f>COS(I30*PI()/180)*N30</f>
        <v>0</v>
      </c>
      <c r="S30" s="34"/>
      <c r="T30" s="34"/>
      <c r="U30" s="34"/>
      <c r="V30" s="34"/>
      <c r="W30" s="34"/>
      <c r="X30" s="34"/>
      <c r="Y30" s="34"/>
      <c r="Z30" s="34"/>
      <c r="AA30" s="34"/>
    </row>
    <row r="31" spans="1:27">
      <c r="A31" s="215"/>
      <c r="B31" s="177"/>
      <c r="C31" s="177"/>
      <c r="D31" s="177"/>
      <c r="E31" s="177"/>
      <c r="F31" s="177"/>
      <c r="G31" s="177"/>
      <c r="H31" s="177"/>
      <c r="I31" s="177"/>
      <c r="J31" s="168"/>
      <c r="K31" s="177"/>
      <c r="L31" s="168"/>
      <c r="M31" s="168"/>
      <c r="N31" s="177"/>
      <c r="O31" s="177"/>
      <c r="P31" s="201"/>
      <c r="Q31" s="25"/>
      <c r="R31" s="25"/>
      <c r="S31" s="34"/>
      <c r="T31" s="34"/>
      <c r="U31" s="34"/>
      <c r="V31" s="34"/>
      <c r="W31" s="34"/>
      <c r="X31" s="34"/>
      <c r="Y31" s="34"/>
      <c r="Z31" s="34"/>
      <c r="AA31" s="34"/>
    </row>
    <row r="32" spans="1:27">
      <c r="A32" s="214"/>
      <c r="B32" s="209"/>
      <c r="C32" s="6"/>
      <c r="D32" s="209" t="s">
        <v>84</v>
      </c>
      <c r="E32" s="6"/>
      <c r="F32" s="207"/>
      <c r="G32" s="7"/>
      <c r="H32" s="207"/>
      <c r="I32" s="8"/>
      <c r="J32" s="206" t="s">
        <v>29</v>
      </c>
      <c r="K32" s="290"/>
      <c r="L32" s="206" t="s">
        <v>30</v>
      </c>
      <c r="M32" s="206"/>
      <c r="N32" s="365">
        <f>G32*K32</f>
        <v>0</v>
      </c>
      <c r="O32" s="365"/>
      <c r="P32" s="201" t="s">
        <v>83</v>
      </c>
      <c r="Q32" s="25">
        <f>SIN(I32*PI()/180)*N32</f>
        <v>0</v>
      </c>
      <c r="R32" s="25">
        <f>COS(I32*PI()/180)*N32</f>
        <v>0</v>
      </c>
      <c r="S32" s="34"/>
      <c r="T32" s="34"/>
      <c r="U32" s="34"/>
      <c r="V32" s="34"/>
      <c r="W32" s="34"/>
      <c r="X32" s="34"/>
      <c r="Y32" s="34"/>
      <c r="Z32" s="34"/>
      <c r="AA32" s="34"/>
    </row>
    <row r="33" spans="1:27">
      <c r="A33" s="193"/>
      <c r="B33" s="168"/>
      <c r="C33" s="168"/>
      <c r="D33" s="168"/>
      <c r="E33" s="168"/>
      <c r="F33" s="168"/>
      <c r="G33" s="168"/>
      <c r="H33" s="168"/>
      <c r="I33" s="168"/>
      <c r="J33" s="168"/>
      <c r="K33" s="168"/>
      <c r="L33" s="168"/>
      <c r="M33" s="168"/>
      <c r="N33" s="168"/>
      <c r="O33" s="168"/>
      <c r="P33" s="201"/>
      <c r="Q33" s="25"/>
      <c r="R33" s="25"/>
      <c r="S33" s="34"/>
      <c r="T33" s="34"/>
      <c r="U33" s="34"/>
      <c r="V33" s="34"/>
      <c r="W33" s="34"/>
      <c r="X33" s="34"/>
      <c r="Y33" s="34"/>
      <c r="Z33" s="34"/>
      <c r="AA33" s="34"/>
    </row>
    <row r="34" spans="1:27">
      <c r="A34" s="194"/>
      <c r="B34" s="169"/>
      <c r="C34" s="168"/>
      <c r="D34" s="168"/>
      <c r="E34" s="168"/>
      <c r="F34" s="168"/>
      <c r="G34" s="168"/>
      <c r="H34" s="168"/>
      <c r="I34" s="168"/>
      <c r="J34" s="168"/>
      <c r="K34" s="168"/>
      <c r="L34" s="168"/>
      <c r="M34" s="168"/>
      <c r="N34" s="168"/>
      <c r="O34" s="168"/>
      <c r="P34" s="201"/>
      <c r="Q34" s="35" t="s">
        <v>316</v>
      </c>
      <c r="R34" s="25">
        <f>SUM(Q32,Q30,Q28,Q26,Q24,Q22,Q20,Q18)</f>
        <v>0</v>
      </c>
      <c r="S34" s="34"/>
      <c r="T34" s="34"/>
      <c r="U34" s="34"/>
      <c r="V34" s="34"/>
      <c r="W34" s="34"/>
      <c r="X34" s="34"/>
      <c r="Y34" s="34"/>
      <c r="Z34" s="34"/>
      <c r="AA34" s="34"/>
    </row>
    <row r="35" spans="1:27">
      <c r="A35" s="193"/>
      <c r="B35" s="206" t="s">
        <v>85</v>
      </c>
      <c r="C35" s="206"/>
      <c r="D35" s="168"/>
      <c r="E35" s="145">
        <f>G18+G20+G22+G24+G26+G28+G30+G32</f>
        <v>0</v>
      </c>
      <c r="F35" s="168"/>
      <c r="G35" s="206" t="s">
        <v>87</v>
      </c>
      <c r="H35" s="168"/>
      <c r="I35" s="168"/>
      <c r="J35" s="312">
        <f>IFERROR((ROUND(IF(R34&lt;0,IF(R35&lt;0,R36+180,R36+360),IF(R35&lt;0,R36+180,R36)),0)),0)</f>
        <v>0</v>
      </c>
      <c r="K35" s="312"/>
      <c r="L35" s="168" t="s">
        <v>29</v>
      </c>
      <c r="M35" s="145">
        <f>ROUND(SQRT((R34^2)+(R35^2)),1)</f>
        <v>0</v>
      </c>
      <c r="N35" s="206" t="s">
        <v>30</v>
      </c>
      <c r="O35" s="168"/>
      <c r="P35" s="201"/>
      <c r="Q35" s="35" t="s">
        <v>317</v>
      </c>
      <c r="R35" s="25">
        <f>SUM(R32,R30,R28,R26,R24,R22,R20,R18)</f>
        <v>0</v>
      </c>
      <c r="S35" s="34"/>
      <c r="T35" s="34"/>
      <c r="U35" s="34"/>
      <c r="V35" s="34"/>
      <c r="W35" s="34"/>
      <c r="X35" s="34"/>
      <c r="Y35" s="34"/>
      <c r="Z35" s="34"/>
      <c r="AA35" s="34"/>
    </row>
    <row r="36" spans="1:27">
      <c r="A36" s="193"/>
      <c r="B36" s="206" t="s">
        <v>77</v>
      </c>
      <c r="C36" s="206"/>
      <c r="D36" s="168"/>
      <c r="E36" s="177" t="s">
        <v>86</v>
      </c>
      <c r="F36" s="168"/>
      <c r="G36" s="206" t="s">
        <v>88</v>
      </c>
      <c r="H36" s="168"/>
      <c r="I36" s="168"/>
      <c r="J36" s="174" t="s">
        <v>89</v>
      </c>
      <c r="K36" s="168"/>
      <c r="L36" s="168"/>
      <c r="M36" s="177" t="s">
        <v>90</v>
      </c>
      <c r="N36" s="168"/>
      <c r="O36" s="168"/>
      <c r="P36" s="201"/>
      <c r="Q36" s="34"/>
      <c r="R36" s="29" t="e">
        <f>ATAN(R34/R35)*180/PI()</f>
        <v>#DIV/0!</v>
      </c>
      <c r="S36" s="34"/>
      <c r="T36" s="34"/>
      <c r="U36" s="34"/>
      <c r="V36" s="34"/>
      <c r="W36" s="34"/>
      <c r="X36" s="34"/>
      <c r="Y36" s="34"/>
      <c r="Z36" s="34"/>
      <c r="AA36" s="34"/>
    </row>
    <row r="37" spans="1:27">
      <c r="A37" s="193"/>
      <c r="B37" s="172"/>
      <c r="C37" s="206"/>
      <c r="D37" s="168"/>
      <c r="E37" s="168"/>
      <c r="F37" s="168"/>
      <c r="G37" s="206"/>
      <c r="H37" s="168"/>
      <c r="I37" s="168"/>
      <c r="J37" s="168"/>
      <c r="K37" s="168"/>
      <c r="L37" s="168"/>
      <c r="M37" s="177"/>
      <c r="N37" s="168"/>
      <c r="O37" s="206"/>
      <c r="P37" s="201"/>
      <c r="Q37" s="30"/>
      <c r="R37" s="30"/>
      <c r="S37" s="34"/>
      <c r="T37" s="34"/>
      <c r="U37" s="34"/>
      <c r="V37" s="34"/>
      <c r="W37" s="34"/>
      <c r="X37" s="34"/>
      <c r="Y37" s="34"/>
      <c r="Z37" s="34"/>
      <c r="AA37" s="34"/>
    </row>
    <row r="38" spans="1:27">
      <c r="A38" s="193"/>
      <c r="B38" s="172">
        <v>2</v>
      </c>
      <c r="C38" s="206" t="s">
        <v>26</v>
      </c>
      <c r="D38" s="168"/>
      <c r="E38" s="168"/>
      <c r="F38" s="168"/>
      <c r="G38" s="168"/>
      <c r="H38" s="168"/>
      <c r="I38" s="168"/>
      <c r="J38" s="312">
        <f>J35</f>
        <v>0</v>
      </c>
      <c r="K38" s="312"/>
      <c r="L38" s="168" t="s">
        <v>29</v>
      </c>
      <c r="M38" s="362">
        <f>IFERROR((M35/E35),0)</f>
        <v>0</v>
      </c>
      <c r="N38" s="362" t="s">
        <v>30</v>
      </c>
      <c r="O38" s="168"/>
      <c r="P38" s="201"/>
      <c r="Q38" s="34"/>
      <c r="R38" s="30"/>
      <c r="S38" s="37"/>
      <c r="T38" s="34"/>
      <c r="U38" s="34"/>
      <c r="V38" s="34"/>
      <c r="W38" s="34"/>
      <c r="X38" s="34"/>
      <c r="Y38" s="34"/>
      <c r="Z38" s="34"/>
      <c r="AA38" s="34"/>
    </row>
    <row r="39" spans="1:27">
      <c r="A39" s="193"/>
      <c r="B39" s="172"/>
      <c r="C39" s="206" t="s">
        <v>91</v>
      </c>
      <c r="D39" s="168"/>
      <c r="E39" s="168"/>
      <c r="F39" s="168"/>
      <c r="G39" s="168"/>
      <c r="H39" s="168"/>
      <c r="I39" s="168"/>
      <c r="J39" s="168"/>
      <c r="K39" s="168"/>
      <c r="L39" s="168"/>
      <c r="M39" s="168"/>
      <c r="N39" s="168"/>
      <c r="O39" s="206"/>
      <c r="P39" s="201"/>
      <c r="Q39" s="31"/>
      <c r="R39" s="30"/>
      <c r="S39" s="34"/>
      <c r="T39" s="34"/>
      <c r="U39" s="34"/>
      <c r="V39" s="34"/>
      <c r="W39" s="34"/>
      <c r="X39" s="34"/>
      <c r="Y39" s="34"/>
      <c r="Z39" s="34"/>
      <c r="AA39" s="34"/>
    </row>
    <row r="40" spans="1:27" ht="13.8" thickBot="1">
      <c r="A40" s="193"/>
      <c r="B40" s="168"/>
      <c r="C40" s="168"/>
      <c r="D40" s="168"/>
      <c r="E40" s="168"/>
      <c r="F40" s="168"/>
      <c r="G40" s="168"/>
      <c r="H40" s="168"/>
      <c r="I40" s="168"/>
      <c r="J40" s="168"/>
      <c r="K40" s="168"/>
      <c r="L40" s="168"/>
      <c r="M40" s="168"/>
      <c r="N40" s="168"/>
      <c r="O40" s="168"/>
      <c r="P40" s="201"/>
      <c r="Q40" s="366"/>
      <c r="R40" s="366"/>
      <c r="S40" s="34"/>
      <c r="T40" s="30"/>
      <c r="U40" s="34"/>
      <c r="V40" s="34"/>
      <c r="W40" s="34"/>
      <c r="X40" s="34"/>
      <c r="Y40" s="34"/>
      <c r="Z40" s="34"/>
      <c r="AA40" s="34"/>
    </row>
    <row r="41" spans="1:27" ht="13.8" thickBot="1">
      <c r="A41" s="186" t="s">
        <v>20</v>
      </c>
      <c r="B41" s="187" t="s">
        <v>92</v>
      </c>
      <c r="C41" s="189"/>
      <c r="D41" s="189"/>
      <c r="E41" s="189"/>
      <c r="F41" s="189"/>
      <c r="G41" s="189"/>
      <c r="H41" s="190"/>
      <c r="I41" s="168"/>
      <c r="J41" s="168"/>
      <c r="K41" s="168"/>
      <c r="L41" s="168"/>
      <c r="M41" s="168"/>
      <c r="N41" s="168"/>
      <c r="O41" s="168"/>
      <c r="P41" s="201"/>
      <c r="Q41" s="36"/>
      <c r="R41" s="30"/>
      <c r="S41" s="30"/>
      <c r="T41" s="34"/>
      <c r="U41" s="34"/>
      <c r="V41" s="34"/>
      <c r="W41" s="34"/>
      <c r="X41" s="34"/>
      <c r="Y41" s="34"/>
      <c r="Z41" s="34"/>
      <c r="AA41" s="34"/>
    </row>
    <row r="42" spans="1:27">
      <c r="A42" s="193"/>
      <c r="B42" s="168"/>
      <c r="C42" s="168"/>
      <c r="D42" s="168"/>
      <c r="E42" s="168"/>
      <c r="F42" s="168"/>
      <c r="G42" s="168"/>
      <c r="H42" s="168"/>
      <c r="I42" s="168"/>
      <c r="J42" s="168"/>
      <c r="K42" s="168"/>
      <c r="L42" s="168"/>
      <c r="M42" s="168"/>
      <c r="N42" s="168"/>
      <c r="O42" s="168"/>
      <c r="P42" s="201"/>
      <c r="Q42" s="34"/>
      <c r="R42" s="34"/>
      <c r="S42" s="34"/>
      <c r="T42" s="34"/>
      <c r="U42" s="34"/>
      <c r="V42" s="34"/>
      <c r="W42" s="34"/>
      <c r="X42" s="34"/>
      <c r="Y42" s="34"/>
      <c r="Z42" s="34"/>
      <c r="AA42" s="34"/>
    </row>
    <row r="43" spans="1:27">
      <c r="A43" s="193"/>
      <c r="B43" s="172">
        <v>1</v>
      </c>
      <c r="C43" s="206" t="s">
        <v>95</v>
      </c>
      <c r="D43" s="168"/>
      <c r="E43" s="168"/>
      <c r="F43" s="168"/>
      <c r="G43" s="168"/>
      <c r="H43" s="168"/>
      <c r="I43" s="168"/>
      <c r="J43" s="168"/>
      <c r="K43" s="168"/>
      <c r="L43" s="168"/>
      <c r="M43" s="10"/>
      <c r="N43" s="206" t="s">
        <v>30</v>
      </c>
      <c r="O43" s="206"/>
      <c r="P43" s="201"/>
      <c r="Q43" s="25"/>
      <c r="R43" s="34"/>
      <c r="S43" s="34"/>
      <c r="T43" s="34"/>
      <c r="U43" s="34"/>
      <c r="V43" s="34"/>
      <c r="W43" s="34"/>
      <c r="X43" s="34"/>
      <c r="Y43" s="34"/>
      <c r="Z43" s="34"/>
      <c r="AA43" s="34"/>
    </row>
    <row r="44" spans="1:27">
      <c r="A44" s="193"/>
      <c r="B44" s="168"/>
      <c r="C44" s="168"/>
      <c r="D44" s="168"/>
      <c r="E44" s="168"/>
      <c r="F44" s="168"/>
      <c r="G44" s="168"/>
      <c r="H44" s="168"/>
      <c r="I44" s="168"/>
      <c r="J44" s="168"/>
      <c r="K44" s="168"/>
      <c r="L44" s="168"/>
      <c r="M44" s="168"/>
      <c r="N44" s="168"/>
      <c r="O44" s="168"/>
      <c r="P44" s="201"/>
      <c r="Q44" s="25"/>
      <c r="R44" s="34"/>
      <c r="S44" s="34"/>
      <c r="T44" s="34"/>
      <c r="U44" s="34"/>
      <c r="V44" s="34"/>
      <c r="W44" s="34"/>
      <c r="X44" s="34"/>
      <c r="Y44" s="34"/>
      <c r="Z44" s="34"/>
      <c r="AA44" s="34"/>
    </row>
    <row r="45" spans="1:27">
      <c r="A45" s="193"/>
      <c r="B45" s="172">
        <v>2</v>
      </c>
      <c r="C45" s="206" t="s">
        <v>93</v>
      </c>
      <c r="D45" s="168"/>
      <c r="E45" s="168"/>
      <c r="F45" s="168"/>
      <c r="G45" s="168"/>
      <c r="H45" s="168"/>
      <c r="I45" s="168"/>
      <c r="J45" s="168"/>
      <c r="K45" s="168"/>
      <c r="L45" s="168"/>
      <c r="M45" s="10"/>
      <c r="N45" s="206" t="s">
        <v>30</v>
      </c>
      <c r="O45" s="206"/>
      <c r="P45" s="201"/>
      <c r="Q45" s="25"/>
      <c r="R45" s="34"/>
      <c r="S45" s="34"/>
      <c r="T45" s="34"/>
      <c r="U45" s="34"/>
      <c r="V45" s="34"/>
      <c r="W45" s="34"/>
      <c r="X45" s="34"/>
      <c r="Y45" s="34"/>
      <c r="Z45" s="34"/>
      <c r="AA45" s="34"/>
    </row>
    <row r="46" spans="1:27">
      <c r="A46" s="193"/>
      <c r="B46" s="168"/>
      <c r="C46" s="206" t="s">
        <v>94</v>
      </c>
      <c r="D46" s="168"/>
      <c r="E46" s="168"/>
      <c r="F46" s="168"/>
      <c r="G46" s="168"/>
      <c r="H46" s="168"/>
      <c r="I46" s="168"/>
      <c r="J46" s="168"/>
      <c r="K46" s="168"/>
      <c r="L46" s="168"/>
      <c r="M46" s="212"/>
      <c r="N46" s="168"/>
      <c r="O46" s="168"/>
      <c r="P46" s="201"/>
      <c r="Q46" s="25"/>
      <c r="R46" s="34"/>
      <c r="S46" s="34"/>
      <c r="T46" s="34"/>
      <c r="U46" s="34"/>
      <c r="V46" s="34"/>
      <c r="W46" s="34"/>
      <c r="X46" s="34"/>
      <c r="Y46" s="34"/>
      <c r="Z46" s="34"/>
      <c r="AA46" s="34"/>
    </row>
    <row r="47" spans="1:27">
      <c r="A47" s="193"/>
      <c r="B47" s="172"/>
      <c r="C47" s="206"/>
      <c r="D47" s="168"/>
      <c r="E47" s="168"/>
      <c r="F47" s="168"/>
      <c r="G47" s="168"/>
      <c r="H47" s="168"/>
      <c r="I47" s="168"/>
      <c r="J47" s="168"/>
      <c r="K47" s="168"/>
      <c r="L47" s="168"/>
      <c r="M47" s="168"/>
      <c r="N47" s="168"/>
      <c r="O47" s="206"/>
      <c r="P47" s="201"/>
      <c r="Q47" s="34"/>
      <c r="R47" s="34"/>
      <c r="S47" s="34"/>
      <c r="T47" s="34"/>
      <c r="U47" s="34"/>
      <c r="V47" s="34"/>
      <c r="W47" s="34"/>
      <c r="X47" s="34"/>
      <c r="Y47" s="34"/>
      <c r="Z47" s="34"/>
      <c r="AA47" s="34"/>
    </row>
    <row r="48" spans="1:27">
      <c r="A48" s="193" t="s">
        <v>96</v>
      </c>
      <c r="B48" s="168"/>
      <c r="C48" s="168"/>
      <c r="D48" s="168"/>
      <c r="E48" s="168"/>
      <c r="F48" s="168"/>
      <c r="G48" s="168"/>
      <c r="H48" s="168"/>
      <c r="I48" s="168"/>
      <c r="J48" s="168"/>
      <c r="K48" s="168"/>
      <c r="L48" s="168"/>
      <c r="M48" s="168"/>
      <c r="N48" s="168"/>
      <c r="O48" s="168"/>
      <c r="P48" s="201"/>
      <c r="Q48" s="34"/>
      <c r="R48" s="34"/>
      <c r="S48" s="34"/>
      <c r="T48" s="34"/>
      <c r="U48" s="34"/>
      <c r="V48" s="34"/>
      <c r="W48" s="34"/>
      <c r="X48" s="34"/>
      <c r="Y48" s="34"/>
      <c r="Z48" s="34"/>
      <c r="AA48" s="34"/>
    </row>
    <row r="49" spans="1:27" ht="13.8" thickBot="1">
      <c r="A49" s="198"/>
      <c r="B49" s="199"/>
      <c r="C49" s="199"/>
      <c r="D49" s="199"/>
      <c r="E49" s="199"/>
      <c r="F49" s="199"/>
      <c r="G49" s="199"/>
      <c r="H49" s="199"/>
      <c r="I49" s="199"/>
      <c r="J49" s="199"/>
      <c r="K49" s="199"/>
      <c r="L49" s="199"/>
      <c r="M49" s="199"/>
      <c r="N49" s="199"/>
      <c r="O49" s="199"/>
      <c r="P49" s="205"/>
      <c r="Q49" s="45" t="s">
        <v>337</v>
      </c>
      <c r="R49" s="34"/>
      <c r="S49" s="34"/>
      <c r="T49" s="34"/>
      <c r="U49" s="34"/>
      <c r="V49" s="34"/>
      <c r="W49" s="34"/>
      <c r="X49" s="34"/>
      <c r="Y49" s="34"/>
      <c r="Z49" s="34"/>
      <c r="AA49" s="34"/>
    </row>
    <row r="50" spans="1:27" ht="13.8" thickTop="1">
      <c r="A50" s="20"/>
      <c r="B50" s="20"/>
      <c r="C50" s="20"/>
      <c r="D50" s="20"/>
      <c r="E50" s="20"/>
      <c r="F50" s="20"/>
      <c r="G50" s="20"/>
      <c r="H50" s="20"/>
      <c r="I50" s="20"/>
      <c r="J50" s="20"/>
      <c r="K50" s="20"/>
      <c r="L50" s="20"/>
      <c r="M50" s="20"/>
      <c r="N50" s="20"/>
      <c r="O50" s="20"/>
      <c r="P50" s="20"/>
      <c r="Q50" s="34"/>
      <c r="R50" s="34"/>
      <c r="S50" s="34"/>
      <c r="T50" s="34"/>
      <c r="U50" s="34"/>
      <c r="V50" s="34"/>
      <c r="W50" s="34"/>
      <c r="X50" s="34"/>
      <c r="Y50" s="34"/>
      <c r="Z50" s="34"/>
      <c r="AA50" s="34"/>
    </row>
    <row r="51" spans="1:27">
      <c r="A51" s="20"/>
      <c r="B51" s="20"/>
      <c r="C51" s="20"/>
      <c r="D51" s="20"/>
      <c r="E51" s="20"/>
      <c r="F51" s="20"/>
      <c r="G51" s="20"/>
      <c r="H51" s="20"/>
      <c r="I51" s="20"/>
      <c r="J51" s="20"/>
      <c r="K51" s="20"/>
      <c r="L51" s="20"/>
      <c r="M51" s="20"/>
      <c r="N51" s="20"/>
      <c r="O51" s="20"/>
      <c r="P51" s="20"/>
      <c r="Q51" s="34"/>
      <c r="R51" s="34"/>
      <c r="S51" s="34"/>
      <c r="T51" s="34"/>
      <c r="U51" s="34"/>
      <c r="V51" s="34"/>
      <c r="W51" s="34"/>
      <c r="X51" s="34"/>
      <c r="Y51" s="34"/>
      <c r="Z51" s="34"/>
      <c r="AA51" s="34"/>
    </row>
    <row r="52" spans="1:27">
      <c r="A52" s="20"/>
      <c r="B52" s="20"/>
      <c r="C52" s="20"/>
      <c r="D52" s="20"/>
      <c r="E52" s="20"/>
      <c r="F52" s="20"/>
      <c r="G52" s="20"/>
      <c r="H52" s="20"/>
      <c r="I52" s="20"/>
      <c r="J52" s="20"/>
      <c r="K52" s="20"/>
      <c r="L52" s="20"/>
      <c r="M52" s="20"/>
      <c r="N52" s="20"/>
      <c r="O52" s="20"/>
      <c r="P52" s="20"/>
      <c r="Q52" s="34"/>
      <c r="R52" s="34"/>
      <c r="S52" s="34"/>
      <c r="T52" s="34"/>
      <c r="U52" s="34"/>
      <c r="V52" s="34"/>
      <c r="W52" s="34"/>
      <c r="X52" s="34"/>
      <c r="Y52" s="34"/>
      <c r="Z52" s="34"/>
      <c r="AA52" s="34"/>
    </row>
    <row r="53" spans="1:27">
      <c r="A53" s="20"/>
      <c r="B53" s="20"/>
      <c r="C53" s="20"/>
      <c r="D53" s="20"/>
      <c r="E53" s="20"/>
      <c r="F53" s="20"/>
      <c r="G53" s="20"/>
      <c r="H53" s="20"/>
      <c r="I53" s="20"/>
      <c r="J53" s="20"/>
      <c r="K53" s="20"/>
      <c r="L53" s="20"/>
      <c r="M53" s="20"/>
      <c r="N53" s="20"/>
      <c r="O53" s="20"/>
      <c r="P53" s="20"/>
      <c r="Q53" s="34"/>
      <c r="R53" s="34"/>
      <c r="S53" s="34"/>
      <c r="T53" s="34"/>
      <c r="U53" s="34"/>
      <c r="V53" s="34"/>
      <c r="W53" s="34"/>
      <c r="X53" s="34"/>
      <c r="Y53" s="34"/>
      <c r="Z53" s="34"/>
      <c r="AA53" s="34"/>
    </row>
    <row r="54" spans="1:27">
      <c r="A54" s="20"/>
      <c r="B54" s="20"/>
      <c r="C54" s="20"/>
      <c r="D54" s="20"/>
      <c r="E54" s="20"/>
      <c r="F54" s="20"/>
      <c r="G54" s="20"/>
      <c r="H54" s="20"/>
      <c r="I54" s="20"/>
      <c r="J54" s="20"/>
      <c r="K54" s="20"/>
      <c r="L54" s="20"/>
      <c r="M54" s="20"/>
      <c r="N54" s="20"/>
      <c r="O54" s="20"/>
      <c r="P54" s="20"/>
      <c r="Q54" s="34"/>
      <c r="R54" s="34"/>
      <c r="S54" s="34"/>
      <c r="T54" s="34"/>
      <c r="U54" s="34"/>
      <c r="V54" s="34"/>
      <c r="W54" s="34"/>
      <c r="X54" s="34"/>
      <c r="Y54" s="34"/>
      <c r="Z54" s="34"/>
      <c r="AA54" s="34"/>
    </row>
    <row r="55" spans="1:27">
      <c r="A55" s="20"/>
      <c r="B55" s="20"/>
      <c r="C55" s="20"/>
      <c r="D55" s="20"/>
      <c r="E55" s="20"/>
      <c r="F55" s="20"/>
      <c r="G55" s="20"/>
      <c r="H55" s="20"/>
      <c r="I55" s="20"/>
      <c r="J55" s="20"/>
      <c r="K55" s="20"/>
      <c r="L55" s="20"/>
      <c r="M55" s="20"/>
      <c r="N55" s="20"/>
      <c r="O55" s="20"/>
      <c r="P55" s="20"/>
      <c r="Q55" s="34"/>
      <c r="R55" s="34"/>
      <c r="S55" s="34"/>
      <c r="T55" s="34"/>
      <c r="U55" s="34"/>
      <c r="V55" s="34"/>
      <c r="W55" s="34"/>
      <c r="X55" s="34"/>
      <c r="Y55" s="34"/>
      <c r="Z55" s="34"/>
      <c r="AA55" s="34"/>
    </row>
    <row r="56" spans="1:27">
      <c r="A56" s="20"/>
      <c r="B56" s="20"/>
      <c r="C56" s="20"/>
      <c r="D56" s="20"/>
      <c r="E56" s="20"/>
      <c r="F56" s="20"/>
      <c r="G56" s="20"/>
      <c r="H56" s="20"/>
      <c r="I56" s="20"/>
      <c r="J56" s="20"/>
      <c r="K56" s="20"/>
      <c r="L56" s="20"/>
      <c r="M56" s="20"/>
      <c r="N56" s="20"/>
      <c r="O56" s="20"/>
      <c r="P56" s="20"/>
      <c r="Q56" s="34"/>
      <c r="R56" s="34"/>
      <c r="S56" s="34"/>
      <c r="T56" s="34"/>
      <c r="U56" s="34"/>
      <c r="V56" s="34"/>
      <c r="W56" s="34"/>
      <c r="X56" s="34"/>
      <c r="Y56" s="34"/>
      <c r="Z56" s="34"/>
      <c r="AA56" s="34"/>
    </row>
    <row r="57" spans="1:27">
      <c r="A57" s="20"/>
      <c r="B57" s="20"/>
      <c r="C57" s="20"/>
      <c r="D57" s="20"/>
      <c r="E57" s="20"/>
      <c r="F57" s="20"/>
      <c r="G57" s="20"/>
      <c r="H57" s="20"/>
      <c r="I57" s="20"/>
      <c r="J57" s="20"/>
      <c r="K57" s="20"/>
      <c r="L57" s="20"/>
      <c r="M57" s="20"/>
      <c r="N57" s="20"/>
      <c r="O57" s="20"/>
      <c r="P57" s="20"/>
      <c r="Q57" s="34"/>
      <c r="R57" s="34"/>
      <c r="S57" s="34"/>
      <c r="T57" s="34"/>
      <c r="U57" s="34"/>
      <c r="V57" s="34"/>
      <c r="W57" s="34"/>
      <c r="X57" s="34"/>
      <c r="Y57" s="34"/>
      <c r="Z57" s="34"/>
      <c r="AA57" s="34"/>
    </row>
    <row r="58" spans="1:27">
      <c r="A58" s="20"/>
      <c r="B58" s="20"/>
      <c r="C58" s="20"/>
      <c r="D58" s="20"/>
      <c r="E58" s="20"/>
      <c r="F58" s="20"/>
      <c r="G58" s="20"/>
      <c r="H58" s="20"/>
      <c r="I58" s="20"/>
      <c r="J58" s="20"/>
      <c r="K58" s="20"/>
      <c r="L58" s="20"/>
      <c r="M58" s="20"/>
      <c r="N58" s="20"/>
      <c r="O58" s="20"/>
      <c r="P58" s="20"/>
      <c r="Q58" s="34"/>
      <c r="R58" s="34"/>
      <c r="S58" s="34"/>
      <c r="T58" s="34"/>
      <c r="U58" s="34"/>
      <c r="V58" s="34"/>
      <c r="W58" s="34"/>
      <c r="X58" s="34"/>
      <c r="Y58" s="34"/>
      <c r="Z58" s="34"/>
      <c r="AA58" s="34"/>
    </row>
    <row r="59" spans="1:27">
      <c r="A59" s="20"/>
      <c r="B59" s="20"/>
      <c r="C59" s="20"/>
      <c r="D59" s="20"/>
      <c r="E59" s="20"/>
      <c r="F59" s="20"/>
      <c r="G59" s="20"/>
      <c r="H59" s="20"/>
      <c r="I59" s="20"/>
      <c r="J59" s="20"/>
      <c r="K59" s="20"/>
      <c r="L59" s="20"/>
      <c r="M59" s="20"/>
      <c r="N59" s="20"/>
      <c r="O59" s="20"/>
      <c r="P59" s="20"/>
      <c r="Q59" s="34"/>
      <c r="R59" s="34"/>
      <c r="S59" s="34"/>
      <c r="T59" s="34"/>
      <c r="U59" s="34"/>
      <c r="V59" s="34"/>
      <c r="W59" s="34"/>
      <c r="X59" s="34"/>
      <c r="Y59" s="34"/>
      <c r="Z59" s="34"/>
      <c r="AA59" s="34"/>
    </row>
    <row r="60" spans="1:27">
      <c r="A60" s="20"/>
      <c r="B60" s="20"/>
      <c r="C60" s="20"/>
      <c r="D60" s="20"/>
      <c r="E60" s="20"/>
      <c r="F60" s="20"/>
      <c r="G60" s="20"/>
      <c r="H60" s="20"/>
      <c r="I60" s="20"/>
      <c r="J60" s="20"/>
      <c r="K60" s="20"/>
      <c r="L60" s="20"/>
      <c r="M60" s="20"/>
      <c r="N60" s="20"/>
      <c r="O60" s="20"/>
      <c r="P60" s="20"/>
      <c r="Q60" s="34"/>
      <c r="R60" s="34"/>
      <c r="S60" s="34"/>
      <c r="T60" s="34"/>
      <c r="U60" s="34"/>
      <c r="V60" s="34"/>
      <c r="W60" s="34"/>
      <c r="X60" s="34"/>
      <c r="Y60" s="34"/>
      <c r="Z60" s="34"/>
      <c r="AA60" s="34"/>
    </row>
    <row r="61" spans="1:27">
      <c r="A61" s="20"/>
      <c r="B61" s="20"/>
      <c r="C61" s="20"/>
      <c r="D61" s="20"/>
      <c r="E61" s="20"/>
      <c r="F61" s="20"/>
      <c r="G61" s="20"/>
      <c r="H61" s="20"/>
      <c r="I61" s="20"/>
      <c r="J61" s="20"/>
      <c r="K61" s="20"/>
      <c r="L61" s="20"/>
      <c r="M61" s="20"/>
      <c r="N61" s="20"/>
      <c r="O61" s="20"/>
      <c r="P61" s="20"/>
      <c r="Q61" s="34"/>
      <c r="R61" s="34"/>
      <c r="S61" s="34"/>
      <c r="T61" s="34"/>
      <c r="U61" s="34"/>
      <c r="V61" s="34"/>
      <c r="W61" s="34"/>
      <c r="X61" s="34"/>
      <c r="Y61" s="34"/>
      <c r="Z61" s="34"/>
      <c r="AA61" s="34"/>
    </row>
    <row r="62" spans="1:27">
      <c r="A62" s="38"/>
      <c r="B62" s="38"/>
      <c r="C62" s="20"/>
      <c r="D62" s="20"/>
      <c r="E62" s="20"/>
      <c r="F62" s="20"/>
      <c r="G62" s="20"/>
      <c r="H62" s="20"/>
      <c r="I62" s="20"/>
      <c r="J62" s="20"/>
      <c r="K62" s="20"/>
      <c r="L62" s="20"/>
      <c r="M62" s="20"/>
      <c r="N62" s="20"/>
      <c r="O62" s="20"/>
      <c r="P62" s="20"/>
      <c r="Q62" s="34"/>
      <c r="R62" s="34"/>
      <c r="S62" s="34"/>
      <c r="T62" s="34"/>
      <c r="U62" s="34"/>
      <c r="V62" s="34"/>
      <c r="W62" s="34"/>
      <c r="X62" s="34"/>
      <c r="Y62" s="34"/>
      <c r="Z62" s="34"/>
      <c r="AA62" s="34"/>
    </row>
    <row r="63" spans="1:27">
      <c r="A63" s="20"/>
      <c r="B63" s="39"/>
      <c r="C63" s="20"/>
      <c r="D63" s="20"/>
      <c r="E63" s="20"/>
      <c r="F63" s="20"/>
      <c r="G63" s="20"/>
      <c r="H63" s="20"/>
      <c r="I63" s="20"/>
      <c r="J63" s="20"/>
      <c r="K63" s="20"/>
      <c r="L63" s="20"/>
      <c r="M63" s="20"/>
      <c r="N63" s="20"/>
      <c r="O63" s="20"/>
      <c r="P63" s="20"/>
      <c r="Q63" s="34"/>
      <c r="R63" s="34"/>
      <c r="S63" s="34"/>
      <c r="T63" s="34"/>
      <c r="U63" s="34"/>
      <c r="V63" s="34"/>
      <c r="W63" s="34"/>
      <c r="X63" s="34"/>
      <c r="Y63" s="34"/>
      <c r="Z63" s="34"/>
      <c r="AA63" s="34"/>
    </row>
    <row r="64" spans="1:27">
      <c r="A64" s="20"/>
      <c r="B64" s="39"/>
      <c r="C64" s="20"/>
      <c r="D64" s="20"/>
      <c r="E64" s="20"/>
      <c r="F64" s="20"/>
      <c r="G64" s="20"/>
      <c r="H64" s="20"/>
      <c r="I64" s="20"/>
      <c r="J64" s="20"/>
      <c r="K64" s="20"/>
      <c r="L64" s="20"/>
      <c r="M64" s="20"/>
      <c r="N64" s="20"/>
      <c r="O64" s="20"/>
      <c r="P64" s="20"/>
      <c r="Q64" s="34"/>
      <c r="R64" s="34"/>
      <c r="S64" s="34"/>
      <c r="T64" s="34"/>
      <c r="U64" s="34"/>
      <c r="V64" s="34"/>
      <c r="W64" s="34"/>
      <c r="X64" s="34"/>
      <c r="Y64" s="34"/>
      <c r="Z64" s="34"/>
      <c r="AA64" s="34"/>
    </row>
    <row r="65" spans="1:27">
      <c r="A65" s="20"/>
      <c r="B65" s="20"/>
      <c r="C65" s="20"/>
      <c r="D65" s="20"/>
      <c r="E65" s="20"/>
      <c r="F65" s="20"/>
      <c r="G65" s="20"/>
      <c r="H65" s="20"/>
      <c r="I65" s="20"/>
      <c r="J65" s="20"/>
      <c r="K65" s="20"/>
      <c r="L65" s="20"/>
      <c r="M65" s="20"/>
      <c r="N65" s="20"/>
      <c r="O65" s="20"/>
      <c r="P65" s="20"/>
      <c r="Q65" s="34"/>
      <c r="R65" s="34"/>
      <c r="S65" s="34"/>
      <c r="T65" s="34"/>
      <c r="U65" s="34"/>
      <c r="V65" s="34"/>
      <c r="W65" s="34"/>
      <c r="X65" s="34"/>
      <c r="Y65" s="34"/>
      <c r="Z65" s="34"/>
      <c r="AA65" s="34"/>
    </row>
    <row r="66" spans="1:27">
      <c r="A66" s="20"/>
      <c r="B66" s="20"/>
      <c r="C66" s="20"/>
      <c r="D66" s="20"/>
      <c r="E66" s="20"/>
      <c r="F66" s="20"/>
      <c r="G66" s="20"/>
      <c r="H66" s="20"/>
      <c r="I66" s="20"/>
      <c r="J66" s="39"/>
      <c r="K66" s="20"/>
      <c r="L66" s="20"/>
      <c r="M66" s="39"/>
      <c r="N66" s="20"/>
      <c r="O66" s="20"/>
      <c r="P66" s="20"/>
      <c r="Q66" s="34"/>
      <c r="R66" s="34"/>
      <c r="S66" s="34"/>
      <c r="T66" s="34"/>
      <c r="U66" s="34"/>
      <c r="V66" s="34"/>
      <c r="W66" s="34"/>
      <c r="X66" s="34"/>
      <c r="Y66" s="34"/>
      <c r="Z66" s="34"/>
      <c r="AA66" s="34"/>
    </row>
    <row r="67" spans="1:27">
      <c r="A67" s="20"/>
      <c r="B67" s="20"/>
      <c r="C67" s="20"/>
      <c r="D67" s="20"/>
      <c r="E67" s="20"/>
      <c r="F67" s="20"/>
      <c r="G67" s="20"/>
      <c r="H67" s="20"/>
      <c r="I67" s="20"/>
      <c r="J67" s="39"/>
      <c r="K67" s="20"/>
      <c r="L67" s="20"/>
      <c r="M67" s="39"/>
      <c r="N67" s="20"/>
      <c r="O67" s="20"/>
      <c r="P67" s="20"/>
      <c r="Q67" s="34"/>
      <c r="R67" s="34"/>
      <c r="S67" s="34"/>
      <c r="T67" s="34"/>
      <c r="U67" s="34"/>
      <c r="V67" s="34"/>
      <c r="W67" s="34"/>
      <c r="X67" s="34"/>
      <c r="Y67" s="34"/>
      <c r="Z67" s="34"/>
      <c r="AA67" s="34"/>
    </row>
    <row r="68" spans="1:27">
      <c r="A68" s="20"/>
      <c r="B68" s="20"/>
      <c r="C68" s="20"/>
      <c r="D68" s="20"/>
      <c r="E68" s="20"/>
      <c r="F68" s="20"/>
      <c r="G68" s="20"/>
      <c r="H68" s="20"/>
      <c r="I68" s="20"/>
      <c r="J68" s="20"/>
      <c r="K68" s="20"/>
      <c r="L68" s="20"/>
      <c r="M68" s="20"/>
      <c r="N68" s="20"/>
      <c r="O68" s="20"/>
      <c r="P68" s="20"/>
      <c r="Q68" s="34"/>
      <c r="R68" s="34"/>
      <c r="S68" s="34"/>
      <c r="T68" s="34"/>
      <c r="U68" s="34"/>
      <c r="V68" s="34"/>
      <c r="W68" s="34"/>
      <c r="X68" s="34"/>
      <c r="Y68" s="34"/>
      <c r="Z68" s="34"/>
      <c r="AA68" s="34"/>
    </row>
    <row r="69" spans="1:27">
      <c r="A69" s="20"/>
      <c r="B69" s="40"/>
      <c r="C69" s="39"/>
      <c r="D69" s="20"/>
      <c r="E69" s="20"/>
      <c r="F69" s="20"/>
      <c r="G69" s="20"/>
      <c r="H69" s="20"/>
      <c r="I69" s="20"/>
      <c r="J69" s="20"/>
      <c r="K69" s="20"/>
      <c r="L69" s="20"/>
      <c r="M69" s="20"/>
      <c r="N69" s="20"/>
      <c r="O69" s="20"/>
      <c r="P69" s="20"/>
      <c r="Q69" s="34"/>
      <c r="R69" s="34"/>
      <c r="S69" s="34"/>
      <c r="T69" s="34"/>
      <c r="U69" s="34"/>
      <c r="V69" s="34"/>
      <c r="W69" s="34"/>
      <c r="X69" s="34"/>
      <c r="Y69" s="34"/>
      <c r="Z69" s="34"/>
      <c r="AA69" s="34"/>
    </row>
    <row r="70" spans="1:27">
      <c r="A70" s="20"/>
      <c r="B70" s="20"/>
      <c r="C70" s="20"/>
      <c r="D70" s="20"/>
      <c r="E70" s="20"/>
      <c r="F70" s="20"/>
      <c r="G70" s="20"/>
      <c r="H70" s="20"/>
      <c r="I70" s="20"/>
      <c r="J70" s="20"/>
      <c r="K70" s="20"/>
      <c r="L70" s="20"/>
      <c r="M70" s="20"/>
      <c r="N70" s="20"/>
      <c r="O70" s="20"/>
      <c r="P70" s="20"/>
      <c r="Q70" s="34"/>
      <c r="R70" s="34"/>
      <c r="S70" s="34"/>
      <c r="T70" s="34"/>
      <c r="U70" s="34"/>
      <c r="V70" s="34"/>
      <c r="W70" s="34"/>
      <c r="X70" s="34"/>
      <c r="Y70" s="34"/>
      <c r="Z70" s="34"/>
      <c r="AA70" s="34"/>
    </row>
    <row r="71" spans="1:27">
      <c r="A71" s="20"/>
      <c r="B71" s="40"/>
      <c r="C71" s="39"/>
      <c r="D71" s="20"/>
      <c r="E71" s="20"/>
      <c r="F71" s="20"/>
      <c r="G71" s="20"/>
      <c r="H71" s="20"/>
      <c r="I71" s="20"/>
      <c r="J71" s="20"/>
      <c r="K71" s="20"/>
      <c r="L71" s="20"/>
      <c r="M71" s="39"/>
      <c r="N71" s="20"/>
      <c r="O71" s="20"/>
      <c r="P71" s="39"/>
      <c r="Q71" s="34"/>
      <c r="R71" s="34"/>
      <c r="S71" s="34"/>
      <c r="T71" s="34"/>
      <c r="U71" s="34"/>
      <c r="V71" s="34"/>
      <c r="W71" s="34"/>
      <c r="X71" s="34"/>
      <c r="Y71" s="34"/>
      <c r="Z71" s="34"/>
      <c r="AA71" s="34"/>
    </row>
    <row r="72" spans="1:27">
      <c r="A72" s="20"/>
      <c r="B72" s="20"/>
      <c r="C72" s="20"/>
      <c r="D72" s="20"/>
      <c r="E72" s="20"/>
      <c r="F72" s="20"/>
      <c r="G72" s="20"/>
      <c r="H72" s="20"/>
      <c r="I72" s="20"/>
      <c r="J72" s="20"/>
      <c r="K72" s="20"/>
      <c r="L72" s="20"/>
      <c r="M72" s="20"/>
      <c r="N72" s="20"/>
      <c r="O72" s="20"/>
      <c r="P72" s="20"/>
      <c r="Q72" s="34"/>
      <c r="R72" s="34"/>
      <c r="S72" s="34"/>
      <c r="T72" s="34"/>
      <c r="U72" s="34"/>
      <c r="V72" s="34"/>
      <c r="W72" s="34"/>
      <c r="X72" s="34"/>
      <c r="Y72" s="34"/>
      <c r="Z72" s="34"/>
      <c r="AA72" s="34"/>
    </row>
    <row r="73" spans="1:27">
      <c r="A73" s="20"/>
      <c r="B73" s="40"/>
      <c r="C73" s="39"/>
      <c r="D73" s="20"/>
      <c r="E73" s="20"/>
      <c r="F73" s="20"/>
      <c r="G73" s="20"/>
      <c r="H73" s="20"/>
      <c r="I73" s="20"/>
      <c r="J73" s="20"/>
      <c r="K73" s="20"/>
      <c r="L73" s="20"/>
      <c r="M73" s="39"/>
      <c r="N73" s="20"/>
      <c r="O73" s="20"/>
      <c r="P73" s="39"/>
      <c r="Q73" s="34"/>
      <c r="R73" s="34"/>
      <c r="S73" s="34"/>
      <c r="T73" s="34"/>
      <c r="U73" s="34"/>
      <c r="V73" s="34"/>
      <c r="W73" s="34"/>
      <c r="X73" s="34"/>
      <c r="Y73" s="34"/>
      <c r="Z73" s="34"/>
      <c r="AA73" s="34"/>
    </row>
    <row r="74" spans="1:27">
      <c r="A74" s="20"/>
      <c r="B74" s="20"/>
      <c r="C74" s="41"/>
      <c r="D74" s="20"/>
      <c r="E74" s="20"/>
      <c r="F74" s="20"/>
      <c r="G74" s="20"/>
      <c r="H74" s="20"/>
      <c r="I74" s="20"/>
      <c r="J74" s="20"/>
      <c r="K74" s="20"/>
      <c r="L74" s="20"/>
      <c r="M74" s="20"/>
      <c r="N74" s="20"/>
      <c r="O74" s="20"/>
      <c r="P74" s="20"/>
      <c r="Q74" s="34"/>
      <c r="R74" s="34"/>
      <c r="S74" s="34"/>
      <c r="T74" s="34"/>
      <c r="U74" s="34"/>
      <c r="V74" s="34"/>
      <c r="W74" s="34"/>
      <c r="X74" s="34"/>
      <c r="Y74" s="34"/>
      <c r="Z74" s="34"/>
      <c r="AA74" s="34"/>
    </row>
    <row r="75" spans="1:27">
      <c r="A75" s="20"/>
      <c r="B75" s="20"/>
      <c r="C75" s="20"/>
      <c r="D75" s="20"/>
      <c r="E75" s="20"/>
      <c r="F75" s="20"/>
      <c r="G75" s="20"/>
      <c r="H75" s="20"/>
      <c r="I75" s="20"/>
      <c r="J75" s="20"/>
      <c r="K75" s="20"/>
      <c r="L75" s="20"/>
      <c r="M75" s="20"/>
      <c r="N75" s="20"/>
      <c r="O75" s="20"/>
      <c r="P75" s="20"/>
      <c r="Q75" s="34"/>
      <c r="R75" s="34"/>
      <c r="S75" s="34"/>
      <c r="T75" s="34"/>
      <c r="U75" s="34"/>
      <c r="V75" s="34"/>
      <c r="W75" s="34"/>
      <c r="X75" s="34"/>
      <c r="Y75" s="34"/>
      <c r="Z75" s="34"/>
      <c r="AA75" s="34"/>
    </row>
    <row r="76" spans="1:27">
      <c r="A76" s="20"/>
      <c r="B76" s="40"/>
      <c r="C76" s="39"/>
      <c r="D76" s="20"/>
      <c r="E76" s="20"/>
      <c r="F76" s="20"/>
      <c r="G76" s="20"/>
      <c r="H76" s="20"/>
      <c r="I76" s="20"/>
      <c r="J76" s="20"/>
      <c r="K76" s="20"/>
      <c r="L76" s="20"/>
      <c r="M76" s="20"/>
      <c r="N76" s="20"/>
      <c r="O76" s="20"/>
      <c r="P76" s="39"/>
      <c r="Q76" s="34"/>
      <c r="R76" s="34"/>
      <c r="S76" s="34"/>
      <c r="T76" s="34"/>
      <c r="U76" s="34"/>
      <c r="V76" s="34"/>
      <c r="W76" s="34"/>
      <c r="X76" s="34"/>
      <c r="Y76" s="34"/>
      <c r="Z76" s="34"/>
      <c r="AA76" s="34"/>
    </row>
    <row r="77" spans="1:27">
      <c r="A77" s="20"/>
      <c r="B77" s="20"/>
      <c r="C77" s="41"/>
      <c r="D77" s="20"/>
      <c r="E77" s="20"/>
      <c r="F77" s="20"/>
      <c r="G77" s="20"/>
      <c r="H77" s="20"/>
      <c r="I77" s="20"/>
      <c r="J77" s="20"/>
      <c r="K77" s="20"/>
      <c r="L77" s="20"/>
      <c r="M77" s="20"/>
      <c r="N77" s="20"/>
      <c r="O77" s="20"/>
      <c r="P77" s="20"/>
      <c r="Q77" s="34"/>
      <c r="R77" s="34"/>
      <c r="S77" s="34"/>
      <c r="T77" s="34"/>
      <c r="U77" s="34"/>
      <c r="V77" s="34"/>
      <c r="W77" s="34"/>
      <c r="X77" s="34"/>
      <c r="Y77" s="34"/>
      <c r="Z77" s="34"/>
      <c r="AA77" s="34"/>
    </row>
    <row r="78" spans="1:27">
      <c r="A78" s="20"/>
      <c r="B78" s="20"/>
      <c r="C78" s="20"/>
      <c r="D78" s="20"/>
      <c r="E78" s="20"/>
      <c r="F78" s="20"/>
      <c r="G78" s="20"/>
      <c r="H78" s="20"/>
      <c r="I78" s="20"/>
      <c r="J78" s="20"/>
      <c r="K78" s="20"/>
      <c r="L78" s="20"/>
      <c r="M78" s="20"/>
      <c r="N78" s="20"/>
      <c r="O78" s="20"/>
      <c r="P78" s="20"/>
      <c r="Q78" s="34"/>
      <c r="R78" s="34"/>
      <c r="S78" s="34"/>
      <c r="T78" s="34"/>
      <c r="U78" s="34"/>
      <c r="V78" s="34"/>
      <c r="W78" s="34"/>
      <c r="X78" s="34"/>
      <c r="Y78" s="34"/>
      <c r="Z78" s="34"/>
      <c r="AA78" s="34"/>
    </row>
    <row r="79" spans="1:27">
      <c r="A79" s="38"/>
      <c r="B79" s="38"/>
      <c r="C79" s="20"/>
      <c r="D79" s="20"/>
      <c r="E79" s="20"/>
      <c r="F79" s="20"/>
      <c r="G79" s="20"/>
      <c r="H79" s="20"/>
      <c r="I79" s="20"/>
      <c r="J79" s="20"/>
      <c r="K79" s="20"/>
      <c r="L79" s="20"/>
      <c r="M79" s="20"/>
      <c r="N79" s="20"/>
      <c r="O79" s="20"/>
      <c r="P79" s="20"/>
      <c r="Q79" s="34"/>
      <c r="R79" s="34"/>
      <c r="S79" s="34"/>
      <c r="T79" s="34"/>
      <c r="U79" s="34"/>
      <c r="V79" s="34"/>
      <c r="W79" s="34"/>
      <c r="X79" s="34"/>
      <c r="Y79" s="34"/>
      <c r="Z79" s="34"/>
      <c r="AA79" s="34"/>
    </row>
    <row r="80" spans="1:27">
      <c r="A80" s="20"/>
      <c r="B80" s="20"/>
      <c r="C80" s="42"/>
      <c r="D80" s="20"/>
      <c r="E80" s="20"/>
      <c r="F80" s="20"/>
      <c r="G80" s="20"/>
      <c r="H80" s="20"/>
      <c r="I80" s="20"/>
      <c r="J80" s="20"/>
      <c r="K80" s="20"/>
      <c r="L80" s="20"/>
      <c r="M80" s="20"/>
      <c r="N80" s="20"/>
      <c r="O80" s="20"/>
      <c r="P80" s="20"/>
      <c r="Q80" s="34"/>
      <c r="R80" s="34"/>
      <c r="S80" s="34"/>
      <c r="T80" s="34"/>
      <c r="U80" s="34"/>
      <c r="V80" s="34"/>
      <c r="W80" s="34"/>
      <c r="X80" s="34"/>
      <c r="Y80" s="34"/>
      <c r="Z80" s="34"/>
      <c r="AA80" s="34"/>
    </row>
    <row r="81" spans="1:27">
      <c r="A81" s="20"/>
      <c r="B81" s="20"/>
      <c r="C81" s="39"/>
      <c r="D81" s="20"/>
      <c r="E81" s="20"/>
      <c r="F81" s="20"/>
      <c r="G81" s="20"/>
      <c r="H81" s="20"/>
      <c r="I81" s="20"/>
      <c r="J81" s="20"/>
      <c r="K81" s="20"/>
      <c r="L81" s="20"/>
      <c r="M81" s="20"/>
      <c r="N81" s="20"/>
      <c r="O81" s="20"/>
      <c r="P81" s="20"/>
      <c r="Q81" s="34"/>
      <c r="R81" s="34"/>
      <c r="S81" s="34"/>
      <c r="T81" s="34"/>
      <c r="U81" s="34"/>
      <c r="V81" s="34"/>
      <c r="W81" s="34"/>
      <c r="X81" s="34"/>
      <c r="Y81" s="34"/>
      <c r="Z81" s="34"/>
      <c r="AA81" s="34"/>
    </row>
    <row r="82" spans="1:27">
      <c r="A82" s="20"/>
      <c r="B82" s="20"/>
      <c r="C82" s="20"/>
      <c r="D82" s="20"/>
      <c r="E82" s="20"/>
      <c r="F82" s="20"/>
      <c r="G82" s="20"/>
      <c r="H82" s="20"/>
      <c r="I82" s="20"/>
      <c r="J82" s="20"/>
      <c r="K82" s="20"/>
      <c r="L82" s="20"/>
      <c r="M82" s="20"/>
      <c r="N82" s="20"/>
      <c r="O82" s="20"/>
      <c r="P82" s="20"/>
      <c r="Q82" s="34"/>
      <c r="R82" s="34"/>
      <c r="S82" s="34"/>
      <c r="T82" s="34"/>
      <c r="U82" s="34"/>
      <c r="V82" s="34"/>
      <c r="W82" s="34"/>
      <c r="X82" s="34"/>
      <c r="Y82" s="34"/>
      <c r="Z82" s="34"/>
      <c r="AA82" s="34"/>
    </row>
    <row r="83" spans="1:27">
      <c r="A83" s="20"/>
      <c r="B83" s="40"/>
      <c r="C83" s="39"/>
      <c r="D83" s="20"/>
      <c r="E83" s="20"/>
      <c r="F83" s="20"/>
      <c r="G83" s="20"/>
      <c r="H83" s="20"/>
      <c r="I83" s="20"/>
      <c r="J83" s="20"/>
      <c r="K83" s="20"/>
      <c r="L83" s="20"/>
      <c r="M83" s="20"/>
      <c r="N83" s="20"/>
      <c r="O83" s="20"/>
      <c r="P83" s="20"/>
      <c r="Q83" s="34"/>
      <c r="R83" s="34"/>
      <c r="S83" s="34"/>
      <c r="T83" s="34"/>
      <c r="U83" s="34"/>
      <c r="V83" s="34"/>
      <c r="W83" s="34"/>
      <c r="X83" s="34"/>
      <c r="Y83" s="34"/>
      <c r="Z83" s="34"/>
      <c r="AA83" s="34"/>
    </row>
    <row r="84" spans="1:27">
      <c r="A84" s="20"/>
      <c r="B84" s="20"/>
      <c r="C84" s="39"/>
      <c r="D84" s="20"/>
      <c r="E84" s="20"/>
      <c r="F84" s="20"/>
      <c r="G84" s="20"/>
      <c r="H84" s="20"/>
      <c r="I84" s="20"/>
      <c r="J84" s="20"/>
      <c r="K84" s="20"/>
      <c r="L84" s="20"/>
      <c r="M84" s="20"/>
      <c r="N84" s="20"/>
      <c r="O84" s="20"/>
      <c r="P84" s="20"/>
      <c r="Q84" s="34"/>
      <c r="R84" s="34"/>
      <c r="S84" s="34"/>
      <c r="T84" s="34"/>
      <c r="U84" s="34"/>
      <c r="V84" s="34"/>
      <c r="W84" s="34"/>
      <c r="X84" s="34"/>
      <c r="Y84" s="34"/>
      <c r="Z84" s="34"/>
      <c r="AA84" s="34"/>
    </row>
    <row r="85" spans="1:27">
      <c r="A85" s="20"/>
      <c r="B85" s="20"/>
      <c r="C85" s="20"/>
      <c r="D85" s="20"/>
      <c r="E85" s="20"/>
      <c r="F85" s="20"/>
      <c r="G85" s="20"/>
      <c r="H85" s="20"/>
      <c r="I85" s="20"/>
      <c r="J85" s="20"/>
      <c r="K85" s="20"/>
      <c r="L85" s="20"/>
      <c r="M85" s="20"/>
      <c r="N85" s="20"/>
      <c r="O85" s="20"/>
      <c r="P85" s="20"/>
      <c r="Q85" s="34"/>
      <c r="R85" s="34"/>
      <c r="S85" s="34"/>
      <c r="T85" s="34"/>
      <c r="U85" s="34"/>
      <c r="V85" s="34"/>
      <c r="W85" s="34"/>
      <c r="X85" s="34"/>
      <c r="Y85" s="34"/>
      <c r="Z85" s="34"/>
      <c r="AA85" s="34"/>
    </row>
    <row r="86" spans="1:27">
      <c r="A86" s="20"/>
      <c r="B86" s="40"/>
      <c r="C86" s="39"/>
      <c r="D86" s="20"/>
      <c r="E86" s="20"/>
      <c r="F86" s="20"/>
      <c r="G86" s="20"/>
      <c r="H86" s="20"/>
      <c r="I86" s="20"/>
      <c r="J86" s="20"/>
      <c r="K86" s="20"/>
      <c r="L86" s="20"/>
      <c r="M86" s="20"/>
      <c r="N86" s="20"/>
      <c r="O86" s="20"/>
      <c r="P86" s="20"/>
      <c r="Q86" s="34"/>
      <c r="R86" s="34"/>
      <c r="S86" s="34"/>
      <c r="T86" s="34"/>
      <c r="U86" s="34"/>
      <c r="V86" s="34"/>
      <c r="W86" s="34"/>
      <c r="X86" s="34"/>
      <c r="Y86" s="34"/>
      <c r="Z86" s="34"/>
      <c r="AA86" s="34"/>
    </row>
    <row r="87" spans="1:27">
      <c r="A87" s="20"/>
      <c r="B87" s="20"/>
      <c r="C87" s="39"/>
      <c r="D87" s="20"/>
      <c r="E87" s="20"/>
      <c r="F87" s="20"/>
      <c r="G87" s="20"/>
      <c r="H87" s="20"/>
      <c r="I87" s="20"/>
      <c r="J87" s="20"/>
      <c r="K87" s="20"/>
      <c r="L87" s="20"/>
      <c r="M87" s="20"/>
      <c r="N87" s="20"/>
      <c r="O87" s="20"/>
      <c r="P87" s="20"/>
      <c r="Q87" s="34"/>
      <c r="R87" s="34"/>
      <c r="S87" s="34"/>
      <c r="T87" s="34"/>
      <c r="U87" s="34"/>
      <c r="V87" s="34"/>
      <c r="W87" s="34"/>
      <c r="X87" s="34"/>
      <c r="Y87" s="34"/>
      <c r="Z87" s="34"/>
      <c r="AA87" s="34"/>
    </row>
    <row r="88" spans="1:27">
      <c r="A88" s="20"/>
      <c r="B88" s="20"/>
      <c r="C88" s="20"/>
      <c r="D88" s="20"/>
      <c r="E88" s="20"/>
      <c r="F88" s="20"/>
      <c r="G88" s="20"/>
      <c r="H88" s="20"/>
      <c r="I88" s="20"/>
      <c r="J88" s="20"/>
      <c r="K88" s="20"/>
      <c r="L88" s="20"/>
      <c r="M88" s="20"/>
      <c r="N88" s="20"/>
      <c r="O88" s="20"/>
      <c r="P88" s="20"/>
      <c r="Q88" s="34"/>
      <c r="R88" s="34"/>
      <c r="S88" s="34"/>
      <c r="T88" s="34"/>
      <c r="U88" s="34"/>
      <c r="V88" s="34"/>
      <c r="W88" s="34"/>
      <c r="X88" s="34"/>
      <c r="Y88" s="34"/>
      <c r="Z88" s="34"/>
      <c r="AA88" s="34"/>
    </row>
    <row r="89" spans="1:27">
      <c r="A89" s="20"/>
      <c r="B89" s="40"/>
      <c r="C89" s="43"/>
      <c r="D89" s="20"/>
      <c r="E89" s="20"/>
      <c r="F89" s="20"/>
      <c r="G89" s="20"/>
      <c r="H89" s="20"/>
      <c r="I89" s="20"/>
      <c r="J89" s="20"/>
      <c r="K89" s="20"/>
      <c r="L89" s="20"/>
      <c r="M89" s="20"/>
      <c r="N89" s="20"/>
      <c r="O89" s="20"/>
      <c r="P89" s="39"/>
      <c r="Q89" s="34"/>
      <c r="R89" s="34"/>
      <c r="S89" s="34"/>
      <c r="T89" s="34"/>
      <c r="U89" s="34"/>
      <c r="V89" s="34"/>
      <c r="W89" s="34"/>
      <c r="X89" s="34"/>
      <c r="Y89" s="34"/>
      <c r="Z89" s="34"/>
      <c r="AA89" s="34"/>
    </row>
    <row r="90" spans="1:27">
      <c r="A90" s="20"/>
      <c r="B90" s="20"/>
      <c r="C90" s="20"/>
      <c r="D90" s="20"/>
      <c r="E90" s="20"/>
      <c r="F90" s="20"/>
      <c r="G90" s="20"/>
      <c r="H90" s="20"/>
      <c r="I90" s="20"/>
      <c r="J90" s="20"/>
      <c r="K90" s="20"/>
      <c r="L90" s="20"/>
      <c r="M90" s="20"/>
      <c r="N90" s="20"/>
      <c r="O90" s="20"/>
      <c r="P90" s="20"/>
      <c r="Q90" s="34"/>
      <c r="R90" s="34"/>
      <c r="S90" s="34"/>
      <c r="T90" s="34"/>
      <c r="U90" s="34"/>
      <c r="V90" s="34"/>
      <c r="W90" s="34"/>
      <c r="X90" s="34"/>
      <c r="Y90" s="34"/>
      <c r="Z90" s="34"/>
      <c r="AA90" s="34"/>
    </row>
    <row r="91" spans="1:27">
      <c r="A91" s="38"/>
      <c r="B91" s="38"/>
      <c r="C91" s="20"/>
      <c r="D91" s="20"/>
      <c r="E91" s="20"/>
      <c r="F91" s="20"/>
      <c r="G91" s="20"/>
      <c r="H91" s="20"/>
      <c r="I91" s="20"/>
      <c r="J91" s="20"/>
      <c r="K91" s="20"/>
      <c r="L91" s="20"/>
      <c r="M91" s="20"/>
      <c r="N91" s="20"/>
      <c r="O91" s="20"/>
      <c r="P91" s="20"/>
      <c r="Q91" s="34"/>
      <c r="R91" s="34"/>
      <c r="S91" s="34"/>
      <c r="T91" s="34"/>
      <c r="U91" s="34"/>
      <c r="V91" s="34"/>
      <c r="W91" s="34"/>
      <c r="X91" s="34"/>
      <c r="Y91" s="34"/>
      <c r="Z91" s="34"/>
      <c r="AA91" s="34"/>
    </row>
    <row r="92" spans="1:27">
      <c r="A92" s="20"/>
      <c r="B92" s="39"/>
      <c r="C92" s="20"/>
      <c r="D92" s="20"/>
      <c r="E92" s="20"/>
      <c r="F92" s="20"/>
      <c r="G92" s="20"/>
      <c r="H92" s="20"/>
      <c r="I92" s="20"/>
      <c r="J92" s="20"/>
      <c r="K92" s="20"/>
      <c r="L92" s="20"/>
      <c r="M92" s="20"/>
      <c r="N92" s="20"/>
      <c r="O92" s="20"/>
      <c r="P92" s="20"/>
      <c r="Q92" s="34"/>
      <c r="R92" s="34"/>
      <c r="S92" s="34"/>
      <c r="T92" s="34"/>
      <c r="U92" s="34"/>
      <c r="V92" s="34"/>
      <c r="W92" s="34"/>
      <c r="X92" s="34"/>
      <c r="Y92" s="34"/>
      <c r="Z92" s="34"/>
      <c r="AA92" s="34"/>
    </row>
    <row r="93" spans="1:27">
      <c r="A93" s="20"/>
      <c r="B93" s="20"/>
      <c r="C93" s="20"/>
      <c r="D93" s="20"/>
      <c r="E93" s="20"/>
      <c r="F93" s="20"/>
      <c r="G93" s="20"/>
      <c r="H93" s="20"/>
      <c r="I93" s="20"/>
      <c r="J93" s="20"/>
      <c r="K93" s="20"/>
      <c r="L93" s="20"/>
      <c r="M93" s="20"/>
      <c r="N93" s="20"/>
      <c r="O93" s="20"/>
      <c r="P93" s="20"/>
      <c r="Q93" s="34"/>
      <c r="R93" s="34"/>
      <c r="S93" s="34"/>
      <c r="T93" s="34"/>
      <c r="U93" s="34"/>
      <c r="V93" s="34"/>
      <c r="W93" s="34"/>
      <c r="X93" s="34"/>
      <c r="Y93" s="34"/>
      <c r="Z93" s="34"/>
      <c r="AA93" s="34"/>
    </row>
    <row r="94" spans="1:27">
      <c r="A94" s="20"/>
      <c r="B94" s="40"/>
      <c r="C94" s="39"/>
      <c r="D94" s="20"/>
      <c r="E94" s="20"/>
      <c r="F94" s="20"/>
      <c r="G94" s="20"/>
      <c r="H94" s="20"/>
      <c r="I94" s="20"/>
      <c r="J94" s="20"/>
      <c r="K94" s="20"/>
      <c r="L94" s="20"/>
      <c r="M94" s="20"/>
      <c r="N94" s="20"/>
      <c r="O94" s="20"/>
      <c r="P94" s="39"/>
      <c r="Q94" s="34"/>
      <c r="R94" s="34"/>
      <c r="S94" s="34"/>
      <c r="T94" s="34"/>
      <c r="U94" s="34"/>
      <c r="V94" s="34"/>
      <c r="W94" s="34"/>
      <c r="X94" s="34"/>
      <c r="Y94" s="34"/>
      <c r="Z94" s="34"/>
      <c r="AA94" s="34"/>
    </row>
    <row r="95" spans="1:27">
      <c r="A95" s="20"/>
      <c r="B95" s="20"/>
      <c r="C95" s="20"/>
      <c r="D95" s="20"/>
      <c r="E95" s="20"/>
      <c r="F95" s="20"/>
      <c r="G95" s="20"/>
      <c r="H95" s="20"/>
      <c r="I95" s="20"/>
      <c r="J95" s="20"/>
      <c r="K95" s="20"/>
      <c r="L95" s="20"/>
      <c r="M95" s="20"/>
      <c r="N95" s="20"/>
      <c r="O95" s="20"/>
      <c r="P95" s="20"/>
      <c r="Q95" s="34"/>
      <c r="R95" s="34"/>
      <c r="S95" s="34"/>
      <c r="T95" s="34"/>
      <c r="U95" s="34"/>
      <c r="V95" s="34"/>
      <c r="W95" s="34"/>
      <c r="X95" s="34"/>
      <c r="Y95" s="34"/>
      <c r="Z95" s="34"/>
      <c r="AA95" s="34"/>
    </row>
    <row r="96" spans="1:27">
      <c r="A96" s="20"/>
      <c r="B96" s="40"/>
      <c r="C96" s="39"/>
      <c r="D96" s="20"/>
      <c r="E96" s="20"/>
      <c r="F96" s="20"/>
      <c r="G96" s="20"/>
      <c r="H96" s="20"/>
      <c r="I96" s="20"/>
      <c r="J96" s="20"/>
      <c r="K96" s="20"/>
      <c r="L96" s="20"/>
      <c r="M96" s="20"/>
      <c r="N96" s="20"/>
      <c r="O96" s="20"/>
      <c r="P96" s="39"/>
      <c r="Q96" s="34"/>
      <c r="R96" s="34"/>
      <c r="S96" s="34"/>
      <c r="T96" s="34"/>
      <c r="U96" s="34"/>
      <c r="V96" s="34"/>
      <c r="W96" s="34"/>
      <c r="X96" s="34"/>
      <c r="Y96" s="34"/>
      <c r="Z96" s="34"/>
      <c r="AA96" s="34"/>
    </row>
    <row r="97" spans="1:27">
      <c r="A97" s="20"/>
      <c r="B97" s="20"/>
      <c r="C97" s="20"/>
      <c r="D97" s="20"/>
      <c r="E97" s="20"/>
      <c r="F97" s="20"/>
      <c r="G97" s="20"/>
      <c r="H97" s="20"/>
      <c r="I97" s="20"/>
      <c r="J97" s="20"/>
      <c r="K97" s="20"/>
      <c r="L97" s="20"/>
      <c r="M97" s="20"/>
      <c r="N97" s="20"/>
      <c r="O97" s="20"/>
      <c r="P97" s="20"/>
      <c r="Q97" s="34"/>
      <c r="R97" s="34"/>
      <c r="S97" s="34"/>
      <c r="T97" s="34"/>
      <c r="U97" s="34"/>
      <c r="V97" s="34"/>
      <c r="W97" s="34"/>
      <c r="X97" s="34"/>
      <c r="Y97" s="34"/>
      <c r="Z97" s="34"/>
      <c r="AA97" s="34"/>
    </row>
    <row r="98" spans="1:27">
      <c r="A98" s="20"/>
      <c r="B98" s="40"/>
      <c r="C98" s="39"/>
      <c r="D98" s="20"/>
      <c r="E98" s="20"/>
      <c r="F98" s="20"/>
      <c r="G98" s="20"/>
      <c r="H98" s="20"/>
      <c r="I98" s="20"/>
      <c r="J98" s="20"/>
      <c r="K98" s="20"/>
      <c r="L98" s="20"/>
      <c r="M98" s="20"/>
      <c r="N98" s="20"/>
      <c r="O98" s="20"/>
      <c r="P98" s="20"/>
      <c r="Q98" s="34"/>
      <c r="R98" s="34"/>
      <c r="S98" s="34"/>
      <c r="T98" s="34"/>
      <c r="U98" s="34"/>
      <c r="V98" s="34"/>
      <c r="W98" s="34"/>
      <c r="X98" s="34"/>
      <c r="Y98" s="34"/>
      <c r="Z98" s="34"/>
      <c r="AA98" s="34"/>
    </row>
    <row r="99" spans="1:27">
      <c r="A99" s="20"/>
      <c r="B99" s="20"/>
      <c r="C99" s="20"/>
      <c r="D99" s="20"/>
      <c r="E99" s="20"/>
      <c r="F99" s="20"/>
      <c r="G99" s="20"/>
      <c r="H99" s="20"/>
      <c r="I99" s="20"/>
      <c r="J99" s="20"/>
      <c r="K99" s="20"/>
      <c r="L99" s="20"/>
      <c r="M99" s="20"/>
      <c r="N99" s="20"/>
      <c r="O99" s="20"/>
      <c r="P99" s="20"/>
      <c r="Q99" s="34"/>
      <c r="R99" s="34"/>
      <c r="S99" s="34"/>
      <c r="T99" s="34"/>
      <c r="U99" s="34"/>
      <c r="V99" s="34"/>
      <c r="W99" s="34"/>
      <c r="X99" s="34"/>
      <c r="Y99" s="34"/>
      <c r="Z99" s="34"/>
      <c r="AA99" s="34"/>
    </row>
    <row r="100" spans="1:27">
      <c r="A100" s="20"/>
      <c r="B100" s="40"/>
      <c r="C100" s="39"/>
      <c r="D100" s="20"/>
      <c r="E100" s="20"/>
      <c r="F100" s="20"/>
      <c r="G100" s="20"/>
      <c r="H100" s="20"/>
      <c r="I100" s="20"/>
      <c r="J100" s="20"/>
      <c r="K100" s="20"/>
      <c r="L100" s="20"/>
      <c r="M100" s="20"/>
      <c r="N100" s="20"/>
      <c r="O100" s="20"/>
      <c r="P100" s="20"/>
      <c r="Q100" s="34"/>
      <c r="R100" s="34"/>
      <c r="S100" s="34"/>
      <c r="T100" s="34"/>
      <c r="U100" s="34"/>
      <c r="V100" s="34"/>
      <c r="W100" s="34"/>
      <c r="X100" s="34"/>
      <c r="Y100" s="34"/>
      <c r="Z100" s="34"/>
      <c r="AA100" s="34"/>
    </row>
    <row r="101" spans="1:27">
      <c r="A101" s="20"/>
      <c r="B101" s="20"/>
      <c r="C101" s="20"/>
      <c r="D101" s="20"/>
      <c r="E101" s="20"/>
      <c r="F101" s="20"/>
      <c r="G101" s="20"/>
      <c r="H101" s="20"/>
      <c r="I101" s="20"/>
      <c r="J101" s="20"/>
      <c r="K101" s="20"/>
      <c r="L101" s="20"/>
      <c r="M101" s="20"/>
      <c r="N101" s="20"/>
      <c r="O101" s="20"/>
      <c r="P101" s="20"/>
      <c r="Q101" s="34"/>
      <c r="R101" s="34"/>
      <c r="S101" s="34"/>
      <c r="T101" s="34"/>
      <c r="U101" s="34"/>
      <c r="V101" s="34"/>
      <c r="W101" s="34"/>
      <c r="X101" s="34"/>
      <c r="Y101" s="34"/>
      <c r="Z101" s="34"/>
      <c r="AA101" s="34"/>
    </row>
    <row r="102" spans="1:27">
      <c r="A102" s="20"/>
      <c r="B102" s="20"/>
      <c r="C102" s="20"/>
      <c r="D102" s="20"/>
      <c r="E102" s="20"/>
      <c r="F102" s="20"/>
      <c r="G102" s="20"/>
      <c r="H102" s="20"/>
      <c r="I102" s="20"/>
      <c r="J102" s="20"/>
      <c r="K102" s="20"/>
      <c r="L102" s="20"/>
      <c r="M102" s="20"/>
      <c r="N102" s="20"/>
      <c r="O102" s="20"/>
      <c r="P102" s="20"/>
      <c r="Q102" s="34"/>
      <c r="R102" s="34"/>
      <c r="S102" s="34"/>
      <c r="T102" s="34"/>
      <c r="U102" s="34"/>
      <c r="V102" s="34"/>
      <c r="W102" s="34"/>
      <c r="X102" s="34"/>
      <c r="Y102" s="34"/>
      <c r="Z102" s="34"/>
      <c r="AA102" s="34"/>
    </row>
    <row r="103" spans="1:27">
      <c r="A103" s="20"/>
      <c r="B103" s="20"/>
      <c r="C103" s="20"/>
      <c r="D103" s="20"/>
      <c r="E103" s="20"/>
      <c r="F103" s="20"/>
      <c r="G103" s="20"/>
      <c r="H103" s="20"/>
      <c r="I103" s="20"/>
      <c r="J103" s="20"/>
      <c r="K103" s="20"/>
      <c r="L103" s="20"/>
      <c r="M103" s="20"/>
      <c r="N103" s="20"/>
      <c r="O103" s="20"/>
      <c r="P103" s="20"/>
      <c r="Q103" s="34"/>
      <c r="R103" s="34"/>
      <c r="S103" s="34"/>
      <c r="T103" s="34"/>
      <c r="U103" s="34"/>
      <c r="V103" s="34"/>
      <c r="W103" s="34"/>
      <c r="X103" s="34"/>
      <c r="Y103" s="34"/>
      <c r="Z103" s="34"/>
      <c r="AA103" s="34"/>
    </row>
    <row r="104" spans="1:27">
      <c r="A104" s="20"/>
      <c r="B104" s="20"/>
      <c r="C104" s="20"/>
      <c r="D104" s="20"/>
      <c r="E104" s="20"/>
      <c r="F104" s="20"/>
      <c r="G104" s="20"/>
      <c r="H104" s="20"/>
      <c r="I104" s="20"/>
      <c r="J104" s="20"/>
      <c r="K104" s="20"/>
      <c r="L104" s="20"/>
      <c r="M104" s="20"/>
      <c r="N104" s="20"/>
      <c r="O104" s="20"/>
      <c r="P104" s="20"/>
      <c r="Q104" s="34"/>
      <c r="R104" s="34"/>
      <c r="S104" s="34"/>
      <c r="T104" s="34"/>
      <c r="U104" s="34"/>
      <c r="V104" s="34"/>
      <c r="W104" s="34"/>
      <c r="X104" s="34"/>
      <c r="Y104" s="34"/>
      <c r="Z104" s="34"/>
      <c r="AA104" s="34"/>
    </row>
    <row r="105" spans="1:27">
      <c r="A105" s="20"/>
      <c r="B105" s="20"/>
      <c r="C105" s="20"/>
      <c r="D105" s="20"/>
      <c r="E105" s="20"/>
      <c r="F105" s="20"/>
      <c r="G105" s="20"/>
      <c r="H105" s="20"/>
      <c r="I105" s="20"/>
      <c r="J105" s="20"/>
      <c r="K105" s="20"/>
      <c r="L105" s="20"/>
      <c r="M105" s="20"/>
      <c r="N105" s="20"/>
      <c r="O105" s="20"/>
      <c r="P105" s="20"/>
      <c r="Q105" s="34"/>
      <c r="R105" s="34"/>
      <c r="S105" s="34"/>
      <c r="T105" s="34"/>
      <c r="U105" s="34"/>
      <c r="V105" s="34"/>
      <c r="W105" s="34"/>
      <c r="X105" s="34"/>
      <c r="Y105" s="34"/>
      <c r="Z105" s="34"/>
      <c r="AA105" s="34"/>
    </row>
    <row r="106" spans="1:27">
      <c r="A106" s="20"/>
      <c r="B106" s="20"/>
      <c r="C106" s="20"/>
      <c r="D106" s="20"/>
      <c r="E106" s="20"/>
      <c r="F106" s="20"/>
      <c r="G106" s="20"/>
      <c r="H106" s="20"/>
      <c r="I106" s="20"/>
      <c r="J106" s="20"/>
      <c r="K106" s="20"/>
      <c r="L106" s="20"/>
      <c r="M106" s="20"/>
      <c r="N106" s="20"/>
      <c r="O106" s="20"/>
      <c r="P106" s="20"/>
      <c r="Q106" s="34"/>
      <c r="R106" s="34"/>
      <c r="S106" s="34"/>
      <c r="T106" s="34"/>
      <c r="U106" s="34"/>
      <c r="V106" s="34"/>
      <c r="W106" s="34"/>
      <c r="X106" s="34"/>
      <c r="Y106" s="34"/>
      <c r="Z106" s="34"/>
      <c r="AA106" s="34"/>
    </row>
    <row r="107" spans="1:27">
      <c r="A107" s="20"/>
      <c r="B107" s="20"/>
      <c r="C107" s="20"/>
      <c r="D107" s="20"/>
      <c r="E107" s="20"/>
      <c r="F107" s="20"/>
      <c r="G107" s="20"/>
      <c r="H107" s="20"/>
      <c r="I107" s="20"/>
      <c r="J107" s="20"/>
      <c r="K107" s="20"/>
      <c r="L107" s="20"/>
      <c r="M107" s="20"/>
      <c r="N107" s="20"/>
      <c r="O107" s="20"/>
      <c r="P107" s="20"/>
      <c r="Q107" s="34"/>
      <c r="R107" s="34"/>
      <c r="S107" s="34"/>
      <c r="T107" s="34"/>
      <c r="U107" s="34"/>
      <c r="V107" s="34"/>
      <c r="W107" s="34"/>
      <c r="X107" s="34"/>
      <c r="Y107" s="34"/>
      <c r="Z107" s="34"/>
      <c r="AA107" s="34"/>
    </row>
    <row r="108" spans="1:27">
      <c r="A108" s="20"/>
      <c r="B108" s="20"/>
      <c r="C108" s="20"/>
      <c r="D108" s="20"/>
      <c r="E108" s="20"/>
      <c r="F108" s="20"/>
      <c r="G108" s="20"/>
      <c r="H108" s="20"/>
      <c r="I108" s="20"/>
      <c r="J108" s="20"/>
      <c r="K108" s="20"/>
      <c r="L108" s="20"/>
      <c r="M108" s="20"/>
      <c r="N108" s="20"/>
      <c r="O108" s="20"/>
      <c r="P108" s="20"/>
      <c r="Q108" s="34"/>
      <c r="R108" s="34"/>
      <c r="S108" s="34"/>
      <c r="T108" s="34"/>
      <c r="U108" s="34"/>
      <c r="V108" s="34"/>
      <c r="W108" s="34"/>
      <c r="X108" s="34"/>
      <c r="Y108" s="34"/>
      <c r="Z108" s="34"/>
      <c r="AA108" s="34"/>
    </row>
    <row r="109" spans="1:27">
      <c r="A109" s="20"/>
      <c r="B109" s="20"/>
      <c r="C109" s="20"/>
      <c r="D109" s="20"/>
      <c r="E109" s="20"/>
      <c r="F109" s="20"/>
      <c r="G109" s="20"/>
      <c r="H109" s="20"/>
      <c r="I109" s="20"/>
      <c r="J109" s="20"/>
      <c r="K109" s="20"/>
      <c r="L109" s="20"/>
      <c r="M109" s="20"/>
      <c r="N109" s="20"/>
      <c r="O109" s="20"/>
      <c r="P109" s="20"/>
      <c r="Q109" s="34"/>
      <c r="R109" s="34"/>
      <c r="S109" s="34"/>
      <c r="T109" s="34"/>
      <c r="U109" s="34"/>
      <c r="V109" s="34"/>
      <c r="W109" s="34"/>
      <c r="X109" s="34"/>
      <c r="Y109" s="34"/>
      <c r="Z109" s="34"/>
      <c r="AA109" s="34"/>
    </row>
    <row r="110" spans="1:27">
      <c r="A110" s="20"/>
      <c r="B110" s="20"/>
      <c r="C110" s="20"/>
      <c r="D110" s="20"/>
      <c r="E110" s="20"/>
      <c r="F110" s="20"/>
      <c r="G110" s="20"/>
      <c r="H110" s="20"/>
      <c r="I110" s="20"/>
      <c r="J110" s="20"/>
      <c r="K110" s="20"/>
      <c r="L110" s="20"/>
      <c r="M110" s="20"/>
      <c r="N110" s="20"/>
      <c r="O110" s="20"/>
      <c r="P110" s="20"/>
      <c r="Q110" s="34"/>
      <c r="R110" s="34"/>
      <c r="S110" s="34"/>
      <c r="T110" s="34"/>
      <c r="U110" s="34"/>
      <c r="V110" s="34"/>
      <c r="W110" s="34"/>
      <c r="X110" s="34"/>
      <c r="Y110" s="34"/>
      <c r="Z110" s="34"/>
      <c r="AA110" s="34"/>
    </row>
    <row r="111" spans="1:27">
      <c r="A111" s="20"/>
      <c r="B111" s="20"/>
      <c r="C111" s="20"/>
      <c r="D111" s="20"/>
      <c r="E111" s="20"/>
      <c r="F111" s="20"/>
      <c r="G111" s="20"/>
      <c r="H111" s="20"/>
      <c r="I111" s="20"/>
      <c r="J111" s="20"/>
      <c r="K111" s="20"/>
      <c r="L111" s="20"/>
      <c r="M111" s="20"/>
      <c r="N111" s="20"/>
      <c r="O111" s="20"/>
      <c r="P111" s="20"/>
      <c r="Q111" s="34"/>
      <c r="R111" s="34"/>
      <c r="S111" s="34"/>
      <c r="T111" s="34"/>
      <c r="U111" s="34"/>
      <c r="V111" s="34"/>
      <c r="W111" s="34"/>
      <c r="X111" s="34"/>
      <c r="Y111" s="34"/>
      <c r="Z111" s="34"/>
      <c r="AA111" s="34"/>
    </row>
    <row r="112" spans="1:27">
      <c r="A112" s="20"/>
      <c r="B112" s="20"/>
      <c r="C112" s="20"/>
      <c r="D112" s="20"/>
      <c r="E112" s="20"/>
      <c r="F112" s="20"/>
      <c r="G112" s="20"/>
      <c r="H112" s="20"/>
      <c r="I112" s="20"/>
      <c r="J112" s="20"/>
      <c r="K112" s="20"/>
      <c r="L112" s="20"/>
      <c r="M112" s="20"/>
      <c r="N112" s="20"/>
      <c r="O112" s="20"/>
      <c r="P112" s="20"/>
      <c r="Q112" s="34"/>
      <c r="R112" s="34"/>
      <c r="S112" s="34"/>
      <c r="T112" s="34"/>
      <c r="U112" s="34"/>
      <c r="V112" s="34"/>
      <c r="W112" s="34"/>
      <c r="X112" s="34"/>
      <c r="Y112" s="34"/>
      <c r="Z112" s="34"/>
      <c r="AA112" s="34"/>
    </row>
    <row r="113" spans="1:27">
      <c r="A113" s="20"/>
      <c r="B113" s="20"/>
      <c r="C113" s="20"/>
      <c r="D113" s="20"/>
      <c r="E113" s="20"/>
      <c r="F113" s="20"/>
      <c r="G113" s="20"/>
      <c r="H113" s="20"/>
      <c r="I113" s="20"/>
      <c r="J113" s="20"/>
      <c r="K113" s="20"/>
      <c r="L113" s="20"/>
      <c r="M113" s="20"/>
      <c r="N113" s="20"/>
      <c r="O113" s="20"/>
      <c r="P113" s="20"/>
      <c r="Q113" s="34"/>
      <c r="R113" s="34"/>
      <c r="S113" s="34"/>
      <c r="T113" s="34"/>
      <c r="U113" s="34"/>
      <c r="V113" s="34"/>
      <c r="W113" s="34"/>
      <c r="X113" s="34"/>
      <c r="Y113" s="34"/>
      <c r="Z113" s="34"/>
      <c r="AA113" s="34"/>
    </row>
    <row r="114" spans="1:27">
      <c r="A114" s="20"/>
      <c r="B114" s="20"/>
      <c r="C114" s="20"/>
      <c r="D114" s="20"/>
      <c r="E114" s="20"/>
      <c r="F114" s="20"/>
      <c r="G114" s="20"/>
      <c r="H114" s="20"/>
      <c r="I114" s="20"/>
      <c r="J114" s="20"/>
      <c r="K114" s="20"/>
      <c r="L114" s="20"/>
      <c r="M114" s="20"/>
      <c r="N114" s="20"/>
      <c r="O114" s="20"/>
      <c r="P114" s="20"/>
      <c r="Q114" s="34"/>
      <c r="R114" s="34"/>
      <c r="S114" s="34"/>
      <c r="T114" s="34"/>
      <c r="U114" s="34"/>
      <c r="V114" s="34"/>
      <c r="W114" s="34"/>
      <c r="X114" s="34"/>
      <c r="Y114" s="34"/>
      <c r="Z114" s="34"/>
      <c r="AA114" s="34"/>
    </row>
    <row r="115" spans="1:27">
      <c r="A115" s="20"/>
      <c r="B115" s="20"/>
      <c r="C115" s="20"/>
      <c r="D115" s="20"/>
      <c r="E115" s="20"/>
      <c r="F115" s="20"/>
      <c r="G115" s="20"/>
      <c r="H115" s="20"/>
      <c r="I115" s="20"/>
      <c r="J115" s="20"/>
      <c r="K115" s="20"/>
      <c r="L115" s="20"/>
      <c r="M115" s="20"/>
      <c r="N115" s="20"/>
      <c r="O115" s="20"/>
      <c r="P115" s="20"/>
      <c r="Q115" s="34"/>
      <c r="R115" s="34"/>
      <c r="S115" s="34"/>
      <c r="T115" s="34"/>
      <c r="U115" s="34"/>
      <c r="V115" s="34"/>
      <c r="W115" s="34"/>
      <c r="X115" s="34"/>
      <c r="Y115" s="34"/>
      <c r="Z115" s="34"/>
      <c r="AA115" s="34"/>
    </row>
    <row r="116" spans="1:27">
      <c r="A116" s="20"/>
      <c r="B116" s="20"/>
      <c r="C116" s="20"/>
      <c r="D116" s="20"/>
      <c r="E116" s="20"/>
      <c r="F116" s="20"/>
      <c r="G116" s="20"/>
      <c r="H116" s="20"/>
      <c r="I116" s="20"/>
      <c r="J116" s="20"/>
      <c r="K116" s="20"/>
      <c r="L116" s="20"/>
      <c r="M116" s="20"/>
      <c r="N116" s="20"/>
      <c r="O116" s="20"/>
      <c r="P116" s="20"/>
      <c r="Q116" s="34"/>
      <c r="R116" s="34"/>
      <c r="S116" s="34"/>
      <c r="T116" s="34"/>
      <c r="U116" s="34"/>
      <c r="V116" s="34"/>
      <c r="W116" s="34"/>
      <c r="X116" s="34"/>
      <c r="Y116" s="34"/>
      <c r="Z116" s="34"/>
      <c r="AA116" s="34"/>
    </row>
    <row r="117" spans="1:27">
      <c r="A117" s="20"/>
      <c r="B117" s="20"/>
      <c r="C117" s="20"/>
      <c r="D117" s="20"/>
      <c r="E117" s="20"/>
      <c r="F117" s="20"/>
      <c r="G117" s="20"/>
      <c r="H117" s="20"/>
      <c r="I117" s="20"/>
      <c r="J117" s="20"/>
      <c r="K117" s="20"/>
      <c r="L117" s="20"/>
      <c r="M117" s="20"/>
      <c r="N117" s="20"/>
      <c r="O117" s="20"/>
      <c r="P117" s="20"/>
      <c r="Q117" s="34"/>
      <c r="R117" s="34"/>
      <c r="S117" s="34"/>
      <c r="T117" s="34"/>
      <c r="U117" s="34"/>
      <c r="V117" s="34"/>
      <c r="W117" s="34"/>
      <c r="X117" s="34"/>
      <c r="Y117" s="34"/>
      <c r="Z117" s="34"/>
      <c r="AA117" s="34"/>
    </row>
    <row r="118" spans="1:27">
      <c r="A118" s="20"/>
      <c r="B118" s="20"/>
      <c r="C118" s="20"/>
      <c r="D118" s="20"/>
      <c r="E118" s="20"/>
      <c r="F118" s="20"/>
      <c r="G118" s="20"/>
      <c r="H118" s="20"/>
      <c r="I118" s="20"/>
      <c r="J118" s="20"/>
      <c r="K118" s="20"/>
      <c r="L118" s="20"/>
      <c r="M118" s="20"/>
      <c r="N118" s="20"/>
      <c r="O118" s="20"/>
      <c r="P118" s="20"/>
      <c r="Q118" s="34"/>
      <c r="R118" s="34"/>
      <c r="S118" s="34"/>
      <c r="T118" s="34"/>
      <c r="U118" s="34"/>
      <c r="V118" s="34"/>
      <c r="W118" s="34"/>
      <c r="X118" s="34"/>
      <c r="Y118" s="34"/>
      <c r="Z118" s="34"/>
      <c r="AA118" s="34"/>
    </row>
    <row r="119" spans="1:27">
      <c r="A119" s="20"/>
      <c r="B119" s="20"/>
      <c r="C119" s="20"/>
      <c r="D119" s="20"/>
      <c r="E119" s="20"/>
      <c r="F119" s="20"/>
      <c r="G119" s="20"/>
      <c r="H119" s="20"/>
      <c r="I119" s="20"/>
      <c r="J119" s="20"/>
      <c r="K119" s="20"/>
      <c r="L119" s="20"/>
      <c r="M119" s="20"/>
      <c r="N119" s="20"/>
      <c r="O119" s="20"/>
      <c r="P119" s="20"/>
      <c r="Q119" s="34"/>
      <c r="R119" s="34"/>
      <c r="S119" s="34"/>
      <c r="T119" s="34"/>
      <c r="U119" s="34"/>
      <c r="V119" s="34"/>
      <c r="W119" s="34"/>
      <c r="X119" s="34"/>
      <c r="Y119" s="34"/>
      <c r="Z119" s="34"/>
      <c r="AA119" s="34"/>
    </row>
    <row r="120" spans="1:27">
      <c r="A120" s="20"/>
      <c r="B120" s="20"/>
      <c r="C120" s="20"/>
      <c r="D120" s="20"/>
      <c r="E120" s="20"/>
      <c r="F120" s="20"/>
      <c r="G120" s="20"/>
      <c r="H120" s="20"/>
      <c r="I120" s="20"/>
      <c r="J120" s="20"/>
      <c r="K120" s="20"/>
      <c r="L120" s="20"/>
      <c r="M120" s="20"/>
      <c r="N120" s="20"/>
      <c r="O120" s="20"/>
      <c r="P120" s="20"/>
      <c r="Q120" s="34"/>
      <c r="R120" s="34"/>
      <c r="S120" s="34"/>
      <c r="T120" s="34"/>
      <c r="U120" s="34"/>
      <c r="V120" s="34"/>
      <c r="W120" s="34"/>
      <c r="X120" s="34"/>
      <c r="Y120" s="34"/>
      <c r="Z120" s="34"/>
      <c r="AA120" s="34"/>
    </row>
    <row r="121" spans="1:27">
      <c r="A121" s="20"/>
      <c r="B121" s="20"/>
      <c r="C121" s="20"/>
      <c r="D121" s="20"/>
      <c r="E121" s="20"/>
      <c r="F121" s="20"/>
      <c r="G121" s="20"/>
      <c r="H121" s="20"/>
      <c r="I121" s="20"/>
      <c r="J121" s="20"/>
      <c r="K121" s="20"/>
      <c r="L121" s="20"/>
      <c r="M121" s="20"/>
      <c r="N121" s="20"/>
      <c r="O121" s="20"/>
      <c r="P121" s="20"/>
      <c r="Q121" s="34"/>
      <c r="R121" s="34"/>
      <c r="S121" s="34"/>
      <c r="T121" s="34"/>
      <c r="U121" s="34"/>
      <c r="V121" s="34"/>
      <c r="W121" s="34"/>
      <c r="X121" s="34"/>
      <c r="Y121" s="34"/>
      <c r="Z121" s="34"/>
      <c r="AA121" s="34"/>
    </row>
    <row r="122" spans="1:27">
      <c r="A122" s="20"/>
      <c r="B122" s="20"/>
      <c r="C122" s="20"/>
      <c r="D122" s="20"/>
      <c r="E122" s="20"/>
      <c r="F122" s="20"/>
      <c r="G122" s="20"/>
      <c r="H122" s="20"/>
      <c r="I122" s="20"/>
      <c r="J122" s="20"/>
      <c r="K122" s="20"/>
      <c r="L122" s="20"/>
      <c r="M122" s="20"/>
      <c r="N122" s="20"/>
      <c r="O122" s="20"/>
      <c r="P122" s="20"/>
      <c r="Q122" s="34"/>
      <c r="R122" s="34"/>
      <c r="S122" s="34"/>
      <c r="T122" s="34"/>
      <c r="U122" s="34"/>
      <c r="V122" s="34"/>
      <c r="W122" s="34"/>
      <c r="X122" s="34"/>
      <c r="Y122" s="34"/>
      <c r="Z122" s="34"/>
      <c r="AA122" s="34"/>
    </row>
    <row r="123" spans="1:27">
      <c r="A123" s="20"/>
      <c r="B123" s="20"/>
      <c r="C123" s="20"/>
      <c r="D123" s="20"/>
      <c r="E123" s="20"/>
      <c r="F123" s="20"/>
      <c r="G123" s="20"/>
      <c r="H123" s="20"/>
      <c r="I123" s="20"/>
      <c r="J123" s="20"/>
      <c r="K123" s="20"/>
      <c r="L123" s="20"/>
      <c r="M123" s="20"/>
      <c r="N123" s="20"/>
      <c r="O123" s="20"/>
      <c r="P123" s="20"/>
      <c r="Q123" s="34"/>
      <c r="R123" s="34"/>
      <c r="S123" s="34"/>
      <c r="T123" s="34"/>
      <c r="U123" s="34"/>
      <c r="V123" s="34"/>
      <c r="W123" s="34"/>
      <c r="X123" s="34"/>
      <c r="Y123" s="34"/>
      <c r="Z123" s="34"/>
      <c r="AA123" s="34"/>
    </row>
    <row r="124" spans="1:27">
      <c r="A124" s="20"/>
      <c r="B124" s="20"/>
      <c r="C124" s="20"/>
      <c r="D124" s="20"/>
      <c r="E124" s="20"/>
      <c r="F124" s="20"/>
      <c r="G124" s="20"/>
      <c r="H124" s="20"/>
      <c r="I124" s="20"/>
      <c r="J124" s="20"/>
      <c r="K124" s="20"/>
      <c r="L124" s="20"/>
      <c r="M124" s="20"/>
      <c r="N124" s="20"/>
      <c r="O124" s="20"/>
      <c r="P124" s="20"/>
      <c r="Q124" s="34"/>
      <c r="R124" s="34"/>
      <c r="S124" s="34"/>
      <c r="T124" s="34"/>
      <c r="U124" s="34"/>
      <c r="V124" s="34"/>
      <c r="W124" s="34"/>
      <c r="X124" s="34"/>
      <c r="Y124" s="34"/>
      <c r="Z124" s="34"/>
      <c r="AA124" s="34"/>
    </row>
    <row r="125" spans="1:27">
      <c r="A125" s="20"/>
      <c r="B125" s="20"/>
      <c r="C125" s="20"/>
      <c r="D125" s="20"/>
      <c r="E125" s="20"/>
      <c r="F125" s="20"/>
      <c r="G125" s="20"/>
      <c r="H125" s="20"/>
      <c r="I125" s="20"/>
      <c r="J125" s="20"/>
      <c r="K125" s="20"/>
      <c r="L125" s="20"/>
      <c r="M125" s="20"/>
      <c r="N125" s="20"/>
      <c r="O125" s="20"/>
      <c r="P125" s="20"/>
      <c r="Q125" s="34"/>
      <c r="R125" s="34"/>
      <c r="S125" s="34"/>
      <c r="T125" s="34"/>
      <c r="U125" s="34"/>
      <c r="V125" s="34"/>
      <c r="W125" s="34"/>
      <c r="X125" s="34"/>
      <c r="Y125" s="34"/>
      <c r="Z125" s="34"/>
      <c r="AA125" s="34"/>
    </row>
    <row r="126" spans="1:27">
      <c r="A126" s="20"/>
      <c r="B126" s="20"/>
      <c r="C126" s="20"/>
      <c r="D126" s="20"/>
      <c r="E126" s="20"/>
      <c r="F126" s="20"/>
      <c r="G126" s="20"/>
      <c r="H126" s="20"/>
      <c r="I126" s="20"/>
      <c r="J126" s="20"/>
      <c r="K126" s="20"/>
      <c r="L126" s="20"/>
      <c r="M126" s="20"/>
      <c r="N126" s="20"/>
      <c r="O126" s="20"/>
      <c r="P126" s="20"/>
      <c r="Q126" s="34"/>
      <c r="R126" s="34"/>
      <c r="S126" s="34"/>
      <c r="T126" s="34"/>
      <c r="U126" s="34"/>
      <c r="V126" s="34"/>
      <c r="W126" s="34"/>
      <c r="X126" s="34"/>
      <c r="Y126" s="34"/>
      <c r="Z126" s="34"/>
      <c r="AA126" s="34"/>
    </row>
    <row r="127" spans="1:27">
      <c r="A127" s="20"/>
      <c r="B127" s="20"/>
      <c r="C127" s="20"/>
      <c r="D127" s="20"/>
      <c r="E127" s="20"/>
      <c r="F127" s="20"/>
      <c r="G127" s="20"/>
      <c r="H127" s="20"/>
      <c r="I127" s="20"/>
      <c r="J127" s="20"/>
      <c r="K127" s="20"/>
      <c r="L127" s="20"/>
      <c r="M127" s="20"/>
      <c r="N127" s="20"/>
      <c r="O127" s="20"/>
      <c r="P127" s="20"/>
      <c r="Q127" s="34"/>
      <c r="R127" s="34"/>
      <c r="S127" s="34"/>
      <c r="T127" s="34"/>
      <c r="U127" s="34"/>
      <c r="V127" s="34"/>
      <c r="W127" s="34"/>
      <c r="X127" s="34"/>
      <c r="Y127" s="34"/>
      <c r="Z127" s="34"/>
      <c r="AA127" s="34"/>
    </row>
    <row r="128" spans="1:27">
      <c r="A128" s="20"/>
      <c r="B128" s="20"/>
      <c r="C128" s="20"/>
      <c r="D128" s="20"/>
      <c r="E128" s="20"/>
      <c r="F128" s="20"/>
      <c r="G128" s="20"/>
      <c r="H128" s="20"/>
      <c r="I128" s="20"/>
      <c r="J128" s="20"/>
      <c r="K128" s="20"/>
      <c r="L128" s="20"/>
      <c r="M128" s="20"/>
      <c r="N128" s="20"/>
      <c r="O128" s="20"/>
      <c r="P128" s="20"/>
      <c r="Q128" s="34"/>
      <c r="R128" s="34"/>
      <c r="S128" s="34"/>
      <c r="T128" s="34"/>
      <c r="U128" s="34"/>
      <c r="V128" s="34"/>
      <c r="W128" s="34"/>
      <c r="X128" s="34"/>
      <c r="Y128" s="34"/>
      <c r="Z128" s="34"/>
      <c r="AA128" s="34"/>
    </row>
    <row r="129" spans="1:27">
      <c r="A129" s="20"/>
      <c r="B129" s="20"/>
      <c r="C129" s="20"/>
      <c r="D129" s="20"/>
      <c r="E129" s="20"/>
      <c r="F129" s="20"/>
      <c r="G129" s="20"/>
      <c r="H129" s="20"/>
      <c r="I129" s="20"/>
      <c r="J129" s="20"/>
      <c r="K129" s="20"/>
      <c r="L129" s="20"/>
      <c r="M129" s="20"/>
      <c r="N129" s="20"/>
      <c r="O129" s="20"/>
      <c r="P129" s="20"/>
      <c r="Q129" s="34"/>
      <c r="R129" s="34"/>
      <c r="S129" s="34"/>
      <c r="T129" s="34"/>
      <c r="U129" s="34"/>
      <c r="V129" s="34"/>
      <c r="W129" s="34"/>
      <c r="X129" s="34"/>
      <c r="Y129" s="34"/>
      <c r="Z129" s="34"/>
      <c r="AA129" s="34"/>
    </row>
    <row r="130" spans="1:27">
      <c r="A130" s="20"/>
      <c r="B130" s="20"/>
      <c r="C130" s="20"/>
      <c r="D130" s="20"/>
      <c r="E130" s="20"/>
      <c r="F130" s="20"/>
      <c r="G130" s="20"/>
      <c r="H130" s="20"/>
      <c r="I130" s="20"/>
      <c r="J130" s="20"/>
      <c r="K130" s="20"/>
      <c r="L130" s="20"/>
      <c r="M130" s="20"/>
      <c r="N130" s="20"/>
      <c r="O130" s="20"/>
      <c r="P130" s="20"/>
      <c r="Q130" s="34"/>
      <c r="R130" s="34"/>
      <c r="S130" s="34"/>
      <c r="T130" s="34"/>
      <c r="U130" s="34"/>
      <c r="V130" s="34"/>
      <c r="W130" s="34"/>
      <c r="X130" s="34"/>
      <c r="Y130" s="34"/>
      <c r="Z130" s="34"/>
      <c r="AA130" s="34"/>
    </row>
    <row r="131" spans="1:27">
      <c r="A131" s="20"/>
      <c r="B131" s="20"/>
      <c r="C131" s="20"/>
      <c r="D131" s="20"/>
      <c r="E131" s="20"/>
      <c r="F131" s="20"/>
      <c r="G131" s="20"/>
      <c r="H131" s="20"/>
      <c r="I131" s="20"/>
      <c r="J131" s="20"/>
      <c r="K131" s="20"/>
      <c r="L131" s="20"/>
      <c r="M131" s="20"/>
      <c r="N131" s="20"/>
      <c r="O131" s="20"/>
      <c r="P131" s="20"/>
      <c r="Q131" s="34"/>
      <c r="R131" s="34"/>
      <c r="S131" s="34"/>
      <c r="T131" s="34"/>
      <c r="U131" s="34"/>
      <c r="V131" s="34"/>
      <c r="W131" s="34"/>
      <c r="X131" s="34"/>
      <c r="Y131" s="34"/>
      <c r="Z131" s="34"/>
      <c r="AA131" s="34"/>
    </row>
    <row r="132" spans="1:27">
      <c r="A132" s="20"/>
      <c r="B132" s="20"/>
      <c r="C132" s="20"/>
      <c r="D132" s="20"/>
      <c r="E132" s="20"/>
      <c r="F132" s="20"/>
      <c r="G132" s="20"/>
      <c r="H132" s="20"/>
      <c r="I132" s="20"/>
      <c r="J132" s="20"/>
      <c r="K132" s="20"/>
      <c r="L132" s="20"/>
      <c r="M132" s="20"/>
      <c r="N132" s="20"/>
      <c r="O132" s="20"/>
      <c r="P132" s="20"/>
      <c r="Q132" s="34"/>
      <c r="R132" s="34"/>
      <c r="S132" s="34"/>
      <c r="T132" s="34"/>
      <c r="U132" s="34"/>
      <c r="V132" s="34"/>
      <c r="W132" s="34"/>
      <c r="X132" s="34"/>
      <c r="Y132" s="34"/>
      <c r="Z132" s="34"/>
      <c r="AA132" s="34"/>
    </row>
    <row r="133" spans="1:27">
      <c r="A133" s="20"/>
      <c r="B133" s="20"/>
      <c r="C133" s="20"/>
      <c r="D133" s="20"/>
      <c r="E133" s="20"/>
      <c r="F133" s="20"/>
      <c r="G133" s="20"/>
      <c r="H133" s="20"/>
      <c r="I133" s="20"/>
      <c r="J133" s="20"/>
      <c r="K133" s="20"/>
      <c r="L133" s="20"/>
      <c r="M133" s="20"/>
      <c r="N133" s="20"/>
      <c r="O133" s="20"/>
      <c r="P133" s="20"/>
      <c r="Q133" s="34"/>
      <c r="R133" s="34"/>
      <c r="S133" s="34"/>
      <c r="T133" s="34"/>
      <c r="U133" s="34"/>
      <c r="V133" s="34"/>
      <c r="W133" s="34"/>
      <c r="X133" s="34"/>
      <c r="Y133" s="34"/>
      <c r="Z133" s="34"/>
      <c r="AA133" s="34"/>
    </row>
    <row r="134" spans="1:27">
      <c r="A134" s="20"/>
      <c r="B134" s="20"/>
      <c r="C134" s="20"/>
      <c r="D134" s="20"/>
      <c r="E134" s="20"/>
      <c r="F134" s="20"/>
      <c r="G134" s="20"/>
      <c r="H134" s="20"/>
      <c r="I134" s="20"/>
      <c r="J134" s="20"/>
      <c r="K134" s="20"/>
      <c r="L134" s="20"/>
      <c r="M134" s="20"/>
      <c r="N134" s="20"/>
      <c r="O134" s="20"/>
      <c r="P134" s="20"/>
      <c r="Q134" s="34"/>
      <c r="R134" s="34"/>
      <c r="S134" s="34"/>
      <c r="T134" s="34"/>
      <c r="U134" s="34"/>
      <c r="V134" s="34"/>
      <c r="W134" s="34"/>
      <c r="X134" s="34"/>
      <c r="Y134" s="34"/>
      <c r="Z134" s="34"/>
      <c r="AA134" s="34"/>
    </row>
    <row r="135" spans="1:27">
      <c r="A135" s="20"/>
      <c r="B135" s="20"/>
      <c r="C135" s="20"/>
      <c r="D135" s="20"/>
      <c r="E135" s="20"/>
      <c r="F135" s="20"/>
      <c r="G135" s="20"/>
      <c r="H135" s="20"/>
      <c r="I135" s="20"/>
      <c r="J135" s="20"/>
      <c r="K135" s="20"/>
      <c r="L135" s="20"/>
      <c r="M135" s="20"/>
      <c r="N135" s="20"/>
      <c r="O135" s="20"/>
      <c r="P135" s="20"/>
      <c r="Q135" s="34"/>
      <c r="R135" s="34"/>
      <c r="S135" s="34"/>
      <c r="T135" s="34"/>
      <c r="U135" s="34"/>
      <c r="V135" s="34"/>
      <c r="W135" s="34"/>
      <c r="X135" s="34"/>
      <c r="Y135" s="34"/>
      <c r="Z135" s="34"/>
      <c r="AA135" s="34"/>
    </row>
    <row r="136" spans="1:27">
      <c r="A136" s="20"/>
      <c r="B136" s="20"/>
      <c r="C136" s="20"/>
      <c r="D136" s="20"/>
      <c r="E136" s="20"/>
      <c r="F136" s="20"/>
      <c r="G136" s="20"/>
      <c r="H136" s="20"/>
      <c r="I136" s="20"/>
      <c r="J136" s="20"/>
      <c r="K136" s="20"/>
      <c r="L136" s="20"/>
      <c r="M136" s="20"/>
      <c r="N136" s="20"/>
      <c r="O136" s="20"/>
      <c r="P136" s="20"/>
      <c r="Q136" s="34"/>
      <c r="R136" s="34"/>
      <c r="S136" s="34"/>
      <c r="T136" s="34"/>
      <c r="U136" s="34"/>
      <c r="V136" s="34"/>
      <c r="W136" s="34"/>
      <c r="X136" s="34"/>
      <c r="Y136" s="34"/>
      <c r="Z136" s="34"/>
      <c r="AA136" s="34"/>
    </row>
    <row r="137" spans="1:27">
      <c r="A137" s="20"/>
      <c r="B137" s="20"/>
      <c r="C137" s="20"/>
      <c r="D137" s="20"/>
      <c r="E137" s="20"/>
      <c r="F137" s="20"/>
      <c r="G137" s="20"/>
      <c r="H137" s="20"/>
      <c r="I137" s="20"/>
      <c r="J137" s="20"/>
      <c r="K137" s="20"/>
      <c r="L137" s="20"/>
      <c r="M137" s="20"/>
      <c r="N137" s="20"/>
      <c r="O137" s="20"/>
      <c r="P137" s="20"/>
      <c r="Q137" s="34"/>
      <c r="R137" s="34"/>
      <c r="S137" s="34"/>
      <c r="T137" s="34"/>
      <c r="U137" s="34"/>
      <c r="V137" s="34"/>
      <c r="W137" s="34"/>
      <c r="X137" s="34"/>
      <c r="Y137" s="34"/>
      <c r="Z137" s="34"/>
      <c r="AA137" s="34"/>
    </row>
    <row r="138" spans="1:27">
      <c r="A138" s="20"/>
      <c r="B138" s="20"/>
      <c r="C138" s="20"/>
      <c r="D138" s="20"/>
      <c r="E138" s="20"/>
      <c r="F138" s="20"/>
      <c r="G138" s="20"/>
      <c r="H138" s="20"/>
      <c r="I138" s="20"/>
      <c r="J138" s="20"/>
      <c r="K138" s="20"/>
      <c r="L138" s="20"/>
      <c r="M138" s="20"/>
      <c r="N138" s="20"/>
      <c r="O138" s="20"/>
      <c r="P138" s="20"/>
      <c r="Q138" s="34"/>
      <c r="R138" s="34"/>
      <c r="S138" s="34"/>
      <c r="T138" s="34"/>
      <c r="U138" s="34"/>
      <c r="V138" s="34"/>
      <c r="W138" s="34"/>
      <c r="X138" s="34"/>
      <c r="Y138" s="34"/>
      <c r="Z138" s="34"/>
      <c r="AA138" s="34"/>
    </row>
    <row r="139" spans="1:27">
      <c r="A139" s="20"/>
      <c r="B139" s="20"/>
      <c r="C139" s="20"/>
      <c r="D139" s="20"/>
      <c r="E139" s="20"/>
      <c r="F139" s="20"/>
      <c r="G139" s="20"/>
      <c r="H139" s="20"/>
      <c r="I139" s="20"/>
      <c r="J139" s="20"/>
      <c r="K139" s="20"/>
      <c r="L139" s="20"/>
      <c r="M139" s="20"/>
      <c r="N139" s="20"/>
      <c r="O139" s="20"/>
      <c r="P139" s="20"/>
      <c r="Q139" s="34"/>
      <c r="R139" s="34"/>
      <c r="S139" s="34"/>
      <c r="T139" s="34"/>
      <c r="U139" s="34"/>
      <c r="V139" s="34"/>
      <c r="W139" s="34"/>
      <c r="X139" s="34"/>
      <c r="Y139" s="34"/>
      <c r="Z139" s="34"/>
      <c r="AA139" s="34"/>
    </row>
    <row r="140" spans="1:27">
      <c r="A140" s="20"/>
      <c r="B140" s="20"/>
      <c r="C140" s="20"/>
      <c r="D140" s="20"/>
      <c r="E140" s="20"/>
      <c r="F140" s="20"/>
      <c r="G140" s="20"/>
      <c r="H140" s="20"/>
      <c r="I140" s="20"/>
      <c r="J140" s="20"/>
      <c r="K140" s="20"/>
      <c r="L140" s="20"/>
      <c r="M140" s="20"/>
      <c r="N140" s="20"/>
      <c r="O140" s="20"/>
      <c r="P140" s="20"/>
      <c r="Q140" s="34"/>
      <c r="R140" s="34"/>
      <c r="S140" s="34"/>
      <c r="T140" s="34"/>
      <c r="U140" s="34"/>
      <c r="V140" s="34"/>
      <c r="W140" s="34"/>
      <c r="X140" s="34"/>
      <c r="Y140" s="34"/>
      <c r="Z140" s="34"/>
      <c r="AA140" s="34"/>
    </row>
    <row r="141" spans="1:27">
      <c r="A141" s="20"/>
      <c r="B141" s="20"/>
      <c r="C141" s="20"/>
      <c r="D141" s="20"/>
      <c r="E141" s="20"/>
      <c r="F141" s="20"/>
      <c r="G141" s="20"/>
      <c r="H141" s="20"/>
      <c r="I141" s="20"/>
      <c r="J141" s="20"/>
      <c r="K141" s="20"/>
      <c r="L141" s="20"/>
      <c r="M141" s="20"/>
      <c r="N141" s="20"/>
      <c r="O141" s="20"/>
      <c r="P141" s="20"/>
      <c r="Q141" s="34"/>
      <c r="R141" s="34"/>
      <c r="S141" s="34"/>
      <c r="T141" s="34"/>
      <c r="U141" s="34"/>
      <c r="V141" s="34"/>
      <c r="W141" s="34"/>
      <c r="X141" s="34"/>
      <c r="Y141" s="34"/>
      <c r="Z141" s="34"/>
      <c r="AA141" s="34"/>
    </row>
    <row r="142" spans="1:27">
      <c r="A142" s="20"/>
      <c r="B142" s="20"/>
      <c r="C142" s="20"/>
      <c r="D142" s="20"/>
      <c r="E142" s="20"/>
      <c r="F142" s="20"/>
      <c r="G142" s="20"/>
      <c r="H142" s="20"/>
      <c r="I142" s="20"/>
      <c r="J142" s="20"/>
      <c r="K142" s="20"/>
      <c r="L142" s="20"/>
      <c r="M142" s="20"/>
      <c r="N142" s="20"/>
      <c r="O142" s="20"/>
      <c r="P142" s="20"/>
      <c r="Q142" s="34"/>
      <c r="R142" s="34"/>
      <c r="S142" s="34"/>
      <c r="T142" s="34"/>
      <c r="U142" s="34"/>
      <c r="V142" s="34"/>
      <c r="W142" s="34"/>
      <c r="X142" s="34"/>
      <c r="Y142" s="34"/>
      <c r="Z142" s="34"/>
      <c r="AA142" s="34"/>
    </row>
    <row r="143" spans="1:27">
      <c r="A143" s="20"/>
      <c r="B143" s="20"/>
      <c r="C143" s="20"/>
      <c r="D143" s="20"/>
      <c r="E143" s="20"/>
      <c r="F143" s="20"/>
      <c r="G143" s="20"/>
      <c r="H143" s="20"/>
      <c r="I143" s="20"/>
      <c r="J143" s="20"/>
      <c r="K143" s="20"/>
      <c r="L143" s="20"/>
      <c r="M143" s="20"/>
      <c r="N143" s="20"/>
      <c r="O143" s="20"/>
      <c r="P143" s="20"/>
      <c r="Q143" s="34"/>
      <c r="R143" s="34"/>
      <c r="S143" s="34"/>
      <c r="T143" s="34"/>
      <c r="U143" s="34"/>
      <c r="V143" s="34"/>
      <c r="W143" s="34"/>
      <c r="X143" s="34"/>
      <c r="Y143" s="34"/>
      <c r="Z143" s="34"/>
      <c r="AA143" s="34"/>
    </row>
    <row r="144" spans="1:27">
      <c r="A144" s="20"/>
      <c r="B144" s="20"/>
      <c r="C144" s="20"/>
      <c r="D144" s="20"/>
      <c r="E144" s="20"/>
      <c r="F144" s="20"/>
      <c r="G144" s="20"/>
      <c r="H144" s="20"/>
      <c r="I144" s="20"/>
      <c r="J144" s="20"/>
      <c r="K144" s="20"/>
      <c r="L144" s="20"/>
      <c r="M144" s="20"/>
      <c r="N144" s="20"/>
      <c r="O144" s="20"/>
      <c r="P144" s="20"/>
      <c r="Q144" s="34"/>
      <c r="R144" s="34"/>
      <c r="S144" s="34"/>
      <c r="T144" s="34"/>
      <c r="U144" s="34"/>
      <c r="V144" s="34"/>
      <c r="W144" s="34"/>
      <c r="X144" s="34"/>
      <c r="Y144" s="34"/>
      <c r="Z144" s="34"/>
      <c r="AA144" s="34"/>
    </row>
    <row r="145" spans="1:27">
      <c r="A145" s="20"/>
      <c r="B145" s="20"/>
      <c r="C145" s="20"/>
      <c r="D145" s="20"/>
      <c r="E145" s="20"/>
      <c r="F145" s="20"/>
      <c r="G145" s="20"/>
      <c r="H145" s="20"/>
      <c r="I145" s="20"/>
      <c r="J145" s="20"/>
      <c r="K145" s="20"/>
      <c r="L145" s="20"/>
      <c r="M145" s="20"/>
      <c r="N145" s="20"/>
      <c r="O145" s="20"/>
      <c r="P145" s="20"/>
      <c r="Q145" s="34"/>
      <c r="R145" s="34"/>
      <c r="S145" s="34"/>
      <c r="T145" s="34"/>
      <c r="U145" s="34"/>
      <c r="V145" s="34"/>
      <c r="W145" s="34"/>
      <c r="X145" s="34"/>
      <c r="Y145" s="34"/>
      <c r="Z145" s="34"/>
      <c r="AA145" s="34"/>
    </row>
    <row r="146" spans="1:27">
      <c r="A146" s="20"/>
      <c r="B146" s="20"/>
      <c r="C146" s="20"/>
      <c r="D146" s="20"/>
      <c r="E146" s="20"/>
      <c r="F146" s="20"/>
      <c r="G146" s="20"/>
      <c r="H146" s="20"/>
      <c r="I146" s="20"/>
      <c r="J146" s="20"/>
      <c r="K146" s="20"/>
      <c r="L146" s="20"/>
      <c r="M146" s="20"/>
      <c r="N146" s="20"/>
      <c r="O146" s="20"/>
      <c r="P146" s="20"/>
      <c r="Q146" s="34"/>
      <c r="R146" s="34"/>
      <c r="S146" s="34"/>
      <c r="T146" s="34"/>
      <c r="U146" s="34"/>
      <c r="V146" s="34"/>
      <c r="W146" s="34"/>
      <c r="X146" s="34"/>
      <c r="Y146" s="34"/>
      <c r="Z146" s="34"/>
      <c r="AA146" s="34"/>
    </row>
    <row r="147" spans="1:27">
      <c r="A147" s="20"/>
      <c r="B147" s="20"/>
      <c r="C147" s="20"/>
      <c r="D147" s="20"/>
      <c r="E147" s="20"/>
      <c r="F147" s="20"/>
      <c r="G147" s="20"/>
      <c r="H147" s="20"/>
      <c r="I147" s="20"/>
      <c r="J147" s="20"/>
      <c r="K147" s="20"/>
      <c r="L147" s="20"/>
      <c r="M147" s="20"/>
      <c r="N147" s="20"/>
      <c r="O147" s="20"/>
      <c r="P147" s="20"/>
      <c r="Q147" s="34"/>
      <c r="R147" s="34"/>
      <c r="S147" s="34"/>
      <c r="T147" s="34"/>
      <c r="U147" s="34"/>
      <c r="V147" s="34"/>
      <c r="W147" s="34"/>
      <c r="X147" s="34"/>
      <c r="Y147" s="34"/>
      <c r="Z147" s="34"/>
      <c r="AA147" s="34"/>
    </row>
    <row r="148" spans="1:27">
      <c r="A148" s="20"/>
      <c r="B148" s="20"/>
      <c r="C148" s="20"/>
      <c r="D148" s="20"/>
      <c r="E148" s="20"/>
      <c r="F148" s="20"/>
      <c r="G148" s="20"/>
      <c r="H148" s="20"/>
      <c r="I148" s="20"/>
      <c r="J148" s="20"/>
      <c r="K148" s="20"/>
      <c r="L148" s="20"/>
      <c r="M148" s="20"/>
      <c r="N148" s="20"/>
      <c r="O148" s="20"/>
      <c r="P148" s="20"/>
      <c r="Q148" s="34"/>
      <c r="R148" s="34"/>
      <c r="S148" s="34"/>
      <c r="T148" s="34"/>
      <c r="U148" s="34"/>
      <c r="V148" s="34"/>
      <c r="W148" s="34"/>
      <c r="X148" s="34"/>
      <c r="Y148" s="34"/>
      <c r="Z148" s="34"/>
      <c r="AA148" s="34"/>
    </row>
    <row r="149" spans="1:27">
      <c r="A149" s="20"/>
      <c r="B149" s="20"/>
      <c r="C149" s="20"/>
      <c r="D149" s="20"/>
      <c r="E149" s="20"/>
      <c r="F149" s="20"/>
      <c r="G149" s="20"/>
      <c r="H149" s="20"/>
      <c r="I149" s="20"/>
      <c r="J149" s="20"/>
      <c r="K149" s="20"/>
      <c r="L149" s="20"/>
      <c r="M149" s="20"/>
      <c r="N149" s="20"/>
      <c r="O149" s="20"/>
      <c r="P149" s="20"/>
      <c r="Q149" s="34"/>
      <c r="R149" s="34"/>
      <c r="S149" s="34"/>
      <c r="T149" s="34"/>
      <c r="U149" s="34"/>
      <c r="V149" s="34"/>
      <c r="W149" s="34"/>
      <c r="X149" s="34"/>
      <c r="Y149" s="34"/>
      <c r="Z149" s="34"/>
      <c r="AA149" s="34"/>
    </row>
    <row r="150" spans="1:27">
      <c r="A150" s="20"/>
      <c r="B150" s="20"/>
      <c r="C150" s="20"/>
      <c r="D150" s="20"/>
      <c r="E150" s="20"/>
      <c r="F150" s="20"/>
      <c r="G150" s="20"/>
      <c r="H150" s="20"/>
      <c r="I150" s="20"/>
      <c r="J150" s="20"/>
      <c r="K150" s="20"/>
      <c r="L150" s="20"/>
      <c r="M150" s="20"/>
      <c r="N150" s="20"/>
      <c r="O150" s="20"/>
      <c r="P150" s="20"/>
      <c r="Q150" s="34"/>
      <c r="R150" s="34"/>
      <c r="S150" s="34"/>
      <c r="T150" s="34"/>
      <c r="U150" s="34"/>
      <c r="V150" s="34"/>
      <c r="W150" s="34"/>
      <c r="X150" s="34"/>
      <c r="Y150" s="34"/>
      <c r="Z150" s="34"/>
      <c r="AA150" s="34"/>
    </row>
    <row r="151" spans="1:27">
      <c r="A151" s="20"/>
      <c r="B151" s="20"/>
      <c r="C151" s="20"/>
      <c r="D151" s="20"/>
      <c r="E151" s="20"/>
      <c r="F151" s="20"/>
      <c r="G151" s="20"/>
      <c r="H151" s="20"/>
      <c r="I151" s="20"/>
      <c r="J151" s="20"/>
      <c r="K151" s="20"/>
      <c r="L151" s="20"/>
      <c r="M151" s="20"/>
      <c r="N151" s="20"/>
      <c r="O151" s="20"/>
      <c r="P151" s="20"/>
      <c r="Q151" s="34"/>
      <c r="R151" s="34"/>
      <c r="S151" s="34"/>
      <c r="T151" s="34"/>
      <c r="U151" s="34"/>
      <c r="V151" s="34"/>
      <c r="W151" s="34"/>
      <c r="X151" s="34"/>
      <c r="Y151" s="34"/>
      <c r="Z151" s="34"/>
      <c r="AA151" s="34"/>
    </row>
    <row r="152" spans="1:27">
      <c r="A152" s="20"/>
      <c r="B152" s="20"/>
      <c r="C152" s="20"/>
      <c r="D152" s="20"/>
      <c r="E152" s="20"/>
      <c r="F152" s="20"/>
      <c r="G152" s="20"/>
      <c r="H152" s="20"/>
      <c r="I152" s="20"/>
      <c r="J152" s="20"/>
      <c r="K152" s="20"/>
      <c r="L152" s="20"/>
      <c r="M152" s="20"/>
      <c r="N152" s="20"/>
      <c r="O152" s="20"/>
      <c r="P152" s="20"/>
      <c r="Q152" s="34"/>
      <c r="R152" s="34"/>
      <c r="S152" s="34"/>
      <c r="T152" s="34"/>
      <c r="U152" s="34"/>
      <c r="V152" s="34"/>
      <c r="W152" s="34"/>
      <c r="X152" s="34"/>
      <c r="Y152" s="34"/>
      <c r="Z152" s="34"/>
      <c r="AA152" s="34"/>
    </row>
    <row r="153" spans="1:27">
      <c r="A153" s="20"/>
      <c r="B153" s="20"/>
      <c r="C153" s="20"/>
      <c r="D153" s="20"/>
      <c r="E153" s="20"/>
      <c r="F153" s="20"/>
      <c r="G153" s="20"/>
      <c r="H153" s="20"/>
      <c r="I153" s="20"/>
      <c r="J153" s="20"/>
      <c r="K153" s="20"/>
      <c r="L153" s="20"/>
      <c r="M153" s="20"/>
      <c r="N153" s="20"/>
      <c r="O153" s="20"/>
      <c r="P153" s="20"/>
      <c r="Q153" s="34"/>
      <c r="R153" s="34"/>
      <c r="S153" s="34"/>
      <c r="T153" s="34"/>
      <c r="U153" s="34"/>
      <c r="V153" s="34"/>
      <c r="W153" s="34"/>
      <c r="X153" s="34"/>
      <c r="Y153" s="34"/>
      <c r="Z153" s="34"/>
      <c r="AA153" s="34"/>
    </row>
    <row r="154" spans="1:27">
      <c r="A154" s="20"/>
      <c r="B154" s="20"/>
      <c r="C154" s="20"/>
      <c r="D154" s="20"/>
      <c r="E154" s="20"/>
      <c r="F154" s="20"/>
      <c r="G154" s="20"/>
      <c r="H154" s="20"/>
      <c r="I154" s="20"/>
      <c r="J154" s="20"/>
      <c r="K154" s="20"/>
      <c r="L154" s="20"/>
      <c r="M154" s="20"/>
      <c r="N154" s="20"/>
      <c r="O154" s="20"/>
      <c r="P154" s="20"/>
      <c r="Q154" s="34"/>
      <c r="R154" s="34"/>
      <c r="S154" s="34"/>
      <c r="T154" s="34"/>
      <c r="U154" s="34"/>
      <c r="V154" s="34"/>
      <c r="W154" s="34"/>
      <c r="X154" s="34"/>
      <c r="Y154" s="34"/>
      <c r="Z154" s="34"/>
      <c r="AA154" s="34"/>
    </row>
    <row r="155" spans="1:27">
      <c r="A155" s="20"/>
      <c r="B155" s="20"/>
      <c r="C155" s="20"/>
      <c r="D155" s="20"/>
      <c r="E155" s="20"/>
      <c r="F155" s="20"/>
      <c r="G155" s="20"/>
      <c r="H155" s="20"/>
      <c r="I155" s="20"/>
      <c r="J155" s="20"/>
      <c r="K155" s="20"/>
      <c r="L155" s="20"/>
      <c r="M155" s="20"/>
      <c r="N155" s="20"/>
      <c r="O155" s="20"/>
      <c r="P155" s="20"/>
      <c r="Q155" s="34"/>
      <c r="R155" s="34"/>
      <c r="S155" s="34"/>
      <c r="T155" s="34"/>
      <c r="U155" s="34"/>
      <c r="V155" s="34"/>
      <c r="W155" s="34"/>
      <c r="X155" s="34"/>
      <c r="Y155" s="34"/>
      <c r="Z155" s="34"/>
      <c r="AA155" s="34"/>
    </row>
    <row r="156" spans="1:27">
      <c r="A156" s="20"/>
      <c r="B156" s="20"/>
      <c r="C156" s="20"/>
      <c r="D156" s="20"/>
      <c r="E156" s="20"/>
      <c r="F156" s="20"/>
      <c r="G156" s="20"/>
      <c r="H156" s="20"/>
      <c r="I156" s="20"/>
      <c r="J156" s="20"/>
      <c r="K156" s="20"/>
      <c r="L156" s="20"/>
      <c r="M156" s="20"/>
      <c r="N156" s="20"/>
      <c r="O156" s="20"/>
      <c r="P156" s="20"/>
      <c r="Q156" s="34"/>
      <c r="R156" s="34"/>
      <c r="S156" s="34"/>
      <c r="T156" s="34"/>
      <c r="U156" s="34"/>
      <c r="V156" s="34"/>
      <c r="W156" s="34"/>
      <c r="X156" s="34"/>
      <c r="Y156" s="34"/>
      <c r="Z156" s="34"/>
      <c r="AA156" s="34"/>
    </row>
    <row r="157" spans="1:27">
      <c r="A157" s="20"/>
      <c r="B157" s="20"/>
      <c r="C157" s="20"/>
      <c r="D157" s="20"/>
      <c r="E157" s="20"/>
      <c r="F157" s="20"/>
      <c r="G157" s="20"/>
      <c r="H157" s="20"/>
      <c r="I157" s="20"/>
      <c r="J157" s="20"/>
      <c r="K157" s="20"/>
      <c r="L157" s="20"/>
      <c r="M157" s="20"/>
      <c r="N157" s="20"/>
      <c r="O157" s="20"/>
      <c r="P157" s="20"/>
      <c r="Q157" s="34"/>
      <c r="R157" s="34"/>
      <c r="S157" s="34"/>
      <c r="T157" s="34"/>
      <c r="U157" s="34"/>
      <c r="V157" s="34"/>
      <c r="W157" s="34"/>
      <c r="X157" s="34"/>
      <c r="Y157" s="34"/>
      <c r="Z157" s="34"/>
      <c r="AA157" s="34"/>
    </row>
    <row r="158" spans="1:27">
      <c r="A158" s="20"/>
      <c r="B158" s="20"/>
      <c r="C158" s="20"/>
      <c r="D158" s="20"/>
      <c r="E158" s="20"/>
      <c r="F158" s="20"/>
      <c r="G158" s="20"/>
      <c r="H158" s="20"/>
      <c r="I158" s="20"/>
      <c r="J158" s="20"/>
      <c r="K158" s="20"/>
      <c r="L158" s="20"/>
      <c r="M158" s="20"/>
      <c r="N158" s="20"/>
      <c r="O158" s="20"/>
      <c r="P158" s="20"/>
      <c r="Q158" s="34"/>
      <c r="R158" s="34"/>
      <c r="S158" s="34"/>
      <c r="T158" s="34"/>
      <c r="U158" s="34"/>
      <c r="V158" s="34"/>
      <c r="W158" s="34"/>
      <c r="X158" s="34"/>
      <c r="Y158" s="34"/>
      <c r="Z158" s="34"/>
      <c r="AA158" s="34"/>
    </row>
    <row r="159" spans="1:27">
      <c r="A159" s="20"/>
      <c r="B159" s="20"/>
      <c r="C159" s="20"/>
      <c r="D159" s="20"/>
      <c r="E159" s="20"/>
      <c r="F159" s="20"/>
      <c r="G159" s="20"/>
      <c r="H159" s="20"/>
      <c r="I159" s="20"/>
      <c r="J159" s="20"/>
      <c r="K159" s="20"/>
      <c r="L159" s="20"/>
      <c r="M159" s="20"/>
      <c r="N159" s="20"/>
      <c r="O159" s="20"/>
      <c r="P159" s="20"/>
      <c r="Q159" s="34"/>
      <c r="R159" s="34"/>
      <c r="S159" s="34"/>
      <c r="T159" s="34"/>
      <c r="U159" s="34"/>
      <c r="V159" s="34"/>
      <c r="W159" s="34"/>
      <c r="X159" s="34"/>
      <c r="Y159" s="34"/>
      <c r="Z159" s="34"/>
      <c r="AA159" s="34"/>
    </row>
    <row r="160" spans="1:27">
      <c r="A160" s="20"/>
      <c r="B160" s="20"/>
      <c r="C160" s="20"/>
      <c r="D160" s="20"/>
      <c r="E160" s="20"/>
      <c r="F160" s="20"/>
      <c r="G160" s="20"/>
      <c r="H160" s="20"/>
      <c r="I160" s="20"/>
      <c r="J160" s="20"/>
      <c r="K160" s="20"/>
      <c r="L160" s="20"/>
      <c r="M160" s="20"/>
      <c r="N160" s="20"/>
      <c r="O160" s="20"/>
      <c r="P160" s="20"/>
      <c r="Q160" s="34"/>
      <c r="R160" s="34"/>
      <c r="S160" s="34"/>
      <c r="T160" s="34"/>
      <c r="U160" s="34"/>
      <c r="V160" s="34"/>
      <c r="W160" s="34"/>
      <c r="X160" s="34"/>
      <c r="Y160" s="34"/>
      <c r="Z160" s="34"/>
      <c r="AA160" s="34"/>
    </row>
    <row r="161" spans="1:27">
      <c r="A161" s="20"/>
      <c r="B161" s="20"/>
      <c r="C161" s="20"/>
      <c r="D161" s="20"/>
      <c r="E161" s="20"/>
      <c r="F161" s="20"/>
      <c r="G161" s="20"/>
      <c r="H161" s="20"/>
      <c r="I161" s="20"/>
      <c r="J161" s="20"/>
      <c r="K161" s="20"/>
      <c r="L161" s="20"/>
      <c r="M161" s="20"/>
      <c r="N161" s="20"/>
      <c r="O161" s="20"/>
      <c r="P161" s="20"/>
      <c r="Q161" s="34"/>
      <c r="R161" s="34"/>
      <c r="S161" s="34"/>
      <c r="T161" s="34"/>
      <c r="U161" s="34"/>
      <c r="V161" s="34"/>
      <c r="W161" s="34"/>
      <c r="X161" s="34"/>
      <c r="Y161" s="34"/>
      <c r="Z161" s="34"/>
      <c r="AA161" s="34"/>
    </row>
    <row r="162" spans="1:27">
      <c r="A162" s="20"/>
      <c r="B162" s="20"/>
      <c r="C162" s="20"/>
      <c r="D162" s="20"/>
      <c r="E162" s="20"/>
      <c r="F162" s="20"/>
      <c r="G162" s="20"/>
      <c r="H162" s="20"/>
      <c r="I162" s="20"/>
      <c r="J162" s="20"/>
      <c r="K162" s="20"/>
      <c r="L162" s="20"/>
      <c r="M162" s="20"/>
      <c r="N162" s="20"/>
      <c r="O162" s="20"/>
      <c r="P162" s="20"/>
      <c r="Q162" s="34"/>
      <c r="R162" s="34"/>
      <c r="S162" s="34"/>
      <c r="T162" s="34"/>
      <c r="U162" s="34"/>
      <c r="V162" s="34"/>
      <c r="W162" s="34"/>
      <c r="X162" s="34"/>
      <c r="Y162" s="34"/>
      <c r="Z162" s="34"/>
      <c r="AA162" s="34"/>
    </row>
    <row r="163" spans="1:27">
      <c r="A163" s="20"/>
      <c r="B163" s="20"/>
      <c r="C163" s="20"/>
      <c r="D163" s="20"/>
      <c r="E163" s="20"/>
      <c r="F163" s="20"/>
      <c r="G163" s="20"/>
      <c r="H163" s="20"/>
      <c r="I163" s="20"/>
      <c r="J163" s="20"/>
      <c r="K163" s="20"/>
      <c r="L163" s="20"/>
      <c r="M163" s="20"/>
      <c r="N163" s="20"/>
      <c r="O163" s="20"/>
      <c r="P163" s="20"/>
      <c r="Q163" s="34"/>
      <c r="R163" s="34"/>
      <c r="S163" s="34"/>
      <c r="T163" s="34"/>
      <c r="U163" s="34"/>
      <c r="V163" s="34"/>
      <c r="W163" s="34"/>
      <c r="X163" s="34"/>
      <c r="Y163" s="34"/>
      <c r="Z163" s="34"/>
      <c r="AA163" s="34"/>
    </row>
    <row r="164" spans="1:27">
      <c r="A164" s="20"/>
      <c r="B164" s="20"/>
      <c r="C164" s="20"/>
      <c r="D164" s="20"/>
      <c r="E164" s="20"/>
      <c r="F164" s="20"/>
      <c r="G164" s="20"/>
      <c r="H164" s="20"/>
      <c r="I164" s="20"/>
      <c r="J164" s="20"/>
      <c r="K164" s="20"/>
      <c r="L164" s="20"/>
      <c r="M164" s="20"/>
      <c r="N164" s="20"/>
      <c r="O164" s="20"/>
      <c r="P164" s="20"/>
      <c r="Q164" s="34"/>
      <c r="R164" s="34"/>
      <c r="S164" s="34"/>
      <c r="T164" s="34"/>
      <c r="U164" s="34"/>
      <c r="V164" s="34"/>
      <c r="W164" s="34"/>
      <c r="X164" s="34"/>
      <c r="Y164" s="34"/>
      <c r="Z164" s="34"/>
      <c r="AA164" s="34"/>
    </row>
    <row r="165" spans="1:27">
      <c r="A165" s="20"/>
      <c r="B165" s="20"/>
      <c r="C165" s="20"/>
      <c r="D165" s="20"/>
      <c r="E165" s="20"/>
      <c r="F165" s="20"/>
      <c r="G165" s="20"/>
      <c r="H165" s="20"/>
      <c r="I165" s="20"/>
      <c r="J165" s="20"/>
      <c r="K165" s="20"/>
      <c r="L165" s="20"/>
      <c r="M165" s="20"/>
      <c r="N165" s="20"/>
      <c r="O165" s="20"/>
      <c r="P165" s="20"/>
      <c r="Q165" s="34"/>
      <c r="R165" s="34"/>
      <c r="S165" s="34"/>
      <c r="T165" s="34"/>
      <c r="U165" s="34"/>
      <c r="V165" s="34"/>
      <c r="W165" s="34"/>
      <c r="X165" s="34"/>
      <c r="Y165" s="34"/>
      <c r="Z165" s="34"/>
      <c r="AA165" s="34"/>
    </row>
    <row r="166" spans="1:27">
      <c r="A166" s="20"/>
      <c r="B166" s="20"/>
      <c r="C166" s="20"/>
      <c r="D166" s="20"/>
      <c r="E166" s="20"/>
      <c r="F166" s="20"/>
      <c r="G166" s="20"/>
      <c r="H166" s="20"/>
      <c r="I166" s="20"/>
      <c r="J166" s="20"/>
      <c r="K166" s="20"/>
      <c r="L166" s="20"/>
      <c r="M166" s="20"/>
      <c r="N166" s="20"/>
      <c r="O166" s="20"/>
      <c r="P166" s="20"/>
      <c r="Q166" s="34"/>
      <c r="R166" s="34"/>
      <c r="S166" s="34"/>
      <c r="T166" s="34"/>
      <c r="U166" s="34"/>
      <c r="V166" s="34"/>
      <c r="W166" s="34"/>
      <c r="X166" s="34"/>
      <c r="Y166" s="34"/>
      <c r="Z166" s="34"/>
      <c r="AA166" s="34"/>
    </row>
    <row r="167" spans="1:27">
      <c r="A167" s="20"/>
      <c r="B167" s="20"/>
      <c r="C167" s="20"/>
      <c r="D167" s="20"/>
      <c r="E167" s="20"/>
      <c r="F167" s="20"/>
      <c r="G167" s="20"/>
      <c r="H167" s="20"/>
      <c r="I167" s="20"/>
      <c r="J167" s="20"/>
      <c r="K167" s="20"/>
      <c r="L167" s="20"/>
      <c r="M167" s="20"/>
      <c r="N167" s="20"/>
      <c r="O167" s="20"/>
      <c r="P167" s="20"/>
      <c r="Q167" s="34"/>
      <c r="R167" s="34"/>
      <c r="S167" s="34"/>
      <c r="T167" s="34"/>
      <c r="U167" s="34"/>
      <c r="V167" s="34"/>
      <c r="W167" s="34"/>
      <c r="X167" s="34"/>
      <c r="Y167" s="34"/>
      <c r="Z167" s="34"/>
      <c r="AA167" s="34"/>
    </row>
    <row r="168" spans="1:27">
      <c r="A168" s="20"/>
      <c r="B168" s="20"/>
      <c r="C168" s="20"/>
      <c r="D168" s="20"/>
      <c r="E168" s="20"/>
      <c r="F168" s="20"/>
      <c r="G168" s="20"/>
      <c r="H168" s="20"/>
      <c r="I168" s="20"/>
      <c r="J168" s="20"/>
      <c r="K168" s="20"/>
      <c r="L168" s="20"/>
      <c r="M168" s="20"/>
      <c r="N168" s="20"/>
      <c r="O168" s="20"/>
      <c r="P168" s="20"/>
      <c r="Q168" s="34"/>
      <c r="R168" s="34"/>
      <c r="S168" s="34"/>
      <c r="T168" s="34"/>
      <c r="U168" s="34"/>
      <c r="V168" s="34"/>
      <c r="W168" s="34"/>
      <c r="X168" s="34"/>
      <c r="Y168" s="34"/>
      <c r="Z168" s="34"/>
      <c r="AA168" s="34"/>
    </row>
    <row r="169" spans="1:27">
      <c r="A169" s="20"/>
      <c r="B169" s="20"/>
      <c r="C169" s="20"/>
      <c r="D169" s="20"/>
      <c r="E169" s="20"/>
      <c r="F169" s="20"/>
      <c r="G169" s="20"/>
      <c r="H169" s="20"/>
      <c r="I169" s="20"/>
      <c r="J169" s="20"/>
      <c r="K169" s="20"/>
      <c r="L169" s="20"/>
      <c r="M169" s="20"/>
      <c r="N169" s="20"/>
      <c r="O169" s="20"/>
      <c r="P169" s="20"/>
      <c r="Q169" s="34"/>
      <c r="R169" s="34"/>
      <c r="S169" s="34"/>
      <c r="T169" s="34"/>
      <c r="U169" s="34"/>
      <c r="V169" s="34"/>
      <c r="W169" s="34"/>
      <c r="X169" s="34"/>
      <c r="Y169" s="34"/>
      <c r="Z169" s="34"/>
      <c r="AA169" s="34"/>
    </row>
    <row r="170" spans="1:27">
      <c r="A170" s="20"/>
      <c r="B170" s="20"/>
      <c r="C170" s="20"/>
      <c r="D170" s="20"/>
      <c r="E170" s="20"/>
      <c r="F170" s="20"/>
      <c r="G170" s="20"/>
      <c r="H170" s="20"/>
      <c r="I170" s="20"/>
      <c r="J170" s="20"/>
      <c r="K170" s="20"/>
      <c r="L170" s="20"/>
      <c r="M170" s="20"/>
      <c r="N170" s="20"/>
      <c r="O170" s="20"/>
      <c r="P170" s="20"/>
      <c r="Q170" s="34"/>
      <c r="R170" s="34"/>
      <c r="S170" s="34"/>
      <c r="T170" s="34"/>
      <c r="U170" s="34"/>
      <c r="V170" s="34"/>
      <c r="W170" s="34"/>
      <c r="X170" s="34"/>
      <c r="Y170" s="34"/>
      <c r="Z170" s="34"/>
      <c r="AA170" s="34"/>
    </row>
    <row r="171" spans="1:27">
      <c r="A171" s="20"/>
      <c r="B171" s="20"/>
      <c r="C171" s="20"/>
      <c r="D171" s="20"/>
      <c r="E171" s="20"/>
      <c r="F171" s="20"/>
      <c r="G171" s="20"/>
      <c r="H171" s="20"/>
      <c r="I171" s="20"/>
      <c r="J171" s="20"/>
      <c r="K171" s="20"/>
      <c r="L171" s="20"/>
      <c r="M171" s="20"/>
      <c r="N171" s="20"/>
      <c r="O171" s="20"/>
      <c r="P171" s="20"/>
      <c r="Q171" s="34"/>
      <c r="R171" s="34"/>
      <c r="S171" s="34"/>
      <c r="T171" s="34"/>
      <c r="U171" s="34"/>
      <c r="V171" s="34"/>
      <c r="W171" s="34"/>
      <c r="X171" s="34"/>
      <c r="Y171" s="34"/>
      <c r="Z171" s="34"/>
      <c r="AA171" s="34"/>
    </row>
    <row r="172" spans="1:27">
      <c r="A172" s="20"/>
      <c r="B172" s="20"/>
      <c r="C172" s="20"/>
      <c r="D172" s="20"/>
      <c r="E172" s="20"/>
      <c r="F172" s="20"/>
      <c r="G172" s="20"/>
      <c r="H172" s="20"/>
      <c r="I172" s="20"/>
      <c r="J172" s="20"/>
      <c r="K172" s="20"/>
      <c r="L172" s="20"/>
      <c r="M172" s="20"/>
      <c r="N172" s="20"/>
      <c r="O172" s="20"/>
      <c r="P172" s="20"/>
      <c r="Q172" s="34"/>
      <c r="R172" s="34"/>
      <c r="S172" s="34"/>
      <c r="T172" s="34"/>
      <c r="U172" s="34"/>
      <c r="V172" s="34"/>
      <c r="W172" s="34"/>
      <c r="X172" s="34"/>
      <c r="Y172" s="34"/>
      <c r="Z172" s="34"/>
      <c r="AA172" s="34"/>
    </row>
    <row r="173" spans="1:27">
      <c r="A173" s="20"/>
      <c r="B173" s="20"/>
      <c r="C173" s="20"/>
      <c r="D173" s="20"/>
      <c r="E173" s="20"/>
      <c r="F173" s="20"/>
      <c r="G173" s="20"/>
      <c r="H173" s="20"/>
      <c r="I173" s="20"/>
      <c r="J173" s="20"/>
      <c r="K173" s="20"/>
      <c r="L173" s="20"/>
      <c r="M173" s="20"/>
      <c r="N173" s="20"/>
      <c r="O173" s="20"/>
      <c r="P173" s="20"/>
      <c r="Q173" s="34"/>
      <c r="R173" s="34"/>
      <c r="S173" s="34"/>
      <c r="T173" s="34"/>
      <c r="U173" s="34"/>
      <c r="V173" s="34"/>
      <c r="W173" s="34"/>
      <c r="X173" s="34"/>
      <c r="Y173" s="34"/>
      <c r="Z173" s="34"/>
      <c r="AA173" s="34"/>
    </row>
    <row r="174" spans="1:27">
      <c r="A174" s="20"/>
      <c r="B174" s="20"/>
      <c r="C174" s="20"/>
      <c r="D174" s="20"/>
      <c r="E174" s="20"/>
      <c r="F174" s="20"/>
      <c r="G174" s="20"/>
      <c r="H174" s="20"/>
      <c r="I174" s="20"/>
      <c r="J174" s="20"/>
      <c r="K174" s="20"/>
      <c r="L174" s="20"/>
      <c r="M174" s="20"/>
      <c r="N174" s="20"/>
      <c r="O174" s="20"/>
      <c r="P174" s="20"/>
      <c r="Q174" s="34"/>
      <c r="R174" s="34"/>
      <c r="S174" s="34"/>
      <c r="T174" s="34"/>
      <c r="U174" s="34"/>
      <c r="V174" s="34"/>
      <c r="W174" s="34"/>
      <c r="X174" s="34"/>
      <c r="Y174" s="34"/>
      <c r="Z174" s="34"/>
      <c r="AA174" s="34"/>
    </row>
    <row r="175" spans="1:27">
      <c r="A175" s="20"/>
      <c r="B175" s="20"/>
      <c r="C175" s="20"/>
      <c r="D175" s="20"/>
      <c r="E175" s="20"/>
      <c r="F175" s="20"/>
      <c r="G175" s="20"/>
      <c r="H175" s="20"/>
      <c r="I175" s="20"/>
      <c r="J175" s="20"/>
      <c r="K175" s="20"/>
      <c r="L175" s="20"/>
      <c r="M175" s="20"/>
      <c r="N175" s="20"/>
      <c r="O175" s="20"/>
      <c r="P175" s="20"/>
      <c r="Q175" s="34"/>
      <c r="R175" s="34"/>
      <c r="S175" s="34"/>
      <c r="T175" s="34"/>
      <c r="U175" s="34"/>
      <c r="V175" s="34"/>
      <c r="W175" s="34"/>
      <c r="X175" s="34"/>
      <c r="Y175" s="34"/>
      <c r="Z175" s="34"/>
      <c r="AA175" s="34"/>
    </row>
    <row r="176" spans="1:27">
      <c r="A176" s="20"/>
      <c r="B176" s="20"/>
      <c r="C176" s="20"/>
      <c r="D176" s="20"/>
      <c r="E176" s="20"/>
      <c r="F176" s="20"/>
      <c r="G176" s="20"/>
      <c r="H176" s="20"/>
      <c r="I176" s="20"/>
      <c r="J176" s="20"/>
      <c r="K176" s="20"/>
      <c r="L176" s="20"/>
      <c r="M176" s="20"/>
      <c r="N176" s="20"/>
      <c r="O176" s="20"/>
      <c r="P176" s="20"/>
      <c r="Q176" s="34"/>
      <c r="R176" s="34"/>
      <c r="S176" s="34"/>
      <c r="T176" s="34"/>
      <c r="U176" s="34"/>
      <c r="V176" s="34"/>
      <c r="W176" s="34"/>
      <c r="X176" s="34"/>
      <c r="Y176" s="34"/>
      <c r="Z176" s="34"/>
      <c r="AA176" s="34"/>
    </row>
    <row r="177" spans="1:27">
      <c r="A177" s="20"/>
      <c r="B177" s="20"/>
      <c r="C177" s="20"/>
      <c r="D177" s="20"/>
      <c r="E177" s="20"/>
      <c r="F177" s="20"/>
      <c r="G177" s="20"/>
      <c r="H177" s="20"/>
      <c r="I177" s="20"/>
      <c r="J177" s="20"/>
      <c r="K177" s="20"/>
      <c r="L177" s="20"/>
      <c r="M177" s="20"/>
      <c r="N177" s="20"/>
      <c r="O177" s="20"/>
      <c r="P177" s="20"/>
      <c r="Q177" s="34"/>
      <c r="R177" s="34"/>
      <c r="S177" s="34"/>
      <c r="T177" s="34"/>
      <c r="U177" s="34"/>
      <c r="V177" s="34"/>
      <c r="W177" s="34"/>
      <c r="X177" s="34"/>
      <c r="Y177" s="34"/>
      <c r="Z177" s="34"/>
      <c r="AA177" s="34"/>
    </row>
    <row r="178" spans="1:27">
      <c r="A178" s="20"/>
      <c r="B178" s="20"/>
      <c r="C178" s="20"/>
      <c r="D178" s="20"/>
      <c r="E178" s="20"/>
      <c r="F178" s="20"/>
      <c r="G178" s="20"/>
      <c r="H178" s="20"/>
      <c r="I178" s="20"/>
      <c r="J178" s="20"/>
      <c r="K178" s="20"/>
      <c r="L178" s="20"/>
      <c r="M178" s="20"/>
      <c r="N178" s="20"/>
      <c r="O178" s="20"/>
      <c r="P178" s="20"/>
      <c r="Q178" s="34"/>
      <c r="R178" s="34"/>
      <c r="S178" s="34"/>
      <c r="T178" s="34"/>
      <c r="U178" s="34"/>
      <c r="V178" s="34"/>
      <c r="W178" s="34"/>
      <c r="X178" s="34"/>
      <c r="Y178" s="34"/>
      <c r="Z178" s="34"/>
      <c r="AA178" s="34"/>
    </row>
    <row r="179" spans="1:27">
      <c r="A179" s="20"/>
      <c r="B179" s="20"/>
      <c r="C179" s="20"/>
      <c r="D179" s="20"/>
      <c r="E179" s="20"/>
      <c r="F179" s="20"/>
      <c r="G179" s="20"/>
      <c r="H179" s="20"/>
      <c r="I179" s="20"/>
      <c r="J179" s="20"/>
      <c r="K179" s="20"/>
      <c r="L179" s="20"/>
      <c r="M179" s="20"/>
      <c r="N179" s="20"/>
      <c r="O179" s="20"/>
      <c r="P179" s="20"/>
      <c r="Q179" s="34"/>
      <c r="R179" s="34"/>
      <c r="S179" s="34"/>
      <c r="T179" s="34"/>
      <c r="U179" s="34"/>
      <c r="V179" s="34"/>
      <c r="W179" s="34"/>
      <c r="X179" s="34"/>
      <c r="Y179" s="34"/>
      <c r="Z179" s="34"/>
      <c r="AA179" s="34"/>
    </row>
    <row r="180" spans="1:27">
      <c r="A180" s="20"/>
      <c r="B180" s="20"/>
      <c r="C180" s="20"/>
      <c r="D180" s="20"/>
      <c r="E180" s="20"/>
      <c r="F180" s="20"/>
      <c r="G180" s="20"/>
      <c r="H180" s="20"/>
      <c r="I180" s="20"/>
      <c r="J180" s="20"/>
      <c r="K180" s="20"/>
      <c r="L180" s="20"/>
      <c r="M180" s="20"/>
      <c r="N180" s="20"/>
      <c r="O180" s="20"/>
      <c r="P180" s="20"/>
      <c r="Q180" s="34"/>
      <c r="R180" s="34"/>
      <c r="S180" s="34"/>
      <c r="T180" s="34"/>
      <c r="U180" s="34"/>
      <c r="V180" s="34"/>
      <c r="W180" s="34"/>
      <c r="X180" s="34"/>
      <c r="Y180" s="34"/>
      <c r="Z180" s="34"/>
      <c r="AA180" s="34"/>
    </row>
    <row r="181" spans="1:27">
      <c r="A181" s="20"/>
      <c r="B181" s="20"/>
      <c r="C181" s="20"/>
      <c r="D181" s="20"/>
      <c r="E181" s="20"/>
      <c r="F181" s="20"/>
      <c r="G181" s="20"/>
      <c r="H181" s="20"/>
      <c r="I181" s="20"/>
      <c r="J181" s="20"/>
      <c r="K181" s="20"/>
      <c r="L181" s="20"/>
      <c r="M181" s="20"/>
      <c r="N181" s="20"/>
      <c r="O181" s="20"/>
      <c r="P181" s="20"/>
      <c r="Q181" s="34"/>
      <c r="R181" s="34"/>
      <c r="S181" s="34"/>
      <c r="T181" s="34"/>
      <c r="U181" s="34"/>
      <c r="V181" s="34"/>
      <c r="W181" s="34"/>
      <c r="X181" s="34"/>
      <c r="Y181" s="34"/>
      <c r="Z181" s="34"/>
      <c r="AA181" s="34"/>
    </row>
    <row r="182" spans="1:27">
      <c r="A182" s="20"/>
      <c r="B182" s="20"/>
      <c r="C182" s="20"/>
      <c r="D182" s="20"/>
      <c r="E182" s="20"/>
      <c r="F182" s="20"/>
      <c r="G182" s="20"/>
      <c r="H182" s="20"/>
      <c r="I182" s="20"/>
      <c r="J182" s="20"/>
      <c r="K182" s="20"/>
      <c r="L182" s="20"/>
      <c r="M182" s="20"/>
      <c r="N182" s="20"/>
      <c r="O182" s="20"/>
      <c r="P182" s="20"/>
      <c r="Q182" s="34"/>
      <c r="R182" s="34"/>
      <c r="S182" s="34"/>
      <c r="T182" s="34"/>
      <c r="U182" s="34"/>
      <c r="V182" s="34"/>
      <c r="W182" s="34"/>
      <c r="X182" s="34"/>
      <c r="Y182" s="34"/>
      <c r="Z182" s="34"/>
      <c r="AA182" s="34"/>
    </row>
    <row r="183" spans="1:27">
      <c r="A183" s="20"/>
      <c r="B183" s="20"/>
      <c r="C183" s="20"/>
      <c r="D183" s="20"/>
      <c r="E183" s="20"/>
      <c r="F183" s="20"/>
      <c r="G183" s="20"/>
      <c r="H183" s="20"/>
      <c r="I183" s="20"/>
      <c r="J183" s="20"/>
      <c r="K183" s="20"/>
      <c r="L183" s="20"/>
      <c r="M183" s="20"/>
      <c r="N183" s="20"/>
      <c r="O183" s="20"/>
      <c r="P183" s="20"/>
      <c r="Q183" s="34"/>
      <c r="R183" s="34"/>
      <c r="S183" s="34"/>
      <c r="T183" s="34"/>
      <c r="U183" s="34"/>
      <c r="V183" s="34"/>
      <c r="W183" s="34"/>
      <c r="X183" s="34"/>
      <c r="Y183" s="34"/>
      <c r="Z183" s="34"/>
      <c r="AA183" s="34"/>
    </row>
    <row r="184" spans="1:27">
      <c r="A184" s="20"/>
      <c r="B184" s="20"/>
      <c r="C184" s="20"/>
      <c r="D184" s="20"/>
      <c r="E184" s="20"/>
      <c r="F184" s="20"/>
      <c r="G184" s="20"/>
      <c r="H184" s="20"/>
      <c r="I184" s="20"/>
      <c r="J184" s="20"/>
      <c r="K184" s="20"/>
      <c r="L184" s="20"/>
      <c r="M184" s="20"/>
      <c r="N184" s="20"/>
      <c r="O184" s="20"/>
      <c r="P184" s="20"/>
      <c r="Q184" s="34"/>
      <c r="R184" s="34"/>
      <c r="S184" s="34"/>
      <c r="T184" s="34"/>
      <c r="U184" s="34"/>
      <c r="V184" s="34"/>
      <c r="W184" s="34"/>
      <c r="X184" s="34"/>
      <c r="Y184" s="34"/>
      <c r="Z184" s="34"/>
      <c r="AA184" s="34"/>
    </row>
    <row r="185" spans="1:27">
      <c r="A185" s="20"/>
      <c r="B185" s="20"/>
      <c r="C185" s="20"/>
      <c r="D185" s="20"/>
      <c r="E185" s="20"/>
      <c r="F185" s="20"/>
      <c r="G185" s="20"/>
      <c r="H185" s="20"/>
      <c r="I185" s="20"/>
      <c r="J185" s="20"/>
      <c r="K185" s="20"/>
      <c r="L185" s="20"/>
      <c r="M185" s="20"/>
      <c r="N185" s="20"/>
      <c r="O185" s="20"/>
      <c r="P185" s="20"/>
      <c r="Q185" s="34"/>
      <c r="R185" s="34"/>
      <c r="S185" s="34"/>
      <c r="T185" s="34"/>
      <c r="U185" s="34"/>
      <c r="V185" s="34"/>
      <c r="W185" s="34"/>
      <c r="X185" s="34"/>
      <c r="Y185" s="34"/>
      <c r="Z185" s="34"/>
      <c r="AA185" s="34"/>
    </row>
    <row r="186" spans="1:27">
      <c r="A186" s="20"/>
      <c r="B186" s="20"/>
      <c r="C186" s="20"/>
      <c r="D186" s="20"/>
      <c r="E186" s="20"/>
      <c r="F186" s="20"/>
      <c r="G186" s="20"/>
      <c r="H186" s="20"/>
      <c r="I186" s="20"/>
      <c r="J186" s="20"/>
      <c r="K186" s="20"/>
      <c r="L186" s="20"/>
      <c r="M186" s="20"/>
      <c r="N186" s="20"/>
      <c r="O186" s="20"/>
      <c r="P186" s="20"/>
      <c r="Q186" s="34"/>
      <c r="R186" s="34"/>
      <c r="S186" s="34"/>
      <c r="T186" s="34"/>
      <c r="U186" s="34"/>
      <c r="V186" s="34"/>
      <c r="W186" s="34"/>
      <c r="X186" s="34"/>
      <c r="Y186" s="34"/>
      <c r="Z186" s="34"/>
      <c r="AA186" s="34"/>
    </row>
    <row r="187" spans="1:27">
      <c r="A187" s="20"/>
      <c r="B187" s="20"/>
      <c r="C187" s="20"/>
      <c r="D187" s="20"/>
      <c r="E187" s="20"/>
      <c r="F187" s="20"/>
      <c r="G187" s="20"/>
      <c r="H187" s="20"/>
      <c r="I187" s="20"/>
      <c r="J187" s="20"/>
      <c r="K187" s="20"/>
      <c r="L187" s="20"/>
      <c r="M187" s="20"/>
      <c r="N187" s="20"/>
      <c r="O187" s="20"/>
      <c r="P187" s="20"/>
      <c r="Q187" s="34"/>
      <c r="R187" s="34"/>
      <c r="S187" s="34"/>
      <c r="T187" s="34"/>
      <c r="U187" s="34"/>
      <c r="V187" s="34"/>
      <c r="W187" s="34"/>
      <c r="X187" s="34"/>
      <c r="Y187" s="34"/>
      <c r="Z187" s="34"/>
      <c r="AA187" s="34"/>
    </row>
    <row r="188" spans="1:27">
      <c r="A188" s="20"/>
      <c r="B188" s="20"/>
      <c r="C188" s="20"/>
      <c r="D188" s="20"/>
      <c r="E188" s="20"/>
      <c r="F188" s="20"/>
      <c r="G188" s="20"/>
      <c r="H188" s="20"/>
      <c r="I188" s="20"/>
      <c r="J188" s="20"/>
      <c r="K188" s="20"/>
      <c r="L188" s="20"/>
      <c r="M188" s="20"/>
      <c r="N188" s="20"/>
      <c r="O188" s="20"/>
      <c r="P188" s="20"/>
      <c r="Q188" s="34"/>
      <c r="R188" s="34"/>
      <c r="S188" s="34"/>
      <c r="T188" s="34"/>
      <c r="U188" s="34"/>
      <c r="V188" s="34"/>
      <c r="W188" s="34"/>
      <c r="X188" s="34"/>
      <c r="Y188" s="34"/>
      <c r="Z188" s="34"/>
      <c r="AA188" s="34"/>
    </row>
    <row r="189" spans="1:27">
      <c r="A189" s="20"/>
      <c r="B189" s="20"/>
      <c r="C189" s="20"/>
      <c r="D189" s="20"/>
      <c r="E189" s="20"/>
      <c r="F189" s="20"/>
      <c r="G189" s="20"/>
      <c r="H189" s="20"/>
      <c r="I189" s="20"/>
      <c r="J189" s="20"/>
      <c r="K189" s="20"/>
      <c r="L189" s="20"/>
      <c r="M189" s="20"/>
      <c r="N189" s="20"/>
      <c r="O189" s="20"/>
      <c r="P189" s="20"/>
      <c r="Q189" s="34"/>
      <c r="R189" s="34"/>
      <c r="S189" s="34"/>
      <c r="T189" s="34"/>
      <c r="U189" s="34"/>
      <c r="V189" s="34"/>
      <c r="W189" s="34"/>
      <c r="X189" s="34"/>
      <c r="Y189" s="34"/>
      <c r="Z189" s="34"/>
      <c r="AA189" s="34"/>
    </row>
    <row r="190" spans="1:27">
      <c r="A190" s="20"/>
      <c r="B190" s="20"/>
      <c r="C190" s="20"/>
      <c r="D190" s="20"/>
      <c r="E190" s="20"/>
      <c r="F190" s="20"/>
      <c r="G190" s="20"/>
      <c r="H190" s="20"/>
      <c r="I190" s="20"/>
      <c r="J190" s="20"/>
      <c r="K190" s="20"/>
      <c r="L190" s="20"/>
      <c r="M190" s="20"/>
      <c r="N190" s="20"/>
      <c r="O190" s="20"/>
      <c r="P190" s="20"/>
      <c r="Q190" s="34"/>
      <c r="R190" s="34"/>
      <c r="S190" s="34"/>
      <c r="T190" s="34"/>
      <c r="U190" s="34"/>
      <c r="V190" s="34"/>
      <c r="W190" s="34"/>
      <c r="X190" s="34"/>
      <c r="Y190" s="34"/>
      <c r="Z190" s="34"/>
      <c r="AA190" s="34"/>
    </row>
    <row r="191" spans="1:27">
      <c r="A191" s="20"/>
      <c r="B191" s="20"/>
      <c r="C191" s="20"/>
      <c r="D191" s="20"/>
      <c r="E191" s="20"/>
      <c r="F191" s="20"/>
      <c r="G191" s="20"/>
      <c r="H191" s="20"/>
      <c r="I191" s="20"/>
      <c r="J191" s="20"/>
      <c r="K191" s="20"/>
      <c r="L191" s="20"/>
      <c r="M191" s="20"/>
      <c r="N191" s="20"/>
      <c r="O191" s="20"/>
      <c r="P191" s="20"/>
      <c r="Q191" s="34"/>
      <c r="R191" s="34"/>
      <c r="S191" s="34"/>
      <c r="T191" s="34"/>
      <c r="U191" s="34"/>
      <c r="V191" s="34"/>
      <c r="W191" s="34"/>
      <c r="X191" s="34"/>
      <c r="Y191" s="34"/>
      <c r="Z191" s="34"/>
      <c r="AA191" s="34"/>
    </row>
    <row r="192" spans="1:27">
      <c r="A192" s="20"/>
      <c r="B192" s="20"/>
      <c r="C192" s="20"/>
      <c r="D192" s="20"/>
      <c r="E192" s="20"/>
      <c r="F192" s="20"/>
      <c r="G192" s="20"/>
      <c r="H192" s="20"/>
      <c r="I192" s="20"/>
      <c r="J192" s="20"/>
      <c r="K192" s="20"/>
      <c r="L192" s="20"/>
      <c r="M192" s="20"/>
      <c r="N192" s="20"/>
      <c r="O192" s="20"/>
      <c r="P192" s="20"/>
      <c r="Q192" s="34"/>
      <c r="R192" s="34"/>
      <c r="S192" s="34"/>
      <c r="T192" s="34"/>
      <c r="U192" s="34"/>
      <c r="V192" s="34"/>
      <c r="W192" s="34"/>
      <c r="X192" s="34"/>
      <c r="Y192" s="34"/>
      <c r="Z192" s="34"/>
      <c r="AA192" s="34"/>
    </row>
    <row r="193" spans="1:27">
      <c r="A193" s="20"/>
      <c r="B193" s="20"/>
      <c r="C193" s="20"/>
      <c r="D193" s="20"/>
      <c r="E193" s="20"/>
      <c r="F193" s="20"/>
      <c r="G193" s="20"/>
      <c r="H193" s="20"/>
      <c r="I193" s="20"/>
      <c r="J193" s="20"/>
      <c r="K193" s="20"/>
      <c r="L193" s="20"/>
      <c r="M193" s="20"/>
      <c r="N193" s="20"/>
      <c r="O193" s="20"/>
      <c r="P193" s="20"/>
      <c r="Q193" s="34"/>
      <c r="R193" s="34"/>
      <c r="S193" s="34"/>
      <c r="T193" s="34"/>
      <c r="U193" s="34"/>
      <c r="V193" s="34"/>
      <c r="W193" s="34"/>
      <c r="X193" s="34"/>
      <c r="Y193" s="34"/>
      <c r="Z193" s="34"/>
      <c r="AA193" s="34"/>
    </row>
    <row r="194" spans="1:27">
      <c r="A194" s="20"/>
      <c r="B194" s="20"/>
      <c r="C194" s="20"/>
      <c r="D194" s="20"/>
      <c r="E194" s="20"/>
      <c r="F194" s="20"/>
      <c r="G194" s="20"/>
      <c r="H194" s="20"/>
      <c r="I194" s="20"/>
      <c r="J194" s="20"/>
      <c r="K194" s="20"/>
      <c r="L194" s="20"/>
      <c r="M194" s="20"/>
      <c r="N194" s="20"/>
      <c r="O194" s="20"/>
      <c r="P194" s="20"/>
      <c r="Q194" s="34"/>
      <c r="R194" s="34"/>
      <c r="S194" s="34"/>
      <c r="T194" s="34"/>
      <c r="U194" s="34"/>
      <c r="V194" s="34"/>
      <c r="W194" s="34"/>
      <c r="X194" s="34"/>
      <c r="Y194" s="34"/>
      <c r="Z194" s="34"/>
      <c r="AA194" s="34"/>
    </row>
    <row r="195" spans="1:27">
      <c r="A195" s="20"/>
      <c r="B195" s="20"/>
      <c r="C195" s="20"/>
      <c r="D195" s="20"/>
      <c r="E195" s="20"/>
      <c r="F195" s="20"/>
      <c r="G195" s="20"/>
      <c r="H195" s="20"/>
      <c r="I195" s="20"/>
      <c r="J195" s="20"/>
      <c r="K195" s="20"/>
      <c r="L195" s="20"/>
      <c r="M195" s="20"/>
      <c r="N195" s="20"/>
      <c r="O195" s="20"/>
      <c r="P195" s="20"/>
      <c r="Q195" s="34"/>
      <c r="R195" s="34"/>
      <c r="S195" s="34"/>
      <c r="T195" s="34"/>
      <c r="U195" s="34"/>
      <c r="V195" s="34"/>
      <c r="W195" s="34"/>
      <c r="X195" s="34"/>
      <c r="Y195" s="34"/>
      <c r="Z195" s="34"/>
      <c r="AA195" s="34"/>
    </row>
    <row r="196" spans="1:27">
      <c r="A196" s="20"/>
      <c r="B196" s="20"/>
      <c r="C196" s="20"/>
      <c r="D196" s="20"/>
      <c r="E196" s="20"/>
      <c r="F196" s="20"/>
      <c r="G196" s="20"/>
      <c r="H196" s="20"/>
      <c r="I196" s="20"/>
      <c r="J196" s="20"/>
      <c r="K196" s="20"/>
      <c r="L196" s="20"/>
      <c r="M196" s="20"/>
      <c r="N196" s="20"/>
      <c r="O196" s="20"/>
      <c r="P196" s="20"/>
      <c r="Q196" s="34"/>
      <c r="R196" s="34"/>
      <c r="S196" s="34"/>
      <c r="T196" s="34"/>
      <c r="U196" s="34"/>
      <c r="V196" s="34"/>
      <c r="W196" s="34"/>
      <c r="X196" s="34"/>
      <c r="Y196" s="34"/>
      <c r="Z196" s="34"/>
      <c r="AA196" s="34"/>
    </row>
    <row r="197" spans="1:27">
      <c r="A197" s="20"/>
      <c r="B197" s="20"/>
      <c r="C197" s="20"/>
      <c r="D197" s="20"/>
      <c r="E197" s="20"/>
      <c r="F197" s="20"/>
      <c r="G197" s="20"/>
      <c r="H197" s="20"/>
      <c r="I197" s="20"/>
      <c r="J197" s="20"/>
      <c r="K197" s="20"/>
      <c r="L197" s="20"/>
      <c r="M197" s="20"/>
      <c r="N197" s="20"/>
      <c r="O197" s="20"/>
      <c r="P197" s="20"/>
      <c r="Q197" s="34"/>
      <c r="R197" s="34"/>
      <c r="S197" s="34"/>
      <c r="T197" s="34"/>
      <c r="U197" s="34"/>
      <c r="V197" s="34"/>
      <c r="W197" s="34"/>
      <c r="X197" s="34"/>
      <c r="Y197" s="34"/>
      <c r="Z197" s="34"/>
      <c r="AA197" s="34"/>
    </row>
    <row r="198" spans="1:27">
      <c r="A198" s="20"/>
      <c r="B198" s="20"/>
      <c r="C198" s="20"/>
      <c r="D198" s="20"/>
      <c r="E198" s="20"/>
      <c r="F198" s="20"/>
      <c r="G198" s="20"/>
      <c r="H198" s="20"/>
      <c r="I198" s="20"/>
      <c r="J198" s="20"/>
      <c r="K198" s="20"/>
      <c r="L198" s="20"/>
      <c r="M198" s="20"/>
      <c r="N198" s="20"/>
      <c r="O198" s="20"/>
      <c r="P198" s="20"/>
      <c r="Q198" s="34"/>
      <c r="R198" s="34"/>
      <c r="S198" s="34"/>
      <c r="T198" s="34"/>
      <c r="U198" s="34"/>
      <c r="V198" s="34"/>
      <c r="W198" s="34"/>
      <c r="X198" s="34"/>
      <c r="Y198" s="34"/>
      <c r="Z198" s="34"/>
      <c r="AA198" s="34"/>
    </row>
    <row r="199" spans="1:27">
      <c r="A199" s="20"/>
      <c r="B199" s="20"/>
      <c r="C199" s="20"/>
      <c r="D199" s="20"/>
      <c r="E199" s="20"/>
      <c r="F199" s="20"/>
      <c r="G199" s="20"/>
      <c r="H199" s="20"/>
      <c r="I199" s="20"/>
      <c r="J199" s="20"/>
      <c r="K199" s="20"/>
      <c r="L199" s="20"/>
      <c r="M199" s="20"/>
      <c r="N199" s="20"/>
      <c r="O199" s="20"/>
      <c r="P199" s="20"/>
      <c r="Q199" s="34"/>
      <c r="R199" s="34"/>
      <c r="S199" s="34"/>
      <c r="T199" s="34"/>
      <c r="U199" s="34"/>
      <c r="V199" s="34"/>
      <c r="W199" s="34"/>
      <c r="X199" s="34"/>
      <c r="Y199" s="34"/>
      <c r="Z199" s="34"/>
      <c r="AA199" s="34"/>
    </row>
    <row r="200" spans="1:27">
      <c r="A200" s="20"/>
      <c r="B200" s="20"/>
      <c r="C200" s="20"/>
      <c r="D200" s="20"/>
      <c r="E200" s="20"/>
      <c r="F200" s="20"/>
      <c r="G200" s="20"/>
      <c r="H200" s="20"/>
      <c r="I200" s="20"/>
      <c r="J200" s="20"/>
      <c r="K200" s="20"/>
      <c r="L200" s="20"/>
      <c r="M200" s="20"/>
      <c r="N200" s="20"/>
      <c r="O200" s="20"/>
      <c r="P200" s="20"/>
      <c r="Q200" s="34"/>
      <c r="R200" s="34"/>
      <c r="S200" s="34"/>
      <c r="T200" s="34"/>
      <c r="U200" s="34"/>
      <c r="V200" s="34"/>
      <c r="W200" s="34"/>
      <c r="X200" s="34"/>
      <c r="Y200" s="34"/>
      <c r="Z200" s="34"/>
      <c r="AA200" s="34"/>
    </row>
    <row r="201" spans="1:27">
      <c r="A201" s="20"/>
      <c r="B201" s="20"/>
      <c r="C201" s="20"/>
      <c r="D201" s="20"/>
      <c r="E201" s="20"/>
      <c r="F201" s="20"/>
      <c r="G201" s="20"/>
      <c r="H201" s="20"/>
      <c r="I201" s="20"/>
      <c r="J201" s="20"/>
      <c r="K201" s="20"/>
      <c r="L201" s="20"/>
      <c r="M201" s="20"/>
      <c r="N201" s="20"/>
      <c r="O201" s="20"/>
      <c r="P201" s="20"/>
      <c r="Q201" s="34"/>
      <c r="R201" s="34"/>
      <c r="S201" s="34"/>
      <c r="T201" s="34"/>
      <c r="U201" s="34"/>
      <c r="V201" s="34"/>
      <c r="W201" s="34"/>
      <c r="X201" s="34"/>
      <c r="Y201" s="34"/>
      <c r="Z201" s="34"/>
      <c r="AA201" s="34"/>
    </row>
    <row r="202" spans="1:27">
      <c r="A202" s="20"/>
      <c r="B202" s="20"/>
      <c r="C202" s="20"/>
      <c r="D202" s="20"/>
      <c r="E202" s="20"/>
      <c r="F202" s="20"/>
      <c r="G202" s="20"/>
      <c r="H202" s="20"/>
      <c r="I202" s="20"/>
      <c r="J202" s="20"/>
      <c r="K202" s="20"/>
      <c r="L202" s="20"/>
      <c r="M202" s="20"/>
      <c r="N202" s="20"/>
      <c r="O202" s="20"/>
      <c r="P202" s="20"/>
      <c r="Q202" s="34"/>
      <c r="R202" s="34"/>
      <c r="S202" s="34"/>
      <c r="T202" s="34"/>
      <c r="U202" s="34"/>
      <c r="V202" s="34"/>
      <c r="W202" s="34"/>
      <c r="X202" s="34"/>
      <c r="Y202" s="34"/>
      <c r="Z202" s="34"/>
      <c r="AA202" s="34"/>
    </row>
    <row r="203" spans="1:27">
      <c r="A203" s="20"/>
      <c r="B203" s="20"/>
      <c r="C203" s="20"/>
      <c r="D203" s="20"/>
      <c r="E203" s="20"/>
      <c r="F203" s="20"/>
      <c r="G203" s="20"/>
      <c r="H203" s="20"/>
      <c r="I203" s="20"/>
      <c r="J203" s="20"/>
      <c r="K203" s="20"/>
      <c r="L203" s="20"/>
      <c r="M203" s="20"/>
      <c r="N203" s="20"/>
      <c r="O203" s="20"/>
      <c r="P203" s="20"/>
      <c r="Q203" s="34"/>
      <c r="R203" s="34"/>
      <c r="S203" s="34"/>
      <c r="T203" s="34"/>
      <c r="U203" s="34"/>
      <c r="V203" s="34"/>
      <c r="W203" s="34"/>
      <c r="X203" s="34"/>
      <c r="Y203" s="34"/>
      <c r="Z203" s="34"/>
      <c r="AA203" s="34"/>
    </row>
    <row r="204" spans="1:27">
      <c r="A204" s="20"/>
      <c r="B204" s="20"/>
      <c r="C204" s="20"/>
      <c r="D204" s="20"/>
      <c r="E204" s="20"/>
      <c r="F204" s="20"/>
      <c r="G204" s="20"/>
      <c r="H204" s="20"/>
      <c r="I204" s="20"/>
      <c r="J204" s="20"/>
      <c r="K204" s="20"/>
      <c r="L204" s="20"/>
      <c r="M204" s="20"/>
      <c r="N204" s="20"/>
      <c r="O204" s="20"/>
      <c r="P204" s="20"/>
      <c r="Q204" s="34"/>
      <c r="R204" s="34"/>
      <c r="S204" s="34"/>
      <c r="T204" s="34"/>
      <c r="U204" s="34"/>
      <c r="V204" s="34"/>
      <c r="W204" s="34"/>
      <c r="X204" s="34"/>
      <c r="Y204" s="34"/>
      <c r="Z204" s="34"/>
      <c r="AA204" s="34"/>
    </row>
    <row r="205" spans="1:27">
      <c r="A205" s="20"/>
      <c r="B205" s="20"/>
      <c r="C205" s="20"/>
      <c r="D205" s="20"/>
      <c r="E205" s="20"/>
      <c r="F205" s="20"/>
      <c r="G205" s="20"/>
      <c r="H205" s="20"/>
      <c r="I205" s="20"/>
      <c r="J205" s="20"/>
      <c r="K205" s="20"/>
      <c r="L205" s="20"/>
      <c r="M205" s="20"/>
      <c r="N205" s="20"/>
      <c r="O205" s="20"/>
      <c r="P205" s="20"/>
      <c r="Q205" s="34"/>
      <c r="R205" s="34"/>
      <c r="S205" s="34"/>
      <c r="T205" s="34"/>
      <c r="U205" s="34"/>
      <c r="V205" s="34"/>
      <c r="W205" s="34"/>
      <c r="X205" s="34"/>
      <c r="Y205" s="34"/>
      <c r="Z205" s="34"/>
      <c r="AA205" s="34"/>
    </row>
    <row r="206" spans="1:27">
      <c r="A206" s="20"/>
      <c r="B206" s="20"/>
      <c r="C206" s="20"/>
      <c r="D206" s="20"/>
      <c r="E206" s="20"/>
      <c r="F206" s="20"/>
      <c r="G206" s="20"/>
      <c r="H206" s="20"/>
      <c r="I206" s="20"/>
      <c r="J206" s="20"/>
      <c r="K206" s="20"/>
      <c r="L206" s="20"/>
      <c r="M206" s="20"/>
      <c r="N206" s="20"/>
      <c r="O206" s="20"/>
      <c r="P206" s="20"/>
      <c r="Q206" s="34"/>
      <c r="R206" s="34"/>
      <c r="S206" s="34"/>
      <c r="T206" s="34"/>
      <c r="U206" s="34"/>
      <c r="V206" s="34"/>
      <c r="W206" s="34"/>
      <c r="X206" s="34"/>
      <c r="Y206" s="34"/>
      <c r="Z206" s="34"/>
      <c r="AA206" s="34"/>
    </row>
    <row r="207" spans="1:27">
      <c r="A207" s="20"/>
      <c r="B207" s="20"/>
      <c r="C207" s="20"/>
      <c r="D207" s="20"/>
      <c r="E207" s="20"/>
      <c r="F207" s="20"/>
      <c r="G207" s="20"/>
      <c r="H207" s="20"/>
      <c r="I207" s="20"/>
      <c r="J207" s="20"/>
      <c r="K207" s="20"/>
      <c r="L207" s="20"/>
      <c r="M207" s="20"/>
      <c r="N207" s="20"/>
      <c r="O207" s="20"/>
      <c r="P207" s="20"/>
      <c r="Q207" s="34"/>
      <c r="R207" s="34"/>
      <c r="S207" s="34"/>
      <c r="T207" s="34"/>
      <c r="U207" s="34"/>
      <c r="V207" s="34"/>
      <c r="W207" s="34"/>
      <c r="X207" s="34"/>
      <c r="Y207" s="34"/>
      <c r="Z207" s="34"/>
      <c r="AA207" s="34"/>
    </row>
    <row r="208" spans="1:27">
      <c r="A208" s="20"/>
      <c r="B208" s="20"/>
      <c r="C208" s="20"/>
      <c r="D208" s="20"/>
      <c r="E208" s="20"/>
      <c r="F208" s="20"/>
      <c r="G208" s="20"/>
      <c r="H208" s="20"/>
      <c r="I208" s="20"/>
      <c r="J208" s="20"/>
      <c r="K208" s="20"/>
      <c r="L208" s="20"/>
      <c r="M208" s="20"/>
      <c r="N208" s="20"/>
      <c r="O208" s="20"/>
      <c r="P208" s="20"/>
      <c r="Q208" s="34"/>
      <c r="R208" s="34"/>
      <c r="S208" s="34"/>
      <c r="T208" s="34"/>
      <c r="U208" s="34"/>
      <c r="V208" s="34"/>
      <c r="W208" s="34"/>
      <c r="X208" s="34"/>
      <c r="Y208" s="34"/>
      <c r="Z208" s="34"/>
      <c r="AA208" s="34"/>
    </row>
    <row r="209" spans="1:27">
      <c r="A209" s="20"/>
      <c r="B209" s="20"/>
      <c r="C209" s="20"/>
      <c r="D209" s="20"/>
      <c r="E209" s="20"/>
      <c r="F209" s="20"/>
      <c r="G209" s="20"/>
      <c r="H209" s="20"/>
      <c r="I209" s="20"/>
      <c r="J209" s="20"/>
      <c r="K209" s="20"/>
      <c r="L209" s="20"/>
      <c r="M209" s="20"/>
      <c r="N209" s="20"/>
      <c r="O209" s="20"/>
      <c r="P209" s="20"/>
      <c r="Q209" s="34"/>
      <c r="R209" s="34"/>
      <c r="S209" s="34"/>
      <c r="T209" s="34"/>
      <c r="U209" s="34"/>
      <c r="V209" s="34"/>
      <c r="W209" s="34"/>
      <c r="X209" s="34"/>
      <c r="Y209" s="34"/>
      <c r="Z209" s="34"/>
      <c r="AA209" s="34"/>
    </row>
    <row r="210" spans="1:27">
      <c r="A210" s="20"/>
      <c r="B210" s="20"/>
      <c r="C210" s="20"/>
      <c r="D210" s="20"/>
      <c r="E210" s="20"/>
      <c r="F210" s="20"/>
      <c r="G210" s="20"/>
      <c r="H210" s="20"/>
      <c r="I210" s="20"/>
      <c r="J210" s="20"/>
      <c r="K210" s="20"/>
      <c r="L210" s="20"/>
      <c r="M210" s="20"/>
      <c r="N210" s="20"/>
      <c r="O210" s="20"/>
      <c r="P210" s="20"/>
      <c r="Q210" s="34"/>
      <c r="R210" s="34"/>
      <c r="S210" s="34"/>
      <c r="T210" s="34"/>
      <c r="U210" s="34"/>
      <c r="V210" s="34"/>
      <c r="W210" s="34"/>
      <c r="X210" s="34"/>
      <c r="Y210" s="34"/>
      <c r="Z210" s="34"/>
      <c r="AA210" s="34"/>
    </row>
    <row r="211" spans="1:27">
      <c r="A211" s="20"/>
      <c r="B211" s="20"/>
      <c r="C211" s="20"/>
      <c r="D211" s="20"/>
      <c r="E211" s="20"/>
      <c r="F211" s="20"/>
      <c r="G211" s="20"/>
      <c r="H211" s="20"/>
      <c r="I211" s="20"/>
      <c r="J211" s="20"/>
      <c r="K211" s="20"/>
      <c r="L211" s="20"/>
      <c r="M211" s="20"/>
      <c r="N211" s="20"/>
      <c r="O211" s="20"/>
      <c r="P211" s="20"/>
      <c r="Q211" s="34"/>
      <c r="R211" s="34"/>
      <c r="S211" s="34"/>
      <c r="T211" s="34"/>
      <c r="U211" s="34"/>
      <c r="V211" s="34"/>
      <c r="W211" s="34"/>
      <c r="X211" s="34"/>
      <c r="Y211" s="34"/>
      <c r="Z211" s="34"/>
      <c r="AA211" s="34"/>
    </row>
    <row r="212" spans="1:27">
      <c r="A212" s="20"/>
      <c r="B212" s="20"/>
      <c r="C212" s="20"/>
      <c r="D212" s="20"/>
      <c r="E212" s="20"/>
      <c r="F212" s="20"/>
      <c r="G212" s="20"/>
      <c r="H212" s="20"/>
      <c r="I212" s="20"/>
      <c r="J212" s="20"/>
      <c r="K212" s="20"/>
      <c r="L212" s="20"/>
      <c r="M212" s="20"/>
      <c r="N212" s="20"/>
      <c r="O212" s="20"/>
      <c r="P212" s="20"/>
      <c r="Q212" s="34"/>
      <c r="R212" s="34"/>
      <c r="S212" s="34"/>
      <c r="T212" s="34"/>
      <c r="U212" s="34"/>
      <c r="V212" s="34"/>
      <c r="W212" s="34"/>
      <c r="X212" s="34"/>
      <c r="Y212" s="34"/>
      <c r="Z212" s="34"/>
      <c r="AA212" s="34"/>
    </row>
    <row r="213" spans="1:27">
      <c r="A213" s="20"/>
      <c r="B213" s="20"/>
      <c r="C213" s="20"/>
      <c r="D213" s="20"/>
      <c r="E213" s="20"/>
      <c r="F213" s="20"/>
      <c r="G213" s="20"/>
      <c r="H213" s="20"/>
      <c r="I213" s="20"/>
      <c r="J213" s="20"/>
      <c r="K213" s="20"/>
      <c r="L213" s="20"/>
      <c r="M213" s="20"/>
      <c r="N213" s="20"/>
      <c r="O213" s="20"/>
      <c r="P213" s="20"/>
      <c r="Q213" s="34"/>
      <c r="R213" s="34"/>
      <c r="S213" s="34"/>
      <c r="T213" s="34"/>
      <c r="U213" s="34"/>
      <c r="V213" s="34"/>
      <c r="W213" s="34"/>
      <c r="X213" s="34"/>
      <c r="Y213" s="34"/>
      <c r="Z213" s="34"/>
      <c r="AA213" s="34"/>
    </row>
    <row r="214" spans="1:27">
      <c r="A214" s="20"/>
      <c r="B214" s="20"/>
      <c r="C214" s="20"/>
      <c r="D214" s="20"/>
      <c r="E214" s="20"/>
      <c r="F214" s="20"/>
      <c r="G214" s="20"/>
      <c r="H214" s="20"/>
      <c r="I214" s="20"/>
      <c r="J214" s="20"/>
      <c r="K214" s="20"/>
      <c r="L214" s="20"/>
      <c r="M214" s="20"/>
      <c r="N214" s="20"/>
      <c r="O214" s="20"/>
      <c r="P214" s="20"/>
      <c r="Q214" s="34"/>
      <c r="R214" s="34"/>
      <c r="S214" s="34"/>
      <c r="T214" s="34"/>
      <c r="U214" s="34"/>
      <c r="V214" s="34"/>
      <c r="W214" s="34"/>
      <c r="X214" s="34"/>
      <c r="Y214" s="34"/>
      <c r="Z214" s="34"/>
      <c r="AA214" s="34"/>
    </row>
    <row r="215" spans="1:27">
      <c r="A215" s="20"/>
      <c r="B215" s="20"/>
      <c r="C215" s="20"/>
      <c r="D215" s="20"/>
      <c r="E215" s="20"/>
      <c r="F215" s="20"/>
      <c r="G215" s="20"/>
      <c r="H215" s="20"/>
      <c r="I215" s="20"/>
      <c r="J215" s="20"/>
      <c r="K215" s="20"/>
      <c r="L215" s="20"/>
      <c r="M215" s="20"/>
      <c r="N215" s="20"/>
      <c r="O215" s="20"/>
      <c r="P215" s="20"/>
      <c r="Q215" s="34"/>
      <c r="R215" s="34"/>
      <c r="S215" s="34"/>
      <c r="T215" s="34"/>
      <c r="U215" s="34"/>
      <c r="V215" s="34"/>
      <c r="W215" s="34"/>
      <c r="X215" s="34"/>
      <c r="Y215" s="34"/>
      <c r="Z215" s="34"/>
      <c r="AA215" s="34"/>
    </row>
    <row r="216" spans="1:27">
      <c r="A216" s="20"/>
      <c r="B216" s="20"/>
      <c r="C216" s="20"/>
      <c r="D216" s="20"/>
      <c r="E216" s="20"/>
      <c r="F216" s="20"/>
      <c r="G216" s="20"/>
      <c r="H216" s="20"/>
      <c r="I216" s="20"/>
      <c r="J216" s="20"/>
      <c r="K216" s="20"/>
      <c r="L216" s="20"/>
      <c r="M216" s="20"/>
      <c r="N216" s="20"/>
      <c r="O216" s="20"/>
      <c r="P216" s="20"/>
      <c r="Q216" s="34"/>
      <c r="R216" s="34"/>
      <c r="S216" s="34"/>
      <c r="T216" s="34"/>
      <c r="U216" s="34"/>
      <c r="V216" s="34"/>
      <c r="W216" s="34"/>
      <c r="X216" s="34"/>
      <c r="Y216" s="34"/>
      <c r="Z216" s="34"/>
      <c r="AA216" s="34"/>
    </row>
    <row r="217" spans="1:27">
      <c r="A217" s="20"/>
      <c r="B217" s="20"/>
      <c r="C217" s="20"/>
      <c r="D217" s="20"/>
      <c r="E217" s="20"/>
      <c r="F217" s="20"/>
      <c r="G217" s="20"/>
      <c r="H217" s="20"/>
      <c r="I217" s="20"/>
      <c r="J217" s="20"/>
      <c r="K217" s="20"/>
      <c r="L217" s="20"/>
      <c r="M217" s="20"/>
      <c r="N217" s="20"/>
      <c r="O217" s="20"/>
      <c r="P217" s="20"/>
      <c r="Q217" s="34"/>
      <c r="R217" s="34"/>
      <c r="S217" s="34"/>
      <c r="T217" s="34"/>
      <c r="U217" s="34"/>
      <c r="V217" s="34"/>
      <c r="W217" s="34"/>
      <c r="X217" s="34"/>
      <c r="Y217" s="34"/>
      <c r="Z217" s="34"/>
      <c r="AA217" s="34"/>
    </row>
    <row r="218" spans="1:27">
      <c r="A218" s="20"/>
      <c r="B218" s="20"/>
      <c r="C218" s="20"/>
      <c r="D218" s="20"/>
      <c r="E218" s="20"/>
      <c r="F218" s="20"/>
      <c r="G218" s="20"/>
      <c r="H218" s="20"/>
      <c r="I218" s="20"/>
      <c r="J218" s="20"/>
      <c r="K218" s="20"/>
      <c r="L218" s="20"/>
      <c r="M218" s="20"/>
      <c r="N218" s="20"/>
      <c r="O218" s="20"/>
      <c r="P218" s="20"/>
      <c r="Q218" s="34"/>
      <c r="R218" s="34"/>
      <c r="S218" s="34"/>
      <c r="T218" s="34"/>
      <c r="U218" s="34"/>
      <c r="V218" s="34"/>
      <c r="W218" s="34"/>
      <c r="X218" s="34"/>
      <c r="Y218" s="34"/>
      <c r="Z218" s="34"/>
      <c r="AA218" s="34"/>
    </row>
    <row r="219" spans="1:27">
      <c r="A219" s="20"/>
      <c r="B219" s="20"/>
      <c r="C219" s="20"/>
      <c r="D219" s="20"/>
      <c r="E219" s="20"/>
      <c r="F219" s="20"/>
      <c r="G219" s="20"/>
      <c r="H219" s="20"/>
      <c r="I219" s="20"/>
      <c r="J219" s="20"/>
      <c r="K219" s="20"/>
      <c r="L219" s="20"/>
      <c r="M219" s="20"/>
      <c r="N219" s="20"/>
      <c r="O219" s="20"/>
      <c r="P219" s="20"/>
      <c r="Q219" s="34"/>
      <c r="R219" s="34"/>
      <c r="S219" s="34"/>
      <c r="T219" s="34"/>
      <c r="U219" s="34"/>
      <c r="V219" s="34"/>
      <c r="W219" s="34"/>
      <c r="X219" s="34"/>
      <c r="Y219" s="34"/>
      <c r="Z219" s="34"/>
      <c r="AA219" s="34"/>
    </row>
    <row r="220" spans="1:27">
      <c r="A220" s="20"/>
      <c r="B220" s="20"/>
      <c r="C220" s="20"/>
      <c r="D220" s="20"/>
      <c r="E220" s="20"/>
      <c r="F220" s="20"/>
      <c r="G220" s="20"/>
      <c r="H220" s="20"/>
      <c r="I220" s="20"/>
      <c r="J220" s="20"/>
      <c r="K220" s="20"/>
      <c r="L220" s="20"/>
      <c r="M220" s="20"/>
      <c r="N220" s="20"/>
      <c r="O220" s="20"/>
      <c r="P220" s="20"/>
      <c r="Q220" s="34"/>
      <c r="R220" s="34"/>
      <c r="S220" s="34"/>
      <c r="T220" s="34"/>
      <c r="U220" s="34"/>
      <c r="V220" s="34"/>
      <c r="W220" s="34"/>
      <c r="X220" s="34"/>
      <c r="Y220" s="34"/>
      <c r="Z220" s="34"/>
      <c r="AA220" s="34"/>
    </row>
    <row r="221" spans="1:27">
      <c r="A221" s="20"/>
      <c r="B221" s="20"/>
      <c r="C221" s="20"/>
      <c r="D221" s="20"/>
      <c r="E221" s="20"/>
      <c r="F221" s="20"/>
      <c r="G221" s="20"/>
      <c r="H221" s="20"/>
      <c r="I221" s="20"/>
      <c r="J221" s="20"/>
      <c r="K221" s="20"/>
      <c r="L221" s="20"/>
      <c r="M221" s="20"/>
      <c r="N221" s="20"/>
      <c r="O221" s="20"/>
      <c r="P221" s="20"/>
      <c r="Q221" s="34"/>
      <c r="R221" s="34"/>
      <c r="S221" s="34"/>
      <c r="T221" s="34"/>
      <c r="U221" s="34"/>
      <c r="V221" s="34"/>
      <c r="W221" s="34"/>
      <c r="X221" s="34"/>
      <c r="Y221" s="34"/>
      <c r="Z221" s="34"/>
      <c r="AA221" s="34"/>
    </row>
    <row r="222" spans="1:27">
      <c r="A222" s="20"/>
      <c r="B222" s="20"/>
      <c r="C222" s="20"/>
      <c r="D222" s="20"/>
      <c r="E222" s="20"/>
      <c r="F222" s="20"/>
      <c r="G222" s="20"/>
      <c r="H222" s="20"/>
      <c r="I222" s="20"/>
      <c r="J222" s="20"/>
      <c r="K222" s="20"/>
      <c r="L222" s="20"/>
      <c r="M222" s="20"/>
      <c r="N222" s="20"/>
      <c r="O222" s="20"/>
      <c r="P222" s="20"/>
      <c r="Q222" s="34"/>
      <c r="R222" s="34"/>
      <c r="S222" s="34"/>
      <c r="T222" s="34"/>
      <c r="U222" s="34"/>
      <c r="V222" s="34"/>
      <c r="W222" s="34"/>
      <c r="X222" s="34"/>
      <c r="Y222" s="34"/>
      <c r="Z222" s="34"/>
      <c r="AA222" s="34"/>
    </row>
    <row r="223" spans="1:27">
      <c r="A223" s="20"/>
      <c r="B223" s="20"/>
      <c r="C223" s="20"/>
      <c r="D223" s="20"/>
      <c r="E223" s="20"/>
      <c r="F223" s="20"/>
      <c r="G223" s="20"/>
      <c r="H223" s="20"/>
      <c r="I223" s="20"/>
      <c r="J223" s="20"/>
      <c r="K223" s="20"/>
      <c r="L223" s="20"/>
      <c r="M223" s="20"/>
      <c r="N223" s="20"/>
      <c r="O223" s="20"/>
      <c r="P223" s="20"/>
      <c r="Q223" s="34"/>
      <c r="R223" s="34"/>
      <c r="S223" s="34"/>
      <c r="T223" s="34"/>
      <c r="U223" s="34"/>
      <c r="V223" s="34"/>
      <c r="W223" s="34"/>
      <c r="X223" s="34"/>
      <c r="Y223" s="34"/>
      <c r="Z223" s="34"/>
      <c r="AA223" s="34"/>
    </row>
    <row r="224" spans="1:27">
      <c r="A224" s="20"/>
      <c r="B224" s="20"/>
      <c r="C224" s="20"/>
      <c r="D224" s="20"/>
      <c r="E224" s="20"/>
      <c r="F224" s="20"/>
      <c r="G224" s="20"/>
      <c r="H224" s="20"/>
      <c r="I224" s="20"/>
      <c r="J224" s="20"/>
      <c r="K224" s="20"/>
      <c r="L224" s="20"/>
      <c r="M224" s="20"/>
      <c r="N224" s="20"/>
      <c r="O224" s="20"/>
      <c r="P224" s="20"/>
      <c r="Q224" s="34"/>
      <c r="R224" s="34"/>
      <c r="S224" s="34"/>
      <c r="T224" s="34"/>
      <c r="U224" s="34"/>
      <c r="V224" s="34"/>
      <c r="W224" s="34"/>
      <c r="X224" s="34"/>
      <c r="Y224" s="34"/>
      <c r="Z224" s="34"/>
      <c r="AA224" s="34"/>
    </row>
    <row r="225" spans="1:27">
      <c r="A225" s="20"/>
      <c r="B225" s="20"/>
      <c r="C225" s="20"/>
      <c r="D225" s="20"/>
      <c r="E225" s="20"/>
      <c r="F225" s="20"/>
      <c r="G225" s="20"/>
      <c r="H225" s="20"/>
      <c r="I225" s="20"/>
      <c r="J225" s="20"/>
      <c r="K225" s="20"/>
      <c r="L225" s="20"/>
      <c r="M225" s="20"/>
      <c r="N225" s="20"/>
      <c r="O225" s="20"/>
      <c r="P225" s="20"/>
      <c r="Q225" s="34"/>
      <c r="R225" s="34"/>
      <c r="S225" s="34"/>
      <c r="T225" s="34"/>
      <c r="U225" s="34"/>
      <c r="V225" s="34"/>
      <c r="W225" s="34"/>
      <c r="X225" s="34"/>
      <c r="Y225" s="34"/>
      <c r="Z225" s="34"/>
      <c r="AA225" s="34"/>
    </row>
    <row r="226" spans="1:27">
      <c r="A226" s="20"/>
      <c r="B226" s="20"/>
      <c r="C226" s="20"/>
      <c r="D226" s="20"/>
      <c r="E226" s="20"/>
      <c r="F226" s="20"/>
      <c r="G226" s="20"/>
      <c r="H226" s="20"/>
      <c r="I226" s="20"/>
      <c r="J226" s="20"/>
      <c r="K226" s="20"/>
      <c r="L226" s="20"/>
      <c r="M226" s="20"/>
      <c r="N226" s="20"/>
      <c r="O226" s="20"/>
      <c r="P226" s="20"/>
      <c r="Q226" s="34"/>
      <c r="R226" s="34"/>
      <c r="S226" s="34"/>
      <c r="T226" s="34"/>
      <c r="U226" s="34"/>
      <c r="V226" s="34"/>
      <c r="W226" s="34"/>
      <c r="X226" s="34"/>
      <c r="Y226" s="34"/>
      <c r="Z226" s="34"/>
      <c r="AA226" s="34"/>
    </row>
    <row r="227" spans="1:27">
      <c r="A227" s="20"/>
      <c r="B227" s="20"/>
      <c r="C227" s="20"/>
      <c r="D227" s="20"/>
      <c r="E227" s="20"/>
      <c r="F227" s="20"/>
      <c r="G227" s="20"/>
      <c r="H227" s="20"/>
      <c r="I227" s="20"/>
      <c r="J227" s="20"/>
      <c r="K227" s="20"/>
      <c r="L227" s="20"/>
      <c r="M227" s="20"/>
      <c r="N227" s="20"/>
      <c r="O227" s="20"/>
      <c r="P227" s="20"/>
      <c r="Q227" s="34"/>
      <c r="R227" s="34"/>
      <c r="S227" s="34"/>
      <c r="T227" s="34"/>
      <c r="U227" s="34"/>
      <c r="V227" s="34"/>
      <c r="W227" s="34"/>
      <c r="X227" s="34"/>
      <c r="Y227" s="34"/>
      <c r="Z227" s="34"/>
      <c r="AA227" s="34"/>
    </row>
    <row r="228" spans="1:27">
      <c r="A228" s="20"/>
      <c r="B228" s="20"/>
      <c r="C228" s="20"/>
      <c r="D228" s="20"/>
      <c r="E228" s="20"/>
      <c r="F228" s="20"/>
      <c r="G228" s="20"/>
      <c r="H228" s="20"/>
      <c r="I228" s="20"/>
      <c r="J228" s="20"/>
      <c r="K228" s="20"/>
      <c r="L228" s="20"/>
      <c r="M228" s="20"/>
      <c r="N228" s="20"/>
      <c r="O228" s="20"/>
      <c r="P228" s="20"/>
      <c r="Q228" s="34"/>
      <c r="R228" s="34"/>
      <c r="S228" s="34"/>
      <c r="T228" s="34"/>
      <c r="U228" s="34"/>
      <c r="V228" s="34"/>
      <c r="W228" s="34"/>
      <c r="X228" s="34"/>
      <c r="Y228" s="34"/>
      <c r="Z228" s="34"/>
      <c r="AA228" s="34"/>
    </row>
    <row r="229" spans="1:27">
      <c r="A229" s="20"/>
      <c r="B229" s="20"/>
      <c r="C229" s="20"/>
      <c r="D229" s="20"/>
      <c r="E229" s="20"/>
      <c r="F229" s="20"/>
      <c r="G229" s="20"/>
      <c r="H229" s="20"/>
      <c r="I229" s="20"/>
      <c r="J229" s="20"/>
      <c r="K229" s="20"/>
      <c r="L229" s="20"/>
      <c r="M229" s="20"/>
      <c r="N229" s="20"/>
      <c r="O229" s="20"/>
      <c r="P229" s="20"/>
      <c r="Q229" s="34"/>
      <c r="R229" s="34"/>
      <c r="S229" s="34"/>
      <c r="T229" s="34"/>
      <c r="U229" s="34"/>
      <c r="V229" s="34"/>
      <c r="W229" s="34"/>
      <c r="X229" s="34"/>
      <c r="Y229" s="34"/>
      <c r="Z229" s="34"/>
      <c r="AA229" s="34"/>
    </row>
    <row r="230" spans="1:27">
      <c r="A230" s="20"/>
      <c r="B230" s="20"/>
      <c r="C230" s="20"/>
      <c r="D230" s="20"/>
      <c r="E230" s="20"/>
      <c r="F230" s="20"/>
      <c r="G230" s="20"/>
      <c r="H230" s="20"/>
      <c r="I230" s="20"/>
      <c r="J230" s="20"/>
      <c r="K230" s="20"/>
      <c r="L230" s="20"/>
      <c r="M230" s="20"/>
      <c r="N230" s="20"/>
      <c r="O230" s="20"/>
      <c r="P230" s="20"/>
      <c r="Q230" s="34"/>
      <c r="R230" s="34"/>
      <c r="S230" s="34"/>
      <c r="T230" s="34"/>
      <c r="U230" s="34"/>
      <c r="V230" s="34"/>
      <c r="W230" s="34"/>
      <c r="X230" s="34"/>
      <c r="Y230" s="34"/>
      <c r="Z230" s="34"/>
      <c r="AA230" s="34"/>
    </row>
    <row r="231" spans="1:27">
      <c r="A231" s="20"/>
      <c r="B231" s="20"/>
      <c r="C231" s="20"/>
      <c r="D231" s="20"/>
      <c r="E231" s="20"/>
      <c r="F231" s="20"/>
      <c r="G231" s="20"/>
      <c r="H231" s="20"/>
      <c r="I231" s="20"/>
      <c r="J231" s="20"/>
      <c r="K231" s="20"/>
      <c r="L231" s="20"/>
      <c r="M231" s="20"/>
      <c r="N231" s="20"/>
      <c r="O231" s="20"/>
      <c r="P231" s="20"/>
      <c r="Q231" s="34"/>
      <c r="R231" s="34"/>
      <c r="S231" s="34"/>
      <c r="T231" s="34"/>
      <c r="U231" s="34"/>
      <c r="V231" s="34"/>
      <c r="W231" s="34"/>
      <c r="X231" s="34"/>
      <c r="Y231" s="34"/>
      <c r="Z231" s="34"/>
      <c r="AA231" s="34"/>
    </row>
    <row r="232" spans="1:27">
      <c r="A232" s="20"/>
      <c r="B232" s="20"/>
      <c r="C232" s="20"/>
      <c r="D232" s="20"/>
      <c r="E232" s="20"/>
      <c r="F232" s="20"/>
      <c r="G232" s="20"/>
      <c r="H232" s="20"/>
      <c r="I232" s="20"/>
      <c r="J232" s="20"/>
      <c r="K232" s="20"/>
      <c r="L232" s="20"/>
      <c r="M232" s="20"/>
      <c r="N232" s="20"/>
      <c r="O232" s="20"/>
      <c r="P232" s="20"/>
      <c r="Q232" s="34"/>
      <c r="R232" s="34"/>
      <c r="S232" s="34"/>
      <c r="T232" s="34"/>
      <c r="U232" s="34"/>
      <c r="V232" s="34"/>
      <c r="W232" s="34"/>
      <c r="X232" s="34"/>
      <c r="Y232" s="34"/>
      <c r="Z232" s="34"/>
      <c r="AA232" s="34"/>
    </row>
    <row r="233" spans="1:27">
      <c r="A233" s="20"/>
      <c r="B233" s="20"/>
      <c r="C233" s="20"/>
      <c r="D233" s="20"/>
      <c r="E233" s="20"/>
      <c r="F233" s="20"/>
      <c r="G233" s="20"/>
      <c r="H233" s="20"/>
      <c r="I233" s="20"/>
      <c r="J233" s="20"/>
      <c r="K233" s="20"/>
      <c r="L233" s="20"/>
      <c r="M233" s="20"/>
      <c r="N233" s="20"/>
      <c r="O233" s="20"/>
      <c r="P233" s="20"/>
      <c r="Q233" s="34"/>
      <c r="R233" s="34"/>
      <c r="S233" s="34"/>
      <c r="T233" s="34"/>
      <c r="U233" s="34"/>
      <c r="V233" s="34"/>
      <c r="W233" s="34"/>
      <c r="X233" s="34"/>
      <c r="Y233" s="34"/>
      <c r="Z233" s="34"/>
      <c r="AA233" s="34"/>
    </row>
    <row r="234" spans="1:27">
      <c r="A234" s="20"/>
      <c r="B234" s="20"/>
      <c r="C234" s="20"/>
      <c r="D234" s="20"/>
      <c r="E234" s="20"/>
      <c r="F234" s="20"/>
      <c r="G234" s="20"/>
      <c r="H234" s="20"/>
      <c r="I234" s="20"/>
      <c r="J234" s="20"/>
      <c r="K234" s="20"/>
      <c r="L234" s="20"/>
      <c r="M234" s="20"/>
      <c r="N234" s="20"/>
      <c r="O234" s="20"/>
      <c r="P234" s="20"/>
      <c r="Q234" s="34"/>
      <c r="R234" s="34"/>
      <c r="S234" s="34"/>
      <c r="T234" s="34"/>
      <c r="U234" s="34"/>
      <c r="V234" s="34"/>
      <c r="W234" s="34"/>
      <c r="X234" s="34"/>
      <c r="Y234" s="34"/>
      <c r="Z234" s="34"/>
      <c r="AA234" s="34"/>
    </row>
    <row r="235" spans="1:27">
      <c r="A235" s="20"/>
      <c r="B235" s="20"/>
      <c r="C235" s="20"/>
      <c r="D235" s="20"/>
      <c r="E235" s="20"/>
      <c r="F235" s="20"/>
      <c r="G235" s="20"/>
      <c r="H235" s="20"/>
      <c r="I235" s="20"/>
      <c r="J235" s="20"/>
      <c r="K235" s="20"/>
      <c r="L235" s="20"/>
      <c r="M235" s="20"/>
      <c r="N235" s="20"/>
      <c r="O235" s="20"/>
      <c r="P235" s="20"/>
      <c r="Q235" s="34"/>
      <c r="R235" s="34"/>
      <c r="S235" s="34"/>
      <c r="T235" s="34"/>
      <c r="U235" s="34"/>
      <c r="V235" s="34"/>
      <c r="W235" s="34"/>
      <c r="X235" s="34"/>
      <c r="Y235" s="34"/>
      <c r="Z235" s="34"/>
      <c r="AA235" s="34"/>
    </row>
    <row r="236" spans="1:27">
      <c r="A236" s="20"/>
      <c r="B236" s="20"/>
      <c r="C236" s="20"/>
      <c r="D236" s="20"/>
      <c r="E236" s="20"/>
      <c r="F236" s="20"/>
      <c r="G236" s="20"/>
      <c r="H236" s="20"/>
      <c r="I236" s="20"/>
      <c r="J236" s="20"/>
      <c r="K236" s="20"/>
      <c r="L236" s="20"/>
      <c r="M236" s="20"/>
      <c r="N236" s="20"/>
      <c r="O236" s="20"/>
      <c r="P236" s="20"/>
      <c r="Q236" s="34"/>
      <c r="R236" s="34"/>
      <c r="S236" s="34"/>
      <c r="T236" s="34"/>
      <c r="U236" s="34"/>
      <c r="V236" s="34"/>
      <c r="W236" s="34"/>
      <c r="X236" s="34"/>
      <c r="Y236" s="34"/>
      <c r="Z236" s="34"/>
      <c r="AA236" s="34"/>
    </row>
    <row r="237" spans="1:27">
      <c r="A237" s="20"/>
      <c r="B237" s="20"/>
      <c r="C237" s="20"/>
      <c r="D237" s="20"/>
      <c r="E237" s="20"/>
      <c r="F237" s="20"/>
      <c r="G237" s="20"/>
      <c r="H237" s="20"/>
      <c r="I237" s="20"/>
      <c r="J237" s="20"/>
      <c r="K237" s="20"/>
      <c r="L237" s="20"/>
      <c r="M237" s="20"/>
      <c r="N237" s="20"/>
      <c r="O237" s="20"/>
      <c r="P237" s="20"/>
      <c r="Q237" s="34"/>
      <c r="R237" s="34"/>
      <c r="S237" s="34"/>
      <c r="T237" s="34"/>
      <c r="U237" s="34"/>
      <c r="V237" s="34"/>
      <c r="W237" s="34"/>
      <c r="X237" s="34"/>
      <c r="Y237" s="34"/>
      <c r="Z237" s="34"/>
      <c r="AA237" s="34"/>
    </row>
    <row r="238" spans="1:27">
      <c r="A238" s="20"/>
      <c r="B238" s="20"/>
      <c r="C238" s="20"/>
      <c r="D238" s="20"/>
      <c r="E238" s="20"/>
      <c r="F238" s="20"/>
      <c r="G238" s="20"/>
      <c r="H238" s="20"/>
      <c r="I238" s="20"/>
      <c r="J238" s="20"/>
      <c r="K238" s="20"/>
      <c r="L238" s="20"/>
      <c r="M238" s="20"/>
      <c r="N238" s="20"/>
      <c r="O238" s="20"/>
      <c r="P238" s="20"/>
      <c r="Q238" s="34"/>
      <c r="R238" s="34"/>
      <c r="S238" s="34"/>
      <c r="T238" s="34"/>
      <c r="U238" s="34"/>
      <c r="V238" s="34"/>
      <c r="W238" s="34"/>
      <c r="X238" s="34"/>
      <c r="Y238" s="34"/>
      <c r="Z238" s="34"/>
      <c r="AA238" s="34"/>
    </row>
    <row r="239" spans="1:27">
      <c r="A239" s="20"/>
      <c r="B239" s="20"/>
      <c r="C239" s="20"/>
      <c r="D239" s="20"/>
      <c r="E239" s="20"/>
      <c r="F239" s="20"/>
      <c r="G239" s="20"/>
      <c r="H239" s="20"/>
      <c r="I239" s="20"/>
      <c r="J239" s="20"/>
      <c r="K239" s="20"/>
      <c r="L239" s="20"/>
      <c r="M239" s="20"/>
      <c r="N239" s="20"/>
      <c r="O239" s="20"/>
      <c r="P239" s="20"/>
      <c r="Q239" s="34"/>
      <c r="R239" s="34"/>
      <c r="S239" s="34"/>
      <c r="T239" s="34"/>
      <c r="U239" s="34"/>
      <c r="V239" s="34"/>
      <c r="W239" s="34"/>
      <c r="X239" s="34"/>
      <c r="Y239" s="34"/>
      <c r="Z239" s="34"/>
      <c r="AA239" s="34"/>
    </row>
    <row r="240" spans="1:27">
      <c r="A240" s="20"/>
      <c r="B240" s="20"/>
      <c r="C240" s="20"/>
      <c r="D240" s="20"/>
      <c r="E240" s="20"/>
      <c r="F240" s="20"/>
      <c r="G240" s="20"/>
      <c r="H240" s="20"/>
      <c r="I240" s="20"/>
      <c r="J240" s="20"/>
      <c r="K240" s="20"/>
      <c r="L240" s="20"/>
      <c r="M240" s="20"/>
      <c r="N240" s="20"/>
      <c r="O240" s="20"/>
      <c r="P240" s="20"/>
      <c r="Q240" s="34"/>
      <c r="R240" s="34"/>
      <c r="S240" s="34"/>
      <c r="T240" s="34"/>
      <c r="U240" s="34"/>
      <c r="V240" s="34"/>
      <c r="W240" s="34"/>
      <c r="X240" s="34"/>
      <c r="Y240" s="34"/>
      <c r="Z240" s="34"/>
      <c r="AA240" s="34"/>
    </row>
    <row r="241" spans="1:27">
      <c r="A241" s="20"/>
      <c r="B241" s="20"/>
      <c r="C241" s="20"/>
      <c r="D241" s="20"/>
      <c r="E241" s="20"/>
      <c r="F241" s="20"/>
      <c r="G241" s="20"/>
      <c r="H241" s="20"/>
      <c r="I241" s="20"/>
      <c r="J241" s="20"/>
      <c r="K241" s="20"/>
      <c r="L241" s="20"/>
      <c r="M241" s="20"/>
      <c r="N241" s="20"/>
      <c r="O241" s="20"/>
      <c r="P241" s="20"/>
      <c r="Q241" s="34"/>
      <c r="R241" s="34"/>
      <c r="S241" s="34"/>
      <c r="T241" s="34"/>
      <c r="U241" s="34"/>
      <c r="V241" s="34"/>
      <c r="W241" s="34"/>
      <c r="X241" s="34"/>
      <c r="Y241" s="34"/>
      <c r="Z241" s="34"/>
      <c r="AA241" s="34"/>
    </row>
    <row r="242" spans="1:27">
      <c r="A242" s="20"/>
      <c r="B242" s="20"/>
      <c r="C242" s="20"/>
      <c r="D242" s="20"/>
      <c r="E242" s="20"/>
      <c r="F242" s="20"/>
      <c r="G242" s="20"/>
      <c r="H242" s="20"/>
      <c r="I242" s="20"/>
      <c r="J242" s="20"/>
      <c r="K242" s="20"/>
      <c r="L242" s="20"/>
      <c r="M242" s="20"/>
      <c r="N242" s="20"/>
      <c r="O242" s="20"/>
      <c r="P242" s="20"/>
      <c r="Q242" s="34"/>
      <c r="R242" s="34"/>
      <c r="S242" s="34"/>
      <c r="T242" s="34"/>
      <c r="U242" s="34"/>
      <c r="V242" s="34"/>
      <c r="W242" s="34"/>
      <c r="X242" s="34"/>
      <c r="Y242" s="34"/>
      <c r="Z242" s="34"/>
      <c r="AA242" s="34"/>
    </row>
    <row r="243" spans="1:27">
      <c r="A243" s="20"/>
      <c r="B243" s="20"/>
      <c r="C243" s="20"/>
      <c r="D243" s="20"/>
      <c r="E243" s="20"/>
      <c r="F243" s="20"/>
      <c r="G243" s="20"/>
      <c r="H243" s="20"/>
      <c r="I243" s="20"/>
      <c r="J243" s="20"/>
      <c r="K243" s="20"/>
      <c r="L243" s="20"/>
      <c r="M243" s="20"/>
      <c r="N243" s="20"/>
      <c r="O243" s="20"/>
      <c r="P243" s="20"/>
      <c r="Q243" s="34"/>
      <c r="R243" s="34"/>
      <c r="S243" s="34"/>
      <c r="T243" s="34"/>
      <c r="U243" s="34"/>
      <c r="V243" s="34"/>
      <c r="W243" s="34"/>
      <c r="X243" s="34"/>
      <c r="Y243" s="34"/>
      <c r="Z243" s="34"/>
      <c r="AA243" s="34"/>
    </row>
    <row r="244" spans="1:27">
      <c r="A244" s="20"/>
      <c r="B244" s="20"/>
      <c r="C244" s="20"/>
      <c r="D244" s="20"/>
      <c r="E244" s="20"/>
      <c r="F244" s="20"/>
      <c r="G244" s="20"/>
      <c r="H244" s="20"/>
      <c r="I244" s="20"/>
      <c r="J244" s="20"/>
      <c r="K244" s="20"/>
      <c r="L244" s="20"/>
      <c r="M244" s="20"/>
      <c r="N244" s="20"/>
      <c r="O244" s="20"/>
      <c r="P244" s="20"/>
      <c r="Q244" s="34"/>
      <c r="R244" s="34"/>
      <c r="S244" s="34"/>
      <c r="T244" s="34"/>
      <c r="U244" s="34"/>
      <c r="V244" s="34"/>
      <c r="W244" s="34"/>
      <c r="X244" s="34"/>
      <c r="Y244" s="34"/>
      <c r="Z244" s="34"/>
      <c r="AA244" s="34"/>
    </row>
    <row r="245" spans="1:27">
      <c r="A245" s="20"/>
      <c r="B245" s="20"/>
      <c r="C245" s="20"/>
      <c r="D245" s="20"/>
      <c r="E245" s="20"/>
      <c r="F245" s="20"/>
      <c r="G245" s="20"/>
      <c r="H245" s="20"/>
      <c r="I245" s="20"/>
      <c r="J245" s="20"/>
      <c r="K245" s="20"/>
      <c r="L245" s="20"/>
      <c r="M245" s="20"/>
      <c r="N245" s="20"/>
      <c r="O245" s="20"/>
      <c r="P245" s="20"/>
      <c r="Q245" s="34"/>
      <c r="R245" s="34"/>
      <c r="S245" s="34"/>
      <c r="T245" s="34"/>
      <c r="U245" s="34"/>
      <c r="V245" s="34"/>
      <c r="W245" s="34"/>
      <c r="X245" s="34"/>
      <c r="Y245" s="34"/>
      <c r="Z245" s="34"/>
      <c r="AA245" s="34"/>
    </row>
    <row r="246" spans="1:27">
      <c r="A246" s="20"/>
      <c r="B246" s="20"/>
      <c r="C246" s="20"/>
      <c r="D246" s="20"/>
      <c r="E246" s="20"/>
      <c r="F246" s="20"/>
      <c r="G246" s="20"/>
      <c r="H246" s="20"/>
      <c r="I246" s="20"/>
      <c r="J246" s="20"/>
      <c r="K246" s="20"/>
      <c r="L246" s="20"/>
      <c r="M246" s="20"/>
      <c r="N246" s="20"/>
      <c r="O246" s="20"/>
      <c r="P246" s="20"/>
      <c r="Q246" s="34"/>
      <c r="R246" s="34"/>
      <c r="S246" s="34"/>
      <c r="T246" s="34"/>
      <c r="U246" s="34"/>
      <c r="V246" s="34"/>
      <c r="W246" s="34"/>
      <c r="X246" s="34"/>
      <c r="Y246" s="34"/>
      <c r="Z246" s="34"/>
      <c r="AA246" s="34"/>
    </row>
    <row r="247" spans="1:27">
      <c r="A247" s="20"/>
      <c r="B247" s="20"/>
      <c r="C247" s="20"/>
      <c r="D247" s="20"/>
      <c r="E247" s="20"/>
      <c r="F247" s="20"/>
      <c r="G247" s="20"/>
      <c r="H247" s="20"/>
      <c r="I247" s="20"/>
      <c r="J247" s="20"/>
      <c r="K247" s="20"/>
      <c r="L247" s="20"/>
      <c r="M247" s="20"/>
      <c r="N247" s="20"/>
      <c r="O247" s="20"/>
      <c r="P247" s="20"/>
      <c r="Q247" s="34"/>
      <c r="R247" s="34"/>
      <c r="S247" s="34"/>
      <c r="T247" s="34"/>
      <c r="U247" s="34"/>
      <c r="V247" s="34"/>
      <c r="W247" s="34"/>
      <c r="X247" s="34"/>
      <c r="Y247" s="34"/>
      <c r="Z247" s="34"/>
      <c r="AA247" s="34"/>
    </row>
    <row r="248" spans="1:27">
      <c r="A248" s="20"/>
      <c r="B248" s="20"/>
      <c r="C248" s="20"/>
      <c r="D248" s="20"/>
      <c r="E248" s="20"/>
      <c r="F248" s="20"/>
      <c r="G248" s="20"/>
      <c r="H248" s="20"/>
      <c r="I248" s="20"/>
      <c r="J248" s="20"/>
      <c r="K248" s="20"/>
      <c r="L248" s="20"/>
      <c r="M248" s="20"/>
      <c r="N248" s="20"/>
      <c r="O248" s="20"/>
      <c r="P248" s="20"/>
      <c r="Q248" s="34"/>
      <c r="R248" s="34"/>
      <c r="S248" s="34"/>
      <c r="T248" s="34"/>
      <c r="U248" s="34"/>
      <c r="V248" s="34"/>
      <c r="W248" s="34"/>
      <c r="X248" s="34"/>
      <c r="Y248" s="34"/>
      <c r="Z248" s="34"/>
      <c r="AA248" s="34"/>
    </row>
    <row r="249" spans="1:27">
      <c r="A249" s="20"/>
      <c r="B249" s="20"/>
      <c r="C249" s="20"/>
      <c r="D249" s="20"/>
      <c r="E249" s="20"/>
      <c r="F249" s="20"/>
      <c r="G249" s="20"/>
      <c r="H249" s="20"/>
      <c r="I249" s="20"/>
      <c r="J249" s="20"/>
      <c r="K249" s="20"/>
      <c r="L249" s="20"/>
      <c r="M249" s="20"/>
      <c r="N249" s="20"/>
      <c r="O249" s="20"/>
      <c r="P249" s="20"/>
      <c r="Q249" s="34"/>
      <c r="R249" s="34"/>
      <c r="S249" s="34"/>
      <c r="T249" s="34"/>
      <c r="U249" s="34"/>
      <c r="V249" s="34"/>
      <c r="W249" s="34"/>
      <c r="X249" s="34"/>
      <c r="Y249" s="34"/>
      <c r="Z249" s="34"/>
      <c r="AA249" s="34"/>
    </row>
    <row r="250" spans="1:27">
      <c r="A250" s="20"/>
      <c r="B250" s="20"/>
      <c r="C250" s="20"/>
      <c r="D250" s="20"/>
      <c r="E250" s="20"/>
      <c r="F250" s="20"/>
      <c r="G250" s="20"/>
      <c r="H250" s="20"/>
      <c r="I250" s="20"/>
      <c r="J250" s="20"/>
      <c r="K250" s="20"/>
      <c r="L250" s="20"/>
      <c r="M250" s="20"/>
      <c r="N250" s="20"/>
      <c r="O250" s="20"/>
      <c r="P250" s="20"/>
      <c r="Q250" s="34"/>
      <c r="R250" s="34"/>
      <c r="S250" s="34"/>
      <c r="T250" s="34"/>
      <c r="U250" s="34"/>
      <c r="V250" s="34"/>
      <c r="W250" s="34"/>
      <c r="X250" s="34"/>
      <c r="Y250" s="34"/>
      <c r="Z250" s="34"/>
      <c r="AA250" s="34"/>
    </row>
    <row r="251" spans="1:27">
      <c r="A251" s="20"/>
      <c r="B251" s="20"/>
      <c r="C251" s="20"/>
      <c r="D251" s="20"/>
      <c r="E251" s="20"/>
      <c r="F251" s="20"/>
      <c r="G251" s="20"/>
      <c r="H251" s="20"/>
      <c r="I251" s="20"/>
      <c r="J251" s="20"/>
      <c r="K251" s="20"/>
      <c r="L251" s="20"/>
      <c r="M251" s="20"/>
      <c r="N251" s="20"/>
      <c r="O251" s="20"/>
      <c r="P251" s="20"/>
      <c r="Q251" s="34"/>
      <c r="R251" s="34"/>
      <c r="S251" s="34"/>
      <c r="T251" s="34"/>
      <c r="U251" s="34"/>
      <c r="V251" s="34"/>
      <c r="W251" s="34"/>
      <c r="X251" s="34"/>
      <c r="Y251" s="34"/>
      <c r="Z251" s="34"/>
      <c r="AA251" s="34"/>
    </row>
    <row r="252" spans="1:27">
      <c r="A252" s="20"/>
      <c r="B252" s="20"/>
      <c r="C252" s="20"/>
      <c r="D252" s="20"/>
      <c r="E252" s="20"/>
      <c r="F252" s="20"/>
      <c r="G252" s="20"/>
      <c r="H252" s="20"/>
      <c r="I252" s="20"/>
      <c r="J252" s="20"/>
      <c r="K252" s="20"/>
      <c r="L252" s="20"/>
      <c r="M252" s="20"/>
      <c r="N252" s="20"/>
      <c r="O252" s="20"/>
      <c r="P252" s="20"/>
      <c r="Q252" s="34"/>
      <c r="R252" s="34"/>
      <c r="S252" s="34"/>
      <c r="T252" s="34"/>
      <c r="U252" s="34"/>
      <c r="V252" s="34"/>
      <c r="W252" s="34"/>
      <c r="X252" s="34"/>
      <c r="Y252" s="34"/>
      <c r="Z252" s="34"/>
      <c r="AA252" s="34"/>
    </row>
    <row r="253" spans="1:27">
      <c r="A253" s="20"/>
      <c r="B253" s="20"/>
      <c r="C253" s="20"/>
      <c r="D253" s="20"/>
      <c r="E253" s="20"/>
      <c r="F253" s="20"/>
      <c r="G253" s="20"/>
      <c r="H253" s="20"/>
      <c r="I253" s="20"/>
      <c r="J253" s="20"/>
      <c r="K253" s="20"/>
      <c r="L253" s="20"/>
      <c r="M253" s="20"/>
      <c r="N253" s="20"/>
      <c r="O253" s="20"/>
      <c r="P253" s="20"/>
      <c r="Q253" s="34"/>
      <c r="R253" s="34"/>
      <c r="S253" s="34"/>
      <c r="T253" s="34"/>
      <c r="U253" s="34"/>
      <c r="V253" s="34"/>
      <c r="W253" s="34"/>
      <c r="X253" s="34"/>
      <c r="Y253" s="34"/>
      <c r="Z253" s="34"/>
      <c r="AA253" s="34"/>
    </row>
    <row r="254" spans="1:27">
      <c r="A254" s="20"/>
      <c r="B254" s="20"/>
      <c r="C254" s="20"/>
      <c r="D254" s="20"/>
      <c r="E254" s="20"/>
      <c r="F254" s="20"/>
      <c r="G254" s="20"/>
      <c r="H254" s="20"/>
      <c r="I254" s="20"/>
      <c r="J254" s="20"/>
      <c r="K254" s="20"/>
      <c r="L254" s="20"/>
      <c r="M254" s="20"/>
      <c r="N254" s="20"/>
      <c r="O254" s="20"/>
      <c r="P254" s="20"/>
      <c r="Q254" s="34"/>
      <c r="R254" s="34"/>
      <c r="S254" s="34"/>
      <c r="T254" s="34"/>
      <c r="U254" s="34"/>
      <c r="V254" s="34"/>
      <c r="W254" s="34"/>
      <c r="X254" s="34"/>
      <c r="Y254" s="34"/>
      <c r="Z254" s="34"/>
      <c r="AA254" s="34"/>
    </row>
    <row r="255" spans="1:27">
      <c r="A255" s="20"/>
      <c r="B255" s="20"/>
      <c r="C255" s="20"/>
      <c r="D255" s="20"/>
      <c r="E255" s="20"/>
      <c r="F255" s="20"/>
      <c r="G255" s="20"/>
      <c r="H255" s="20"/>
      <c r="I255" s="20"/>
      <c r="J255" s="20"/>
      <c r="K255" s="20"/>
      <c r="L255" s="20"/>
      <c r="M255" s="20"/>
      <c r="N255" s="20"/>
      <c r="O255" s="20"/>
      <c r="P255" s="20"/>
      <c r="Q255" s="34"/>
      <c r="R255" s="34"/>
      <c r="S255" s="34"/>
      <c r="T255" s="34"/>
      <c r="U255" s="34"/>
      <c r="V255" s="34"/>
      <c r="W255" s="34"/>
      <c r="X255" s="34"/>
      <c r="Y255" s="34"/>
      <c r="Z255" s="34"/>
      <c r="AA255" s="34"/>
    </row>
    <row r="256" spans="1:27">
      <c r="A256" s="20"/>
      <c r="B256" s="20"/>
      <c r="C256" s="20"/>
      <c r="D256" s="20"/>
      <c r="E256" s="20"/>
      <c r="F256" s="20"/>
      <c r="G256" s="20"/>
      <c r="H256" s="20"/>
      <c r="I256" s="20"/>
      <c r="J256" s="20"/>
      <c r="K256" s="20"/>
      <c r="L256" s="20"/>
      <c r="M256" s="20"/>
      <c r="N256" s="20"/>
      <c r="O256" s="20"/>
      <c r="P256" s="20"/>
      <c r="Q256" s="34"/>
      <c r="R256" s="34"/>
      <c r="S256" s="34"/>
      <c r="T256" s="34"/>
      <c r="U256" s="34"/>
      <c r="V256" s="34"/>
      <c r="W256" s="34"/>
      <c r="X256" s="34"/>
      <c r="Y256" s="34"/>
      <c r="Z256" s="34"/>
      <c r="AA256" s="34"/>
    </row>
    <row r="257" spans="1:27">
      <c r="A257" s="20"/>
      <c r="B257" s="20"/>
      <c r="C257" s="20"/>
      <c r="D257" s="20"/>
      <c r="E257" s="20"/>
      <c r="F257" s="20"/>
      <c r="G257" s="20"/>
      <c r="H257" s="20"/>
      <c r="I257" s="20"/>
      <c r="J257" s="20"/>
      <c r="K257" s="20"/>
      <c r="L257" s="20"/>
      <c r="M257" s="20"/>
      <c r="N257" s="20"/>
      <c r="O257" s="20"/>
      <c r="P257" s="20"/>
      <c r="Q257" s="34"/>
      <c r="R257" s="34"/>
      <c r="S257" s="34"/>
      <c r="T257" s="34"/>
      <c r="U257" s="34"/>
      <c r="V257" s="34"/>
      <c r="W257" s="34"/>
      <c r="X257" s="34"/>
      <c r="Y257" s="34"/>
      <c r="Z257" s="34"/>
      <c r="AA257" s="34"/>
    </row>
    <row r="258" spans="1:27">
      <c r="A258" s="20"/>
      <c r="B258" s="20"/>
      <c r="C258" s="20"/>
      <c r="D258" s="20"/>
      <c r="E258" s="20"/>
      <c r="F258" s="20"/>
      <c r="G258" s="20"/>
      <c r="H258" s="20"/>
      <c r="I258" s="20"/>
      <c r="J258" s="20"/>
      <c r="K258" s="20"/>
      <c r="L258" s="20"/>
      <c r="M258" s="20"/>
      <c r="N258" s="20"/>
      <c r="O258" s="20"/>
      <c r="P258" s="20"/>
      <c r="Q258" s="34"/>
      <c r="R258" s="34"/>
      <c r="S258" s="34"/>
      <c r="T258" s="34"/>
      <c r="U258" s="34"/>
      <c r="V258" s="34"/>
      <c r="W258" s="34"/>
      <c r="X258" s="34"/>
      <c r="Y258" s="34"/>
      <c r="Z258" s="34"/>
      <c r="AA258" s="34"/>
    </row>
    <row r="259" spans="1:27">
      <c r="A259" s="20"/>
      <c r="B259" s="20"/>
      <c r="C259" s="20"/>
      <c r="D259" s="20"/>
      <c r="E259" s="20"/>
      <c r="F259" s="20"/>
      <c r="G259" s="20"/>
      <c r="H259" s="20"/>
      <c r="I259" s="20"/>
      <c r="J259" s="20"/>
      <c r="K259" s="20"/>
      <c r="L259" s="20"/>
      <c r="M259" s="20"/>
      <c r="N259" s="20"/>
      <c r="O259" s="20"/>
      <c r="P259" s="20"/>
      <c r="Q259" s="34"/>
      <c r="R259" s="34"/>
      <c r="S259" s="34"/>
      <c r="T259" s="34"/>
      <c r="U259" s="34"/>
      <c r="V259" s="34"/>
      <c r="W259" s="34"/>
      <c r="X259" s="34"/>
      <c r="Y259" s="34"/>
      <c r="Z259" s="34"/>
      <c r="AA259" s="34"/>
    </row>
    <row r="260" spans="1:27">
      <c r="A260" s="20"/>
      <c r="B260" s="20"/>
      <c r="C260" s="20"/>
      <c r="D260" s="20"/>
      <c r="E260" s="20"/>
      <c r="F260" s="20"/>
      <c r="G260" s="20"/>
      <c r="H260" s="20"/>
      <c r="I260" s="20"/>
      <c r="J260" s="20"/>
      <c r="K260" s="20"/>
      <c r="L260" s="20"/>
      <c r="M260" s="20"/>
      <c r="N260" s="20"/>
      <c r="O260" s="20"/>
      <c r="P260" s="20"/>
      <c r="Q260" s="34"/>
      <c r="R260" s="34"/>
      <c r="S260" s="34"/>
      <c r="T260" s="34"/>
      <c r="U260" s="34"/>
      <c r="V260" s="34"/>
      <c r="W260" s="34"/>
      <c r="X260" s="34"/>
      <c r="Y260" s="34"/>
      <c r="Z260" s="34"/>
      <c r="AA260" s="34"/>
    </row>
    <row r="261" spans="1:27">
      <c r="A261" s="20"/>
      <c r="B261" s="20"/>
      <c r="C261" s="20"/>
      <c r="D261" s="20"/>
      <c r="E261" s="20"/>
      <c r="F261" s="20"/>
      <c r="G261" s="20"/>
      <c r="H261" s="20"/>
      <c r="I261" s="20"/>
      <c r="J261" s="20"/>
      <c r="K261" s="20"/>
      <c r="L261" s="20"/>
      <c r="M261" s="20"/>
      <c r="N261" s="20"/>
      <c r="O261" s="20"/>
      <c r="P261" s="20"/>
      <c r="Q261" s="34"/>
      <c r="R261" s="34"/>
      <c r="S261" s="34"/>
      <c r="T261" s="34"/>
      <c r="U261" s="34"/>
      <c r="V261" s="34"/>
      <c r="W261" s="34"/>
      <c r="X261" s="34"/>
      <c r="Y261" s="34"/>
      <c r="Z261" s="34"/>
      <c r="AA261" s="34"/>
    </row>
    <row r="262" spans="1:27">
      <c r="A262" s="20"/>
      <c r="B262" s="20"/>
      <c r="C262" s="20"/>
      <c r="D262" s="20"/>
      <c r="E262" s="20"/>
      <c r="F262" s="20"/>
      <c r="G262" s="20"/>
      <c r="H262" s="20"/>
      <c r="I262" s="20"/>
      <c r="J262" s="20"/>
      <c r="K262" s="20"/>
      <c r="L262" s="20"/>
      <c r="M262" s="20"/>
      <c r="N262" s="20"/>
      <c r="O262" s="20"/>
      <c r="P262" s="20"/>
      <c r="Q262" s="34"/>
      <c r="R262" s="34"/>
      <c r="S262" s="34"/>
      <c r="T262" s="34"/>
      <c r="U262" s="34"/>
      <c r="V262" s="34"/>
      <c r="W262" s="34"/>
      <c r="X262" s="34"/>
      <c r="Y262" s="34"/>
      <c r="Z262" s="34"/>
      <c r="AA262" s="34"/>
    </row>
    <row r="263" spans="1:27">
      <c r="A263" s="20"/>
      <c r="B263" s="20"/>
      <c r="C263" s="20"/>
      <c r="D263" s="20"/>
      <c r="E263" s="20"/>
      <c r="F263" s="20"/>
      <c r="G263" s="20"/>
      <c r="H263" s="20"/>
      <c r="I263" s="20"/>
      <c r="J263" s="20"/>
      <c r="K263" s="20"/>
      <c r="L263" s="20"/>
      <c r="M263" s="20"/>
      <c r="N263" s="20"/>
      <c r="O263" s="20"/>
      <c r="P263" s="20"/>
      <c r="Q263" s="34"/>
      <c r="R263" s="34"/>
      <c r="S263" s="34"/>
      <c r="T263" s="34"/>
      <c r="U263" s="34"/>
      <c r="V263" s="34"/>
      <c r="W263" s="34"/>
      <c r="X263" s="34"/>
      <c r="Y263" s="34"/>
      <c r="Z263" s="34"/>
      <c r="AA263" s="34"/>
    </row>
    <row r="264" spans="1:27">
      <c r="A264" s="20"/>
      <c r="B264" s="20"/>
      <c r="C264" s="20"/>
      <c r="D264" s="20"/>
      <c r="E264" s="20"/>
      <c r="F264" s="20"/>
      <c r="G264" s="20"/>
      <c r="H264" s="20"/>
      <c r="I264" s="20"/>
      <c r="J264" s="20"/>
      <c r="K264" s="20"/>
      <c r="L264" s="20"/>
      <c r="M264" s="20"/>
      <c r="N264" s="20"/>
      <c r="O264" s="20"/>
      <c r="P264" s="20"/>
      <c r="Q264" s="34"/>
      <c r="R264" s="34"/>
      <c r="S264" s="34"/>
      <c r="T264" s="34"/>
      <c r="U264" s="34"/>
      <c r="V264" s="34"/>
      <c r="W264" s="34"/>
      <c r="X264" s="34"/>
      <c r="Y264" s="34"/>
      <c r="Z264" s="34"/>
      <c r="AA264" s="34"/>
    </row>
    <row r="265" spans="1:27">
      <c r="A265" s="20"/>
      <c r="B265" s="20"/>
      <c r="C265" s="20"/>
      <c r="D265" s="20"/>
      <c r="E265" s="20"/>
      <c r="F265" s="20"/>
      <c r="G265" s="20"/>
      <c r="H265" s="20"/>
      <c r="I265" s="20"/>
      <c r="J265" s="20"/>
      <c r="K265" s="20"/>
      <c r="L265" s="20"/>
      <c r="M265" s="20"/>
      <c r="N265" s="20"/>
      <c r="O265" s="20"/>
      <c r="P265" s="20"/>
      <c r="Q265" s="34"/>
      <c r="R265" s="34"/>
      <c r="S265" s="34"/>
      <c r="T265" s="34"/>
      <c r="U265" s="34"/>
      <c r="V265" s="34"/>
      <c r="W265" s="34"/>
      <c r="X265" s="34"/>
      <c r="Y265" s="34"/>
      <c r="Z265" s="34"/>
      <c r="AA265" s="34"/>
    </row>
    <row r="266" spans="1:27">
      <c r="A266" s="20"/>
      <c r="B266" s="20"/>
      <c r="C266" s="20"/>
      <c r="D266" s="20"/>
      <c r="E266" s="20"/>
      <c r="F266" s="20"/>
      <c r="G266" s="20"/>
      <c r="H266" s="20"/>
      <c r="I266" s="20"/>
      <c r="J266" s="20"/>
      <c r="K266" s="20"/>
      <c r="L266" s="20"/>
      <c r="M266" s="20"/>
      <c r="N266" s="20"/>
      <c r="O266" s="20"/>
      <c r="P266" s="20"/>
      <c r="Q266" s="34"/>
      <c r="R266" s="34"/>
      <c r="S266" s="34"/>
      <c r="T266" s="34"/>
      <c r="U266" s="34"/>
      <c r="V266" s="34"/>
      <c r="W266" s="34"/>
      <c r="X266" s="34"/>
      <c r="Y266" s="34"/>
      <c r="Z266" s="34"/>
      <c r="AA266" s="34"/>
    </row>
    <row r="267" spans="1:27">
      <c r="A267" s="20"/>
      <c r="B267" s="20"/>
      <c r="C267" s="20"/>
      <c r="D267" s="20"/>
      <c r="E267" s="20"/>
      <c r="F267" s="20"/>
      <c r="G267" s="20"/>
      <c r="H267" s="20"/>
      <c r="I267" s="20"/>
      <c r="J267" s="20"/>
      <c r="K267" s="20"/>
      <c r="L267" s="20"/>
      <c r="M267" s="20"/>
      <c r="N267" s="20"/>
      <c r="O267" s="20"/>
      <c r="P267" s="20"/>
      <c r="Q267" s="34"/>
      <c r="R267" s="34"/>
      <c r="S267" s="34"/>
      <c r="T267" s="34"/>
      <c r="U267" s="34"/>
      <c r="V267" s="34"/>
      <c r="W267" s="34"/>
      <c r="X267" s="34"/>
      <c r="Y267" s="34"/>
      <c r="Z267" s="34"/>
      <c r="AA267" s="34"/>
    </row>
    <row r="268" spans="1:27">
      <c r="A268" s="20"/>
      <c r="B268" s="20"/>
      <c r="C268" s="20"/>
      <c r="D268" s="20"/>
      <c r="E268" s="20"/>
      <c r="F268" s="20"/>
      <c r="G268" s="20"/>
      <c r="H268" s="20"/>
      <c r="I268" s="20"/>
      <c r="J268" s="20"/>
      <c r="K268" s="20"/>
      <c r="L268" s="20"/>
      <c r="M268" s="20"/>
      <c r="N268" s="20"/>
      <c r="O268" s="20"/>
      <c r="P268" s="20"/>
      <c r="Q268" s="34"/>
      <c r="R268" s="34"/>
      <c r="S268" s="34"/>
      <c r="T268" s="34"/>
      <c r="U268" s="34"/>
      <c r="V268" s="34"/>
      <c r="W268" s="34"/>
      <c r="X268" s="34"/>
      <c r="Y268" s="34"/>
      <c r="Z268" s="34"/>
      <c r="AA268" s="34"/>
    </row>
    <row r="269" spans="1:27">
      <c r="A269" s="20"/>
      <c r="B269" s="20"/>
      <c r="C269" s="20"/>
      <c r="D269" s="20"/>
      <c r="E269" s="20"/>
      <c r="F269" s="20"/>
      <c r="G269" s="20"/>
      <c r="H269" s="20"/>
      <c r="I269" s="20"/>
      <c r="J269" s="20"/>
      <c r="K269" s="20"/>
      <c r="L269" s="20"/>
      <c r="M269" s="20"/>
      <c r="N269" s="20"/>
      <c r="O269" s="20"/>
      <c r="P269" s="20"/>
      <c r="Q269" s="34"/>
      <c r="R269" s="34"/>
      <c r="S269" s="34"/>
      <c r="T269" s="34"/>
      <c r="U269" s="34"/>
      <c r="V269" s="34"/>
      <c r="W269" s="34"/>
      <c r="X269" s="34"/>
      <c r="Y269" s="34"/>
      <c r="Z269" s="34"/>
      <c r="AA269" s="34"/>
    </row>
    <row r="270" spans="1:27">
      <c r="A270" s="20"/>
      <c r="B270" s="20"/>
      <c r="C270" s="20"/>
      <c r="D270" s="20"/>
      <c r="E270" s="20"/>
      <c r="F270" s="20"/>
      <c r="G270" s="20"/>
      <c r="H270" s="20"/>
      <c r="I270" s="20"/>
      <c r="J270" s="20"/>
      <c r="K270" s="20"/>
      <c r="L270" s="20"/>
      <c r="M270" s="20"/>
      <c r="N270" s="20"/>
      <c r="O270" s="20"/>
      <c r="P270" s="20"/>
      <c r="Q270" s="34"/>
      <c r="R270" s="34"/>
      <c r="S270" s="34"/>
      <c r="T270" s="34"/>
      <c r="U270" s="34"/>
      <c r="V270" s="34"/>
      <c r="W270" s="34"/>
      <c r="X270" s="34"/>
      <c r="Y270" s="34"/>
      <c r="Z270" s="34"/>
      <c r="AA270" s="34"/>
    </row>
    <row r="271" spans="1:27">
      <c r="A271" s="20"/>
      <c r="B271" s="20"/>
      <c r="C271" s="20"/>
      <c r="D271" s="20"/>
      <c r="E271" s="20"/>
      <c r="F271" s="20"/>
      <c r="G271" s="20"/>
      <c r="H271" s="20"/>
      <c r="I271" s="20"/>
      <c r="J271" s="20"/>
      <c r="K271" s="20"/>
      <c r="L271" s="20"/>
      <c r="M271" s="20"/>
      <c r="N271" s="20"/>
      <c r="O271" s="20"/>
      <c r="P271" s="20"/>
      <c r="Q271" s="34"/>
      <c r="R271" s="34"/>
      <c r="S271" s="34"/>
      <c r="T271" s="34"/>
      <c r="U271" s="34"/>
      <c r="V271" s="34"/>
      <c r="W271" s="34"/>
      <c r="X271" s="34"/>
      <c r="Y271" s="34"/>
      <c r="Z271" s="34"/>
      <c r="AA271" s="34"/>
    </row>
    <row r="272" spans="1:27">
      <c r="A272" s="20"/>
      <c r="B272" s="20"/>
      <c r="C272" s="20"/>
      <c r="D272" s="20"/>
      <c r="E272" s="20"/>
      <c r="F272" s="20"/>
      <c r="G272" s="20"/>
      <c r="H272" s="20"/>
      <c r="I272" s="20"/>
      <c r="J272" s="20"/>
      <c r="K272" s="20"/>
      <c r="L272" s="20"/>
      <c r="M272" s="20"/>
      <c r="N272" s="20"/>
      <c r="O272" s="20"/>
      <c r="P272" s="20"/>
      <c r="Q272" s="34"/>
      <c r="R272" s="34"/>
      <c r="S272" s="34"/>
      <c r="T272" s="34"/>
      <c r="U272" s="34"/>
      <c r="V272" s="34"/>
      <c r="W272" s="34"/>
      <c r="X272" s="34"/>
      <c r="Y272" s="34"/>
      <c r="Z272" s="34"/>
      <c r="AA272" s="34"/>
    </row>
    <row r="273" spans="1:27">
      <c r="A273" s="20"/>
      <c r="B273" s="20"/>
      <c r="C273" s="20"/>
      <c r="D273" s="20"/>
      <c r="E273" s="20"/>
      <c r="F273" s="20"/>
      <c r="G273" s="20"/>
      <c r="H273" s="20"/>
      <c r="I273" s="20"/>
      <c r="J273" s="20"/>
      <c r="K273" s="20"/>
      <c r="L273" s="20"/>
      <c r="M273" s="20"/>
      <c r="N273" s="20"/>
      <c r="O273" s="20"/>
      <c r="P273" s="20"/>
      <c r="Q273" s="34"/>
      <c r="R273" s="34"/>
      <c r="S273" s="34"/>
      <c r="T273" s="34"/>
      <c r="U273" s="34"/>
      <c r="V273" s="34"/>
      <c r="W273" s="34"/>
      <c r="X273" s="34"/>
      <c r="Y273" s="34"/>
      <c r="Z273" s="34"/>
      <c r="AA273" s="34"/>
    </row>
    <row r="274" spans="1:27">
      <c r="A274" s="20"/>
      <c r="B274" s="20"/>
      <c r="C274" s="20"/>
      <c r="D274" s="20"/>
      <c r="E274" s="20"/>
      <c r="F274" s="20"/>
      <c r="G274" s="20"/>
      <c r="H274" s="20"/>
      <c r="I274" s="20"/>
      <c r="J274" s="20"/>
      <c r="K274" s="20"/>
      <c r="L274" s="20"/>
      <c r="M274" s="20"/>
      <c r="N274" s="20"/>
      <c r="O274" s="20"/>
      <c r="P274" s="20"/>
      <c r="Q274" s="34"/>
      <c r="R274" s="34"/>
      <c r="S274" s="34"/>
      <c r="T274" s="34"/>
      <c r="U274" s="34"/>
      <c r="V274" s="34"/>
      <c r="W274" s="34"/>
      <c r="X274" s="34"/>
      <c r="Y274" s="34"/>
      <c r="Z274" s="34"/>
      <c r="AA274" s="34"/>
    </row>
    <row r="275" spans="1:27">
      <c r="A275" s="20"/>
      <c r="B275" s="20"/>
      <c r="C275" s="20"/>
      <c r="D275" s="20"/>
      <c r="E275" s="20"/>
      <c r="F275" s="20"/>
      <c r="G275" s="20"/>
      <c r="H275" s="20"/>
      <c r="I275" s="20"/>
      <c r="J275" s="20"/>
      <c r="K275" s="20"/>
      <c r="L275" s="20"/>
      <c r="M275" s="20"/>
      <c r="N275" s="20"/>
      <c r="O275" s="20"/>
      <c r="P275" s="20"/>
      <c r="Q275" s="34"/>
      <c r="R275" s="34"/>
      <c r="S275" s="34"/>
      <c r="T275" s="34"/>
      <c r="U275" s="34"/>
      <c r="V275" s="34"/>
      <c r="W275" s="34"/>
      <c r="X275" s="34"/>
      <c r="Y275" s="34"/>
      <c r="Z275" s="34"/>
      <c r="AA275" s="34"/>
    </row>
    <row r="276" spans="1:27">
      <c r="A276" s="20"/>
      <c r="B276" s="20"/>
      <c r="C276" s="20"/>
      <c r="D276" s="20"/>
      <c r="E276" s="20"/>
      <c r="F276" s="20"/>
      <c r="G276" s="20"/>
      <c r="H276" s="20"/>
      <c r="I276" s="20"/>
      <c r="J276" s="20"/>
      <c r="K276" s="20"/>
      <c r="L276" s="20"/>
      <c r="M276" s="20"/>
      <c r="N276" s="20"/>
      <c r="O276" s="20"/>
      <c r="P276" s="20"/>
      <c r="Q276" s="34"/>
      <c r="R276" s="34"/>
      <c r="S276" s="34"/>
      <c r="T276" s="34"/>
      <c r="U276" s="34"/>
      <c r="V276" s="34"/>
      <c r="W276" s="34"/>
      <c r="X276" s="34"/>
      <c r="Y276" s="34"/>
      <c r="Z276" s="34"/>
      <c r="AA276" s="34"/>
    </row>
    <row r="277" spans="1:27">
      <c r="A277" s="20"/>
      <c r="B277" s="20"/>
      <c r="C277" s="20"/>
      <c r="D277" s="20"/>
      <c r="E277" s="20"/>
      <c r="F277" s="20"/>
      <c r="G277" s="20"/>
      <c r="H277" s="20"/>
      <c r="I277" s="20"/>
      <c r="J277" s="20"/>
      <c r="K277" s="20"/>
      <c r="L277" s="20"/>
      <c r="M277" s="20"/>
      <c r="N277" s="20"/>
      <c r="O277" s="20"/>
      <c r="P277" s="20"/>
      <c r="Q277" s="34"/>
      <c r="R277" s="34"/>
      <c r="S277" s="34"/>
      <c r="T277" s="34"/>
      <c r="U277" s="34"/>
      <c r="V277" s="34"/>
      <c r="W277" s="34"/>
      <c r="X277" s="34"/>
      <c r="Y277" s="34"/>
      <c r="Z277" s="34"/>
      <c r="AA277" s="34"/>
    </row>
    <row r="278" spans="1:27">
      <c r="A278" s="20"/>
      <c r="B278" s="20"/>
      <c r="C278" s="20"/>
      <c r="D278" s="20"/>
      <c r="E278" s="20"/>
      <c r="F278" s="20"/>
      <c r="G278" s="20"/>
      <c r="H278" s="20"/>
      <c r="I278" s="20"/>
      <c r="J278" s="20"/>
      <c r="K278" s="20"/>
      <c r="L278" s="20"/>
      <c r="M278" s="20"/>
      <c r="N278" s="20"/>
      <c r="O278" s="20"/>
      <c r="P278" s="20"/>
      <c r="Q278" s="34"/>
      <c r="R278" s="34"/>
      <c r="S278" s="34"/>
      <c r="T278" s="34"/>
      <c r="U278" s="34"/>
      <c r="V278" s="34"/>
      <c r="W278" s="34"/>
      <c r="X278" s="34"/>
      <c r="Y278" s="34"/>
      <c r="Z278" s="34"/>
      <c r="AA278" s="34"/>
    </row>
    <row r="279" spans="1:27">
      <c r="A279" s="20"/>
      <c r="B279" s="20"/>
      <c r="C279" s="20"/>
      <c r="D279" s="20"/>
      <c r="E279" s="20"/>
      <c r="F279" s="20"/>
      <c r="G279" s="20"/>
      <c r="H279" s="20"/>
      <c r="I279" s="20"/>
      <c r="J279" s="20"/>
      <c r="K279" s="20"/>
      <c r="L279" s="20"/>
      <c r="M279" s="20"/>
      <c r="N279" s="20"/>
      <c r="O279" s="20"/>
      <c r="P279" s="20"/>
      <c r="Q279" s="34"/>
      <c r="R279" s="34"/>
      <c r="S279" s="34"/>
      <c r="T279" s="34"/>
      <c r="U279" s="34"/>
      <c r="V279" s="34"/>
      <c r="W279" s="34"/>
      <c r="X279" s="34"/>
      <c r="Y279" s="34"/>
      <c r="Z279" s="34"/>
      <c r="AA279" s="34"/>
    </row>
    <row r="280" spans="1:27">
      <c r="A280" s="20"/>
      <c r="B280" s="20"/>
      <c r="C280" s="20"/>
      <c r="D280" s="20"/>
      <c r="E280" s="20"/>
      <c r="F280" s="20"/>
      <c r="G280" s="20"/>
      <c r="H280" s="20"/>
      <c r="I280" s="20"/>
      <c r="J280" s="20"/>
      <c r="K280" s="20"/>
      <c r="L280" s="20"/>
      <c r="M280" s="20"/>
      <c r="N280" s="20"/>
      <c r="O280" s="20"/>
      <c r="P280" s="20"/>
      <c r="Q280" s="34"/>
      <c r="R280" s="34"/>
      <c r="S280" s="34"/>
      <c r="T280" s="34"/>
      <c r="U280" s="34"/>
      <c r="V280" s="34"/>
      <c r="W280" s="34"/>
      <c r="X280" s="34"/>
      <c r="Y280" s="34"/>
      <c r="Z280" s="34"/>
      <c r="AA280" s="34"/>
    </row>
    <row r="281" spans="1:27">
      <c r="A281" s="20"/>
      <c r="B281" s="20"/>
      <c r="C281" s="20"/>
      <c r="D281" s="20"/>
      <c r="E281" s="20"/>
      <c r="F281" s="20"/>
      <c r="G281" s="20"/>
      <c r="H281" s="20"/>
      <c r="I281" s="20"/>
      <c r="J281" s="20"/>
      <c r="K281" s="20"/>
      <c r="L281" s="20"/>
      <c r="M281" s="20"/>
      <c r="N281" s="20"/>
      <c r="O281" s="20"/>
      <c r="P281" s="20"/>
      <c r="Q281" s="34"/>
      <c r="R281" s="34"/>
      <c r="S281" s="34"/>
      <c r="T281" s="34"/>
      <c r="U281" s="34"/>
      <c r="V281" s="34"/>
      <c r="W281" s="34"/>
      <c r="X281" s="34"/>
      <c r="Y281" s="34"/>
      <c r="Z281" s="34"/>
      <c r="AA281" s="34"/>
    </row>
    <row r="282" spans="1:27">
      <c r="A282" s="20"/>
      <c r="B282" s="20"/>
      <c r="C282" s="20"/>
      <c r="D282" s="20"/>
      <c r="E282" s="20"/>
      <c r="F282" s="20"/>
      <c r="G282" s="20"/>
      <c r="H282" s="20"/>
      <c r="I282" s="20"/>
      <c r="J282" s="20"/>
      <c r="K282" s="20"/>
      <c r="L282" s="20"/>
      <c r="M282" s="20"/>
      <c r="N282" s="20"/>
      <c r="O282" s="20"/>
      <c r="P282" s="20"/>
      <c r="Q282" s="34"/>
      <c r="R282" s="34"/>
      <c r="S282" s="34"/>
      <c r="T282" s="34"/>
      <c r="U282" s="34"/>
      <c r="V282" s="34"/>
      <c r="W282" s="34"/>
      <c r="X282" s="34"/>
      <c r="Y282" s="34"/>
      <c r="Z282" s="34"/>
      <c r="AA282" s="34"/>
    </row>
    <row r="283" spans="1:27">
      <c r="A283" s="20"/>
      <c r="B283" s="20"/>
      <c r="C283" s="20"/>
      <c r="D283" s="20"/>
      <c r="E283" s="20"/>
      <c r="F283" s="20"/>
      <c r="G283" s="20"/>
      <c r="H283" s="20"/>
      <c r="I283" s="20"/>
      <c r="J283" s="20"/>
      <c r="K283" s="20"/>
      <c r="L283" s="20"/>
      <c r="M283" s="20"/>
      <c r="N283" s="20"/>
      <c r="O283" s="20"/>
      <c r="P283" s="20"/>
      <c r="Q283" s="34"/>
      <c r="R283" s="34"/>
      <c r="S283" s="34"/>
      <c r="T283" s="34"/>
      <c r="U283" s="34"/>
      <c r="V283" s="34"/>
      <c r="W283" s="34"/>
      <c r="X283" s="34"/>
      <c r="Y283" s="34"/>
      <c r="Z283" s="34"/>
      <c r="AA283" s="34"/>
    </row>
    <row r="284" spans="1:27">
      <c r="A284" s="20"/>
      <c r="B284" s="20"/>
      <c r="C284" s="20"/>
      <c r="D284" s="20"/>
      <c r="E284" s="20"/>
      <c r="F284" s="20"/>
      <c r="G284" s="20"/>
      <c r="H284" s="20"/>
      <c r="I284" s="20"/>
      <c r="J284" s="20"/>
      <c r="K284" s="20"/>
      <c r="L284" s="20"/>
      <c r="M284" s="20"/>
      <c r="N284" s="20"/>
      <c r="O284" s="20"/>
      <c r="P284" s="20"/>
      <c r="Q284" s="34"/>
      <c r="R284" s="34"/>
      <c r="S284" s="34"/>
      <c r="T284" s="34"/>
      <c r="U284" s="34"/>
      <c r="V284" s="34"/>
      <c r="W284" s="34"/>
      <c r="X284" s="34"/>
      <c r="Y284" s="34"/>
      <c r="Z284" s="34"/>
      <c r="AA284" s="34"/>
    </row>
    <row r="285" spans="1:27">
      <c r="A285" s="20"/>
      <c r="B285" s="20"/>
      <c r="C285" s="20"/>
      <c r="D285" s="20"/>
      <c r="E285" s="20"/>
      <c r="F285" s="20"/>
      <c r="G285" s="20"/>
      <c r="H285" s="20"/>
      <c r="I285" s="20"/>
      <c r="J285" s="20"/>
      <c r="K285" s="20"/>
      <c r="L285" s="20"/>
      <c r="M285" s="20"/>
      <c r="N285" s="20"/>
      <c r="O285" s="20"/>
      <c r="P285" s="20"/>
      <c r="Q285" s="34"/>
      <c r="R285" s="34"/>
      <c r="S285" s="34"/>
      <c r="T285" s="34"/>
      <c r="U285" s="34"/>
      <c r="V285" s="34"/>
      <c r="W285" s="34"/>
      <c r="X285" s="34"/>
      <c r="Y285" s="34"/>
      <c r="Z285" s="34"/>
      <c r="AA285" s="34"/>
    </row>
    <row r="286" spans="1:27">
      <c r="A286" s="20"/>
      <c r="B286" s="20"/>
      <c r="C286" s="20"/>
      <c r="D286" s="20"/>
      <c r="E286" s="20"/>
      <c r="F286" s="20"/>
      <c r="G286" s="20"/>
      <c r="H286" s="20"/>
      <c r="I286" s="20"/>
      <c r="J286" s="20"/>
      <c r="K286" s="20"/>
      <c r="L286" s="20"/>
      <c r="M286" s="20"/>
      <c r="N286" s="20"/>
      <c r="O286" s="20"/>
      <c r="P286" s="20"/>
      <c r="Q286" s="34"/>
      <c r="R286" s="34"/>
      <c r="S286" s="34"/>
      <c r="T286" s="34"/>
      <c r="U286" s="34"/>
      <c r="V286" s="34"/>
      <c r="W286" s="34"/>
      <c r="X286" s="34"/>
      <c r="Y286" s="34"/>
      <c r="Z286" s="34"/>
      <c r="AA286" s="34"/>
    </row>
    <row r="287" spans="1:27">
      <c r="A287" s="20"/>
      <c r="B287" s="20"/>
      <c r="C287" s="20"/>
      <c r="D287" s="20"/>
      <c r="E287" s="20"/>
      <c r="F287" s="20"/>
      <c r="G287" s="20"/>
      <c r="H287" s="20"/>
      <c r="I287" s="20"/>
      <c r="J287" s="20"/>
      <c r="K287" s="20"/>
      <c r="L287" s="20"/>
      <c r="M287" s="20"/>
      <c r="N287" s="20"/>
      <c r="O287" s="20"/>
      <c r="P287" s="20"/>
      <c r="Q287" s="34"/>
      <c r="R287" s="34"/>
      <c r="S287" s="34"/>
      <c r="T287" s="34"/>
      <c r="U287" s="34"/>
      <c r="V287" s="34"/>
      <c r="W287" s="34"/>
      <c r="X287" s="34"/>
      <c r="Y287" s="34"/>
      <c r="Z287" s="34"/>
      <c r="AA287" s="34"/>
    </row>
    <row r="288" spans="1:27">
      <c r="A288" s="20"/>
      <c r="B288" s="20"/>
      <c r="C288" s="20"/>
      <c r="D288" s="20"/>
      <c r="E288" s="20"/>
      <c r="F288" s="20"/>
      <c r="G288" s="20"/>
      <c r="H288" s="20"/>
      <c r="I288" s="20"/>
      <c r="J288" s="20"/>
      <c r="K288" s="20"/>
      <c r="L288" s="20"/>
      <c r="M288" s="20"/>
      <c r="N288" s="20"/>
      <c r="O288" s="20"/>
      <c r="P288" s="20"/>
      <c r="Q288" s="34"/>
      <c r="R288" s="34"/>
      <c r="S288" s="34"/>
      <c r="T288" s="34"/>
      <c r="U288" s="34"/>
      <c r="V288" s="34"/>
      <c r="W288" s="34"/>
      <c r="X288" s="34"/>
      <c r="Y288" s="34"/>
      <c r="Z288" s="34"/>
      <c r="AA288" s="34"/>
    </row>
    <row r="289" spans="1:27">
      <c r="A289" s="20"/>
      <c r="B289" s="20"/>
      <c r="C289" s="20"/>
      <c r="D289" s="20"/>
      <c r="E289" s="20"/>
      <c r="F289" s="20"/>
      <c r="G289" s="20"/>
      <c r="H289" s="20"/>
      <c r="I289" s="20"/>
      <c r="J289" s="20"/>
      <c r="K289" s="20"/>
      <c r="L289" s="20"/>
      <c r="M289" s="20"/>
      <c r="N289" s="20"/>
      <c r="O289" s="20"/>
      <c r="P289" s="20"/>
      <c r="Q289" s="34"/>
      <c r="R289" s="34"/>
      <c r="S289" s="34"/>
      <c r="T289" s="34"/>
      <c r="U289" s="34"/>
      <c r="V289" s="34"/>
      <c r="W289" s="34"/>
      <c r="X289" s="34"/>
      <c r="Y289" s="34"/>
      <c r="Z289" s="34"/>
      <c r="AA289" s="34"/>
    </row>
    <row r="290" spans="1:27">
      <c r="A290" s="20"/>
      <c r="B290" s="20"/>
      <c r="C290" s="20"/>
      <c r="D290" s="20"/>
      <c r="E290" s="20"/>
      <c r="F290" s="20"/>
      <c r="G290" s="20"/>
      <c r="H290" s="20"/>
      <c r="I290" s="20"/>
      <c r="J290" s="20"/>
      <c r="K290" s="20"/>
      <c r="L290" s="20"/>
      <c r="M290" s="20"/>
      <c r="N290" s="20"/>
      <c r="O290" s="20"/>
      <c r="P290" s="20"/>
      <c r="Q290" s="34"/>
      <c r="R290" s="34"/>
      <c r="S290" s="34"/>
      <c r="T290" s="34"/>
      <c r="U290" s="34"/>
      <c r="V290" s="34"/>
      <c r="W290" s="34"/>
      <c r="X290" s="34"/>
      <c r="Y290" s="34"/>
      <c r="Z290" s="34"/>
      <c r="AA290" s="34"/>
    </row>
    <row r="291" spans="1:27">
      <c r="A291" s="20"/>
      <c r="B291" s="20"/>
      <c r="C291" s="20"/>
      <c r="D291" s="20"/>
      <c r="E291" s="20"/>
      <c r="F291" s="20"/>
      <c r="G291" s="20"/>
      <c r="H291" s="20"/>
      <c r="I291" s="20"/>
      <c r="J291" s="20"/>
      <c r="K291" s="20"/>
      <c r="L291" s="20"/>
      <c r="M291" s="20"/>
      <c r="N291" s="20"/>
      <c r="O291" s="20"/>
      <c r="P291" s="20"/>
      <c r="Q291" s="34"/>
      <c r="R291" s="34"/>
      <c r="S291" s="34"/>
      <c r="T291" s="34"/>
      <c r="U291" s="34"/>
      <c r="V291" s="34"/>
      <c r="W291" s="34"/>
      <c r="X291" s="34"/>
      <c r="Y291" s="34"/>
      <c r="Z291" s="34"/>
      <c r="AA291" s="34"/>
    </row>
    <row r="292" spans="1:27">
      <c r="A292" s="20"/>
      <c r="B292" s="20"/>
      <c r="C292" s="20"/>
      <c r="D292" s="20"/>
      <c r="E292" s="20"/>
      <c r="F292" s="20"/>
      <c r="G292" s="20"/>
      <c r="H292" s="20"/>
      <c r="I292" s="20"/>
      <c r="J292" s="20"/>
      <c r="K292" s="20"/>
      <c r="L292" s="20"/>
      <c r="M292" s="20"/>
      <c r="N292" s="20"/>
      <c r="O292" s="20"/>
      <c r="P292" s="20"/>
      <c r="Q292" s="34"/>
      <c r="R292" s="34"/>
      <c r="S292" s="34"/>
      <c r="T292" s="34"/>
      <c r="U292" s="34"/>
      <c r="V292" s="34"/>
      <c r="W292" s="34"/>
      <c r="X292" s="34"/>
      <c r="Y292" s="34"/>
      <c r="Z292" s="34"/>
      <c r="AA292" s="34"/>
    </row>
    <row r="293" spans="1:27">
      <c r="A293" s="20"/>
      <c r="B293" s="20"/>
      <c r="C293" s="20"/>
      <c r="D293" s="20"/>
      <c r="E293" s="20"/>
      <c r="F293" s="20"/>
      <c r="G293" s="20"/>
      <c r="H293" s="20"/>
      <c r="I293" s="20"/>
      <c r="J293" s="20"/>
      <c r="K293" s="20"/>
      <c r="L293" s="20"/>
      <c r="M293" s="20"/>
      <c r="N293" s="20"/>
      <c r="O293" s="20"/>
      <c r="P293" s="20"/>
      <c r="Q293" s="34"/>
      <c r="R293" s="34"/>
      <c r="S293" s="34"/>
      <c r="T293" s="34"/>
      <c r="U293" s="34"/>
      <c r="V293" s="34"/>
      <c r="W293" s="34"/>
      <c r="X293" s="34"/>
      <c r="Y293" s="34"/>
      <c r="Z293" s="34"/>
      <c r="AA293" s="34"/>
    </row>
    <row r="294" spans="1:27">
      <c r="A294" s="20"/>
      <c r="B294" s="20"/>
      <c r="C294" s="20"/>
      <c r="D294" s="20"/>
      <c r="E294" s="20"/>
      <c r="F294" s="20"/>
      <c r="G294" s="20"/>
      <c r="H294" s="20"/>
      <c r="I294" s="20"/>
      <c r="J294" s="20"/>
      <c r="K294" s="20"/>
      <c r="L294" s="20"/>
      <c r="M294" s="20"/>
      <c r="N294" s="20"/>
      <c r="O294" s="20"/>
      <c r="P294" s="20"/>
      <c r="Q294" s="34"/>
      <c r="R294" s="34"/>
      <c r="S294" s="34"/>
      <c r="T294" s="34"/>
      <c r="U294" s="34"/>
      <c r="V294" s="34"/>
      <c r="W294" s="34"/>
      <c r="X294" s="34"/>
      <c r="Y294" s="34"/>
      <c r="Z294" s="34"/>
      <c r="AA294" s="34"/>
    </row>
    <row r="295" spans="1:27">
      <c r="A295" s="20"/>
      <c r="B295" s="20"/>
      <c r="C295" s="20"/>
      <c r="D295" s="20"/>
      <c r="E295" s="20"/>
      <c r="F295" s="20"/>
      <c r="G295" s="20"/>
      <c r="H295" s="20"/>
      <c r="I295" s="20"/>
      <c r="J295" s="20"/>
      <c r="K295" s="20"/>
      <c r="L295" s="20"/>
      <c r="M295" s="20"/>
      <c r="N295" s="20"/>
      <c r="O295" s="20"/>
      <c r="P295" s="20"/>
      <c r="Q295" s="34"/>
      <c r="R295" s="34"/>
      <c r="S295" s="34"/>
      <c r="T295" s="34"/>
      <c r="U295" s="34"/>
      <c r="V295" s="34"/>
      <c r="W295" s="34"/>
      <c r="X295" s="34"/>
      <c r="Y295" s="34"/>
      <c r="Z295" s="34"/>
      <c r="AA295" s="34"/>
    </row>
    <row r="296" spans="1:27">
      <c r="A296" s="20"/>
      <c r="B296" s="20"/>
      <c r="C296" s="20"/>
      <c r="D296" s="20"/>
      <c r="E296" s="20"/>
      <c r="F296" s="20"/>
      <c r="G296" s="20"/>
      <c r="H296" s="20"/>
      <c r="I296" s="20"/>
      <c r="J296" s="20"/>
      <c r="K296" s="20"/>
      <c r="L296" s="20"/>
      <c r="M296" s="20"/>
      <c r="N296" s="20"/>
      <c r="O296" s="20"/>
      <c r="P296" s="20"/>
      <c r="Q296" s="34"/>
      <c r="R296" s="34"/>
      <c r="S296" s="34"/>
      <c r="T296" s="34"/>
      <c r="U296" s="34"/>
      <c r="V296" s="34"/>
      <c r="W296" s="34"/>
      <c r="X296" s="34"/>
      <c r="Y296" s="34"/>
      <c r="Z296" s="34"/>
      <c r="AA296" s="34"/>
    </row>
    <row r="297" spans="1:27">
      <c r="A297" s="20"/>
      <c r="B297" s="20"/>
      <c r="C297" s="20"/>
      <c r="D297" s="20"/>
      <c r="E297" s="20"/>
      <c r="F297" s="20"/>
      <c r="G297" s="20"/>
      <c r="H297" s="20"/>
      <c r="I297" s="20"/>
      <c r="J297" s="20"/>
      <c r="K297" s="20"/>
      <c r="L297" s="20"/>
      <c r="M297" s="20"/>
      <c r="N297" s="20"/>
      <c r="O297" s="20"/>
      <c r="P297" s="20"/>
      <c r="Q297" s="34"/>
      <c r="R297" s="34"/>
      <c r="S297" s="34"/>
      <c r="T297" s="34"/>
      <c r="U297" s="34"/>
      <c r="V297" s="34"/>
      <c r="W297" s="34"/>
      <c r="X297" s="34"/>
      <c r="Y297" s="34"/>
      <c r="Z297" s="34"/>
      <c r="AA297" s="34"/>
    </row>
    <row r="298" spans="1:27">
      <c r="A298" s="20"/>
      <c r="B298" s="20"/>
      <c r="C298" s="20"/>
      <c r="D298" s="20"/>
      <c r="E298" s="20"/>
      <c r="F298" s="20"/>
      <c r="G298" s="20"/>
      <c r="H298" s="20"/>
      <c r="I298" s="20"/>
      <c r="J298" s="20"/>
      <c r="K298" s="20"/>
      <c r="L298" s="20"/>
      <c r="M298" s="20"/>
      <c r="N298" s="20"/>
      <c r="O298" s="20"/>
      <c r="P298" s="20"/>
      <c r="Q298" s="34"/>
      <c r="R298" s="34"/>
      <c r="S298" s="34"/>
      <c r="T298" s="34"/>
      <c r="U298" s="34"/>
      <c r="V298" s="34"/>
      <c r="W298" s="34"/>
      <c r="X298" s="34"/>
      <c r="Y298" s="34"/>
      <c r="Z298" s="34"/>
      <c r="AA298" s="34"/>
    </row>
    <row r="299" spans="1:27">
      <c r="A299" s="20"/>
      <c r="B299" s="20"/>
      <c r="C299" s="20"/>
      <c r="D299" s="20"/>
      <c r="E299" s="20"/>
      <c r="F299" s="20"/>
      <c r="G299" s="20"/>
      <c r="H299" s="20"/>
      <c r="I299" s="20"/>
      <c r="J299" s="20"/>
      <c r="K299" s="20"/>
      <c r="L299" s="20"/>
      <c r="M299" s="20"/>
      <c r="N299" s="20"/>
      <c r="O299" s="20"/>
      <c r="P299" s="20"/>
      <c r="Q299" s="34"/>
      <c r="R299" s="34"/>
      <c r="S299" s="34"/>
      <c r="T299" s="34"/>
      <c r="U299" s="34"/>
      <c r="V299" s="34"/>
      <c r="W299" s="34"/>
      <c r="X299" s="34"/>
      <c r="Y299" s="34"/>
      <c r="Z299" s="34"/>
      <c r="AA299" s="34"/>
    </row>
    <row r="300" spans="1:27">
      <c r="A300" s="20"/>
      <c r="B300" s="20"/>
      <c r="C300" s="20"/>
      <c r="D300" s="20"/>
      <c r="E300" s="20"/>
      <c r="F300" s="20"/>
      <c r="G300" s="20"/>
      <c r="H300" s="20"/>
      <c r="I300" s="20"/>
      <c r="J300" s="20"/>
      <c r="K300" s="20"/>
      <c r="L300" s="20"/>
      <c r="M300" s="20"/>
      <c r="N300" s="20"/>
      <c r="O300" s="20"/>
      <c r="P300" s="20"/>
      <c r="Q300" s="34"/>
      <c r="R300" s="34"/>
      <c r="S300" s="34"/>
      <c r="T300" s="34"/>
      <c r="U300" s="34"/>
      <c r="V300" s="34"/>
      <c r="W300" s="34"/>
      <c r="X300" s="34"/>
      <c r="Y300" s="34"/>
      <c r="Z300" s="34"/>
      <c r="AA300" s="34"/>
    </row>
    <row r="301" spans="1:27">
      <c r="A301" s="20"/>
      <c r="B301" s="20"/>
      <c r="C301" s="20"/>
      <c r="D301" s="20"/>
      <c r="E301" s="20"/>
      <c r="F301" s="20"/>
      <c r="G301" s="20"/>
      <c r="H301" s="20"/>
      <c r="I301" s="20"/>
      <c r="J301" s="20"/>
      <c r="K301" s="20"/>
      <c r="L301" s="20"/>
      <c r="M301" s="20"/>
      <c r="N301" s="20"/>
      <c r="O301" s="20"/>
      <c r="P301" s="20"/>
      <c r="Q301" s="34"/>
      <c r="R301" s="34"/>
      <c r="S301" s="34"/>
      <c r="T301" s="34"/>
      <c r="U301" s="34"/>
      <c r="V301" s="34"/>
      <c r="W301" s="34"/>
      <c r="X301" s="34"/>
      <c r="Y301" s="34"/>
      <c r="Z301" s="34"/>
      <c r="AA301" s="34"/>
    </row>
    <row r="302" spans="1:27">
      <c r="A302" s="20"/>
      <c r="B302" s="20"/>
      <c r="C302" s="20"/>
      <c r="D302" s="20"/>
      <c r="E302" s="20"/>
      <c r="F302" s="20"/>
      <c r="G302" s="20"/>
      <c r="H302" s="20"/>
      <c r="I302" s="20"/>
      <c r="J302" s="20"/>
      <c r="K302" s="20"/>
      <c r="L302" s="20"/>
      <c r="M302" s="20"/>
      <c r="N302" s="20"/>
      <c r="O302" s="20"/>
      <c r="P302" s="20"/>
      <c r="Q302" s="34"/>
      <c r="R302" s="34"/>
      <c r="S302" s="34"/>
      <c r="T302" s="34"/>
      <c r="U302" s="34"/>
      <c r="V302" s="34"/>
      <c r="W302" s="34"/>
      <c r="X302" s="34"/>
      <c r="Y302" s="34"/>
      <c r="Z302" s="34"/>
      <c r="AA302" s="34"/>
    </row>
    <row r="303" spans="1:27">
      <c r="A303" s="20"/>
      <c r="B303" s="20"/>
      <c r="C303" s="20"/>
      <c r="D303" s="20"/>
      <c r="E303" s="20"/>
      <c r="F303" s="20"/>
      <c r="G303" s="20"/>
      <c r="H303" s="20"/>
      <c r="I303" s="20"/>
      <c r="J303" s="20"/>
      <c r="K303" s="20"/>
      <c r="L303" s="20"/>
      <c r="M303" s="20"/>
      <c r="N303" s="20"/>
      <c r="O303" s="20"/>
      <c r="P303" s="20"/>
      <c r="Q303" s="34"/>
      <c r="R303" s="34"/>
      <c r="S303" s="34"/>
      <c r="T303" s="34"/>
      <c r="U303" s="34"/>
      <c r="V303" s="34"/>
      <c r="W303" s="34"/>
      <c r="X303" s="34"/>
      <c r="Y303" s="34"/>
      <c r="Z303" s="34"/>
      <c r="AA303" s="34"/>
    </row>
    <row r="304" spans="1:27">
      <c r="A304" s="20"/>
      <c r="B304" s="20"/>
      <c r="C304" s="20"/>
      <c r="D304" s="20"/>
      <c r="E304" s="20"/>
      <c r="F304" s="20"/>
      <c r="G304" s="20"/>
      <c r="H304" s="20"/>
      <c r="I304" s="20"/>
      <c r="J304" s="20"/>
      <c r="K304" s="20"/>
      <c r="L304" s="20"/>
      <c r="M304" s="20"/>
      <c r="N304" s="20"/>
      <c r="O304" s="20"/>
      <c r="P304" s="20"/>
      <c r="Q304" s="34"/>
      <c r="R304" s="34"/>
      <c r="S304" s="34"/>
      <c r="T304" s="34"/>
      <c r="U304" s="34"/>
      <c r="V304" s="34"/>
      <c r="W304" s="34"/>
      <c r="X304" s="34"/>
      <c r="Y304" s="34"/>
      <c r="Z304" s="34"/>
      <c r="AA304" s="34"/>
    </row>
    <row r="305" spans="1:27">
      <c r="A305" s="20"/>
      <c r="B305" s="20"/>
      <c r="C305" s="20"/>
      <c r="D305" s="20"/>
      <c r="E305" s="20"/>
      <c r="F305" s="20"/>
      <c r="G305" s="20"/>
      <c r="H305" s="20"/>
      <c r="I305" s="20"/>
      <c r="J305" s="20"/>
      <c r="K305" s="20"/>
      <c r="L305" s="20"/>
      <c r="M305" s="20"/>
      <c r="N305" s="20"/>
      <c r="O305" s="20"/>
      <c r="P305" s="20"/>
      <c r="Q305" s="34"/>
      <c r="R305" s="34"/>
      <c r="S305" s="34"/>
      <c r="T305" s="34"/>
      <c r="U305" s="34"/>
      <c r="V305" s="34"/>
      <c r="W305" s="34"/>
      <c r="X305" s="34"/>
      <c r="Y305" s="34"/>
      <c r="Z305" s="34"/>
      <c r="AA305" s="34"/>
    </row>
    <row r="306" spans="1:27">
      <c r="A306" s="20"/>
      <c r="B306" s="20"/>
      <c r="C306" s="20"/>
      <c r="D306" s="20"/>
      <c r="E306" s="20"/>
      <c r="F306" s="20"/>
      <c r="G306" s="20"/>
      <c r="H306" s="20"/>
      <c r="I306" s="20"/>
      <c r="J306" s="20"/>
      <c r="K306" s="20"/>
      <c r="L306" s="20"/>
      <c r="M306" s="20"/>
      <c r="N306" s="20"/>
      <c r="O306" s="20"/>
      <c r="P306" s="20"/>
      <c r="Q306" s="34"/>
      <c r="R306" s="34"/>
      <c r="S306" s="34"/>
      <c r="T306" s="34"/>
      <c r="U306" s="34"/>
      <c r="V306" s="34"/>
      <c r="W306" s="34"/>
      <c r="X306" s="34"/>
      <c r="Y306" s="34"/>
      <c r="Z306" s="34"/>
      <c r="AA306" s="34"/>
    </row>
    <row r="307" spans="1:27">
      <c r="A307" s="20"/>
      <c r="B307" s="20"/>
      <c r="C307" s="20"/>
      <c r="D307" s="20"/>
      <c r="E307" s="20"/>
      <c r="F307" s="20"/>
      <c r="G307" s="20"/>
      <c r="H307" s="20"/>
      <c r="I307" s="20"/>
      <c r="J307" s="20"/>
      <c r="K307" s="20"/>
      <c r="L307" s="20"/>
      <c r="M307" s="20"/>
      <c r="N307" s="20"/>
      <c r="O307" s="20"/>
      <c r="P307" s="20"/>
      <c r="Q307" s="34"/>
      <c r="R307" s="34"/>
      <c r="S307" s="34"/>
      <c r="T307" s="34"/>
      <c r="U307" s="34"/>
      <c r="V307" s="34"/>
      <c r="W307" s="34"/>
      <c r="X307" s="34"/>
      <c r="Y307" s="34"/>
      <c r="Z307" s="34"/>
      <c r="AA307" s="34"/>
    </row>
    <row r="308" spans="1:27">
      <c r="A308" s="20"/>
      <c r="B308" s="20"/>
      <c r="C308" s="20"/>
      <c r="D308" s="20"/>
      <c r="E308" s="20"/>
      <c r="F308" s="20"/>
      <c r="G308" s="20"/>
      <c r="H308" s="20"/>
      <c r="I308" s="20"/>
      <c r="J308" s="20"/>
      <c r="K308" s="20"/>
      <c r="L308" s="20"/>
      <c r="M308" s="20"/>
      <c r="N308" s="20"/>
      <c r="O308" s="20"/>
      <c r="P308" s="20"/>
      <c r="Q308" s="34"/>
      <c r="R308" s="34"/>
      <c r="S308" s="34"/>
      <c r="T308" s="34"/>
      <c r="U308" s="34"/>
      <c r="V308" s="34"/>
      <c r="W308" s="34"/>
      <c r="X308" s="34"/>
      <c r="Y308" s="34"/>
      <c r="Z308" s="34"/>
      <c r="AA308" s="34"/>
    </row>
    <row r="309" spans="1:27">
      <c r="A309" s="20"/>
      <c r="B309" s="20"/>
      <c r="C309" s="20"/>
      <c r="D309" s="20"/>
      <c r="E309" s="20"/>
      <c r="F309" s="20"/>
      <c r="G309" s="20"/>
      <c r="H309" s="20"/>
      <c r="I309" s="20"/>
      <c r="J309" s="20"/>
      <c r="K309" s="20"/>
      <c r="L309" s="20"/>
      <c r="M309" s="20"/>
      <c r="N309" s="20"/>
      <c r="O309" s="20"/>
      <c r="P309" s="20"/>
      <c r="Q309" s="34"/>
      <c r="R309" s="34"/>
      <c r="S309" s="34"/>
      <c r="T309" s="34"/>
      <c r="U309" s="34"/>
      <c r="V309" s="34"/>
      <c r="W309" s="34"/>
      <c r="X309" s="34"/>
      <c r="Y309" s="34"/>
      <c r="Z309" s="34"/>
      <c r="AA309" s="34"/>
    </row>
  </sheetData>
  <sheetProtection algorithmName="SHA-512" hashValue="gTd/ISUWc9oULADnMChxg8KhwIo4zh/BibTJu5xSilHPlvO2b0ucBd//5DgAeqUlJyq7ftGZUqbLTBsNFDb/0A==" saltValue="Cd56f+Dcob05+F4tX3ATYQ==" spinCount="100000" sheet="1" selectLockedCells="1"/>
  <mergeCells count="21">
    <mergeCell ref="Q40:R40"/>
    <mergeCell ref="N7:O7"/>
    <mergeCell ref="A3:P3"/>
    <mergeCell ref="C16:E16"/>
    <mergeCell ref="C15:E15"/>
    <mergeCell ref="N15:O15"/>
    <mergeCell ref="N16:O16"/>
    <mergeCell ref="J38:K38"/>
    <mergeCell ref="D9:G9"/>
    <mergeCell ref="N30:O30"/>
    <mergeCell ref="N32:O32"/>
    <mergeCell ref="M38:N38"/>
    <mergeCell ref="D7:G7"/>
    <mergeCell ref="N17:O17"/>
    <mergeCell ref="N22:O22"/>
    <mergeCell ref="N28:O28"/>
    <mergeCell ref="J35:K35"/>
    <mergeCell ref="N26:O26"/>
    <mergeCell ref="N20:O20"/>
    <mergeCell ref="N18:O18"/>
    <mergeCell ref="N24:O24"/>
  </mergeCells>
  <phoneticPr fontId="2" type="noConversion"/>
  <conditionalFormatting sqref="D7:G7">
    <cfRule type="containsText" dxfId="131" priority="23" stopIfTrue="1" operator="containsText" text="0">
      <formula>NOT(ISERROR(SEARCH("0",D7)))</formula>
    </cfRule>
  </conditionalFormatting>
  <conditionalFormatting sqref="D9:G9">
    <cfRule type="expression" dxfId="130" priority="42" stopIfTrue="1">
      <formula>LEFT(D9,1)="0"</formula>
    </cfRule>
  </conditionalFormatting>
  <conditionalFormatting sqref="J35">
    <cfRule type="expression" dxfId="129" priority="28" stopIfTrue="1">
      <formula>$J$35</formula>
    </cfRule>
  </conditionalFormatting>
  <conditionalFormatting sqref="J38">
    <cfRule type="expression" dxfId="128" priority="13" stopIfTrue="1">
      <formula>$J$35</formula>
    </cfRule>
    <cfRule type="expression" dxfId="127" priority="31" stopIfTrue="1">
      <formula>$J$38</formula>
    </cfRule>
  </conditionalFormatting>
  <conditionalFormatting sqref="J35:K35">
    <cfRule type="containsErrors" dxfId="126" priority="14" stopIfTrue="1">
      <formula>ISERROR(J35)</formula>
    </cfRule>
    <cfRule type="containsText" dxfId="125" priority="15" stopIfTrue="1" operator="containsText" text="#">
      <formula>NOT(ISERROR(SEARCH("#",J35)))</formula>
    </cfRule>
    <cfRule type="containsText" priority="16" stopIfTrue="1" operator="containsText" text="#">
      <formula>NOT(ISERROR(SEARCH("#",J35)))</formula>
    </cfRule>
  </conditionalFormatting>
  <conditionalFormatting sqref="J38:K38">
    <cfRule type="containsErrors" dxfId="124" priority="9" stopIfTrue="1">
      <formula>ISERROR(J38)</formula>
    </cfRule>
    <cfRule type="containsText" dxfId="123" priority="10" stopIfTrue="1" operator="containsText" text="#">
      <formula>NOT(ISERROR(SEARCH("#",J38)))</formula>
    </cfRule>
    <cfRule type="containsText" priority="11" stopIfTrue="1" operator="containsText" text="#">
      <formula>NOT(ISERROR(SEARCH("#",J38)))</formula>
    </cfRule>
  </conditionalFormatting>
  <conditionalFormatting sqref="K9">
    <cfRule type="containsText" dxfId="122" priority="24" stopIfTrue="1" operator="containsText" text="0">
      <formula>NOT(ISERROR(SEARCH("0",K9)))</formula>
    </cfRule>
  </conditionalFormatting>
  <conditionalFormatting sqref="K20 A18 C18 E18 G18 I18 K18 A20 C20 E20 G20 I20 A22 C22 E22 G22 I22 K22 A24 C24 E24 G24 I24 K24 A26 C26 E26 G26 I26 K26 A28 C28 E28 G28 I28 K28 A30 C30 E30 G30 I30 K30 A32 C32 E32 G32 I32 K32 M43 M45">
    <cfRule type="cellIs" dxfId="121" priority="25" stopIfTrue="1" operator="equal">
      <formula>0</formula>
    </cfRule>
  </conditionalFormatting>
  <conditionalFormatting sqref="K20 E35 M35">
    <cfRule type="cellIs" dxfId="120" priority="3" stopIfTrue="1" operator="greaterThan">
      <formula>0</formula>
    </cfRule>
  </conditionalFormatting>
  <conditionalFormatting sqref="K35">
    <cfRule type="expression" dxfId="119" priority="29" stopIfTrue="1">
      <formula>$K$35</formula>
    </cfRule>
  </conditionalFormatting>
  <conditionalFormatting sqref="K38">
    <cfRule type="expression" dxfId="118" priority="12" stopIfTrue="1">
      <formula>$K$35</formula>
    </cfRule>
    <cfRule type="expression" dxfId="117" priority="26" stopIfTrue="1">
      <formula>$L$39</formula>
    </cfRule>
  </conditionalFormatting>
  <conditionalFormatting sqref="M38">
    <cfRule type="expression" dxfId="116" priority="8" stopIfTrue="1">
      <formula>$J$35</formula>
    </cfRule>
    <cfRule type="expression" dxfId="115" priority="32" stopIfTrue="1">
      <formula>$M$38</formula>
    </cfRule>
  </conditionalFormatting>
  <conditionalFormatting sqref="M38:N38">
    <cfRule type="containsErrors" dxfId="114" priority="4" stopIfTrue="1">
      <formula>ISERROR(M38)</formula>
    </cfRule>
    <cfRule type="containsText" dxfId="113" priority="5" stopIfTrue="1" operator="containsText" text="#">
      <formula>NOT(ISERROR(SEARCH("#",M38)))</formula>
    </cfRule>
    <cfRule type="containsText" priority="6" stopIfTrue="1" operator="containsText" text="#">
      <formula>NOT(ISERROR(SEARCH("#",M38)))</formula>
    </cfRule>
  </conditionalFormatting>
  <conditionalFormatting sqref="N38">
    <cfRule type="expression" dxfId="112" priority="7" stopIfTrue="1">
      <formula>$K$35</formula>
    </cfRule>
  </conditionalFormatting>
  <conditionalFormatting sqref="O9">
    <cfRule type="containsText" dxfId="111" priority="20" stopIfTrue="1" operator="containsText" text="0">
      <formula>NOT(ISERROR(SEARCH("0",O9)))</formula>
    </cfRule>
  </conditionalFormatting>
  <conditionalFormatting sqref="A1:AA14 A37:AA309 A15:P36 T15:AA36">
    <cfRule type="expression" dxfId="110" priority="2" stopIfTrue="1">
      <formula>AND(A1&lt;&gt;"",OR(A1=0,A1="0"))</formula>
    </cfRule>
  </conditionalFormatting>
  <hyperlinks>
    <hyperlink ref="Q49" location="'Guía de trabajo'!A13" display="'Guía de trabajo'!A13" xr:uid="{00000000-0004-0000-0300-000000000000}"/>
  </hyperlinks>
  <pageMargins left="0.74803149606299213" right="0.31496062992125984" top="0.98425196850393704" bottom="0.98425196850393704" header="0.47244094488188981" footer="0"/>
  <pageSetup paperSize="9" scale="99" orientation="portrait" blackAndWhite="1" horizontalDpi="4294967292" verticalDpi="4294967292" r:id="rId1"/>
  <headerFooter alignWithMargins="0">
    <oddHeader xml:space="preserve">&amp;LPREFECTURA NAVAL ARGENTINA
</oddHead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4"/>
  <dimension ref="A1:AA265"/>
  <sheetViews>
    <sheetView zoomScale="120" zoomScaleNormal="120" zoomScaleSheetLayoutView="115" workbookViewId="0">
      <selection activeCell="P19" sqref="P19"/>
    </sheetView>
  </sheetViews>
  <sheetFormatPr baseColWidth="10" defaultRowHeight="13.2"/>
  <cols>
    <col min="1" max="3" width="5.6640625" customWidth="1"/>
    <col min="4" max="4" width="4.88671875" customWidth="1"/>
    <col min="5" max="6" width="5.6640625" customWidth="1"/>
    <col min="7" max="7" width="5.33203125" customWidth="1"/>
    <col min="8" max="8" width="5.6640625" customWidth="1"/>
    <col min="9" max="9" width="7" customWidth="1"/>
    <col min="10" max="10" width="5.6640625" customWidth="1"/>
    <col min="11" max="11" width="5.5546875" customWidth="1"/>
    <col min="12" max="12" width="5.6640625" customWidth="1"/>
    <col min="13" max="13" width="6.33203125" customWidth="1"/>
    <col min="14" max="14" width="5.6640625" customWidth="1"/>
    <col min="15" max="15" width="3.109375" customWidth="1"/>
    <col min="16" max="16" width="6.5546875" customWidth="1"/>
    <col min="17" max="17" width="12.6640625" bestFit="1" customWidth="1"/>
  </cols>
  <sheetData>
    <row r="1" spans="1:27" ht="13.8" thickBot="1">
      <c r="A1" s="3"/>
      <c r="B1" s="3"/>
      <c r="C1" s="3"/>
      <c r="D1" s="3"/>
      <c r="E1" s="3"/>
      <c r="F1" s="3"/>
      <c r="G1" s="3"/>
      <c r="H1" s="3"/>
      <c r="I1" s="3"/>
      <c r="J1" s="3"/>
      <c r="K1" s="3"/>
      <c r="L1" s="3"/>
      <c r="M1" s="3"/>
      <c r="N1" s="3"/>
      <c r="O1" s="3"/>
      <c r="P1" s="20"/>
      <c r="Q1" s="20"/>
      <c r="R1" s="20"/>
      <c r="S1" s="20"/>
      <c r="T1" s="20"/>
      <c r="U1" s="20"/>
      <c r="V1" s="20"/>
      <c r="W1" s="20"/>
      <c r="X1" s="20"/>
      <c r="Y1" s="20"/>
      <c r="Z1" s="20"/>
      <c r="AA1" s="20"/>
    </row>
    <row r="2" spans="1:27" ht="13.8" thickTop="1">
      <c r="A2" s="192"/>
      <c r="B2" s="191"/>
      <c r="C2" s="191"/>
      <c r="D2" s="191"/>
      <c r="E2" s="191"/>
      <c r="F2" s="191"/>
      <c r="G2" s="191"/>
      <c r="H2" s="191"/>
      <c r="I2" s="191"/>
      <c r="J2" s="191"/>
      <c r="K2" s="191"/>
      <c r="L2" s="191"/>
      <c r="M2" s="191"/>
      <c r="N2" s="191"/>
      <c r="O2" s="201"/>
      <c r="P2" s="20"/>
      <c r="Q2" s="20"/>
      <c r="R2" s="20"/>
      <c r="S2" s="20"/>
      <c r="T2" s="20"/>
      <c r="U2" s="20"/>
      <c r="V2" s="20"/>
      <c r="W2" s="20"/>
      <c r="X2" s="20"/>
      <c r="Y2" s="20"/>
      <c r="Z2" s="20"/>
      <c r="AA2" s="20"/>
    </row>
    <row r="3" spans="1:27">
      <c r="A3" s="193"/>
      <c r="B3" s="168"/>
      <c r="C3" s="168"/>
      <c r="D3" s="168"/>
      <c r="E3" s="374" t="s">
        <v>119</v>
      </c>
      <c r="F3" s="375"/>
      <c r="G3" s="375"/>
      <c r="H3" s="375"/>
      <c r="I3" s="375"/>
      <c r="J3" s="375"/>
      <c r="K3" s="375"/>
      <c r="L3" s="168"/>
      <c r="M3" s="168"/>
      <c r="N3" s="168"/>
      <c r="O3" s="201"/>
      <c r="P3" s="20"/>
      <c r="Q3" s="20"/>
      <c r="R3" s="20"/>
      <c r="S3" s="20"/>
      <c r="T3" s="20"/>
      <c r="U3" s="20"/>
      <c r="V3" s="20"/>
      <c r="W3" s="20"/>
      <c r="X3" s="20"/>
      <c r="Y3" s="20"/>
      <c r="Z3" s="20"/>
      <c r="AA3" s="20"/>
    </row>
    <row r="4" spans="1:27">
      <c r="A4" s="194"/>
      <c r="B4" s="168"/>
      <c r="C4" s="168"/>
      <c r="D4" s="168"/>
      <c r="E4" s="375"/>
      <c r="F4" s="375"/>
      <c r="G4" s="375"/>
      <c r="H4" s="375"/>
      <c r="I4" s="375"/>
      <c r="J4" s="375"/>
      <c r="K4" s="375"/>
      <c r="L4" s="168"/>
      <c r="M4" s="168"/>
      <c r="N4" s="168"/>
      <c r="O4" s="201"/>
      <c r="P4" s="20"/>
      <c r="Q4" s="20"/>
      <c r="R4" s="20"/>
      <c r="S4" s="20"/>
      <c r="T4" s="20"/>
      <c r="U4" s="20"/>
      <c r="V4" s="20"/>
      <c r="W4" s="20"/>
      <c r="X4" s="20"/>
      <c r="Y4" s="20"/>
      <c r="Z4" s="20"/>
      <c r="AA4" s="20"/>
    </row>
    <row r="5" spans="1:27">
      <c r="A5" s="193"/>
      <c r="B5" s="168"/>
      <c r="C5" s="168"/>
      <c r="D5" s="168"/>
      <c r="E5" s="168"/>
      <c r="F5" s="168"/>
      <c r="G5" s="168"/>
      <c r="H5" s="168"/>
      <c r="I5" s="168"/>
      <c r="J5" s="168"/>
      <c r="K5" s="168"/>
      <c r="L5" s="168"/>
      <c r="M5" s="168"/>
      <c r="N5" s="168"/>
      <c r="O5" s="201"/>
      <c r="P5" s="20"/>
      <c r="Q5" s="20"/>
      <c r="R5" s="20"/>
      <c r="S5" s="20"/>
      <c r="T5" s="20"/>
      <c r="U5" s="20"/>
      <c r="V5" s="20"/>
      <c r="W5" s="20"/>
      <c r="X5" s="20"/>
      <c r="Y5" s="20"/>
      <c r="Z5" s="20"/>
      <c r="AA5" s="20"/>
    </row>
    <row r="6" spans="1:27">
      <c r="A6" s="213" t="s">
        <v>0</v>
      </c>
      <c r="B6" s="206"/>
      <c r="C6" s="206"/>
      <c r="D6" s="310">
        <f>Datum!D7</f>
        <v>0</v>
      </c>
      <c r="E6" s="310"/>
      <c r="F6" s="310"/>
      <c r="G6" s="206"/>
      <c r="H6" s="206" t="s">
        <v>1</v>
      </c>
      <c r="I6" s="206"/>
      <c r="J6" s="1">
        <f>Datum!J7</f>
        <v>0</v>
      </c>
      <c r="K6" s="206"/>
      <c r="L6" s="206" t="s">
        <v>2</v>
      </c>
      <c r="M6" s="378">
        <f>Datum!N7</f>
        <v>0</v>
      </c>
      <c r="N6" s="365"/>
      <c r="O6" s="201"/>
      <c r="P6" s="20"/>
      <c r="Q6" s="20"/>
      <c r="R6" s="20"/>
      <c r="S6" s="20"/>
      <c r="T6" s="20"/>
      <c r="U6" s="20"/>
      <c r="V6" s="20"/>
      <c r="W6" s="20"/>
      <c r="X6" s="20"/>
      <c r="Y6" s="20"/>
      <c r="Z6" s="20"/>
      <c r="AA6" s="20"/>
    </row>
    <row r="7" spans="1:27">
      <c r="A7" s="193"/>
      <c r="B7" s="168"/>
      <c r="C7" s="168"/>
      <c r="D7" s="168"/>
      <c r="E7" s="168"/>
      <c r="F7" s="168"/>
      <c r="G7" s="168"/>
      <c r="H7" s="168"/>
      <c r="I7" s="168"/>
      <c r="J7" s="168"/>
      <c r="K7" s="168"/>
      <c r="L7" s="168"/>
      <c r="M7" s="168"/>
      <c r="N7" s="168"/>
      <c r="O7" s="201"/>
      <c r="P7" s="20"/>
      <c r="Q7" s="20"/>
      <c r="R7" s="20"/>
      <c r="S7" s="20"/>
      <c r="T7" s="20"/>
      <c r="U7" s="20"/>
      <c r="V7" s="20"/>
      <c r="W7" s="20"/>
      <c r="X7" s="20"/>
      <c r="Y7" s="20"/>
      <c r="Z7" s="20"/>
      <c r="AA7" s="20"/>
    </row>
    <row r="8" spans="1:27">
      <c r="A8" s="213" t="s">
        <v>3</v>
      </c>
      <c r="B8" s="206"/>
      <c r="C8" s="206"/>
      <c r="D8" s="310">
        <f>Datum!D9</f>
        <v>0</v>
      </c>
      <c r="E8" s="310"/>
      <c r="F8" s="310"/>
      <c r="G8" s="206"/>
      <c r="H8" s="206" t="s">
        <v>4</v>
      </c>
      <c r="I8" s="206"/>
      <c r="J8" s="1">
        <f>Datum!J9</f>
        <v>0</v>
      </c>
      <c r="K8" s="206" t="s">
        <v>5</v>
      </c>
      <c r="L8" s="168"/>
      <c r="M8" s="206"/>
      <c r="N8" s="1">
        <f>Datum!P9</f>
        <v>0</v>
      </c>
      <c r="O8" s="201"/>
      <c r="P8" s="20"/>
      <c r="Q8" s="20"/>
      <c r="R8" s="20"/>
      <c r="S8" s="20"/>
      <c r="T8" s="20"/>
      <c r="U8" s="20"/>
      <c r="V8" s="20"/>
      <c r="W8" s="20"/>
      <c r="X8" s="20"/>
      <c r="Y8" s="20"/>
      <c r="Z8" s="20"/>
      <c r="AA8" s="20"/>
    </row>
    <row r="9" spans="1:27" ht="13.8" thickBot="1">
      <c r="A9" s="193"/>
      <c r="B9" s="168"/>
      <c r="C9" s="168"/>
      <c r="D9" s="168"/>
      <c r="E9" s="168"/>
      <c r="F9" s="168"/>
      <c r="G9" s="168"/>
      <c r="H9" s="168"/>
      <c r="I9" s="168"/>
      <c r="J9" s="168"/>
      <c r="K9" s="168"/>
      <c r="L9" s="168"/>
      <c r="M9" s="168"/>
      <c r="N9" s="168"/>
      <c r="O9" s="201"/>
      <c r="P9" s="20"/>
      <c r="Q9" s="20"/>
      <c r="R9" s="20"/>
      <c r="S9" s="20"/>
      <c r="T9" s="20"/>
      <c r="U9" s="20"/>
      <c r="V9" s="20"/>
      <c r="W9" s="20"/>
      <c r="X9" s="20"/>
      <c r="Y9" s="20"/>
      <c r="Z9" s="20"/>
      <c r="AA9" s="20"/>
    </row>
    <row r="10" spans="1:27" ht="13.8" thickBot="1">
      <c r="A10" s="186" t="s">
        <v>7</v>
      </c>
      <c r="B10" s="187" t="s">
        <v>97</v>
      </c>
      <c r="C10" s="187"/>
      <c r="D10" s="187"/>
      <c r="E10" s="187"/>
      <c r="F10" s="187"/>
      <c r="G10" s="187"/>
      <c r="H10" s="188"/>
      <c r="I10" s="168"/>
      <c r="J10" s="168"/>
      <c r="K10" s="168"/>
      <c r="L10" s="168"/>
      <c r="M10" s="168"/>
      <c r="N10" s="168"/>
      <c r="O10" s="201"/>
      <c r="P10" s="20"/>
      <c r="Q10" s="20"/>
      <c r="R10" s="20"/>
      <c r="S10" s="20"/>
      <c r="T10" s="20"/>
      <c r="U10" s="20"/>
      <c r="V10" s="20"/>
      <c r="W10" s="20"/>
      <c r="X10" s="20"/>
      <c r="Y10" s="20"/>
      <c r="Z10" s="20"/>
      <c r="AA10" s="20"/>
    </row>
    <row r="11" spans="1:27">
      <c r="A11" s="193"/>
      <c r="B11" s="168"/>
      <c r="C11" s="168"/>
      <c r="D11" s="168"/>
      <c r="E11" s="168"/>
      <c r="F11" s="168"/>
      <c r="G11" s="168"/>
      <c r="H11" s="168"/>
      <c r="I11" s="168"/>
      <c r="J11" s="168"/>
      <c r="K11" s="168"/>
      <c r="L11" s="168"/>
      <c r="M11" s="168"/>
      <c r="N11" s="168"/>
      <c r="O11" s="201"/>
      <c r="P11" s="20"/>
      <c r="Q11" s="20"/>
      <c r="R11" s="20"/>
      <c r="S11" s="20"/>
      <c r="T11" s="20"/>
      <c r="U11" s="20"/>
      <c r="V11" s="20"/>
      <c r="W11" s="20"/>
      <c r="X11" s="20"/>
      <c r="Y11" s="20"/>
      <c r="Z11" s="20"/>
      <c r="AA11" s="20"/>
    </row>
    <row r="12" spans="1:27">
      <c r="A12" s="193"/>
      <c r="B12" s="172">
        <v>1</v>
      </c>
      <c r="C12" s="206" t="s">
        <v>98</v>
      </c>
      <c r="D12" s="206"/>
      <c r="E12" s="206"/>
      <c r="F12" s="206"/>
      <c r="G12" s="206"/>
      <c r="H12" s="206"/>
      <c r="I12" s="206"/>
      <c r="J12" s="206"/>
      <c r="K12" s="206"/>
      <c r="L12" s="206"/>
      <c r="M12" s="168"/>
      <c r="N12" s="177"/>
      <c r="O12" s="201"/>
      <c r="P12" s="20"/>
      <c r="Q12" s="20"/>
      <c r="R12" s="20"/>
      <c r="S12" s="20"/>
      <c r="T12" s="20"/>
      <c r="U12" s="20"/>
      <c r="V12" s="20"/>
      <c r="W12" s="20"/>
      <c r="X12" s="20"/>
      <c r="Y12" s="20"/>
      <c r="Z12" s="20"/>
      <c r="AA12" s="20"/>
    </row>
    <row r="13" spans="1:27">
      <c r="A13" s="193"/>
      <c r="B13" s="168"/>
      <c r="C13" s="206" t="s">
        <v>99</v>
      </c>
      <c r="D13" s="206"/>
      <c r="E13" s="206"/>
      <c r="F13" s="206"/>
      <c r="G13" s="206"/>
      <c r="H13" s="206"/>
      <c r="I13" s="206"/>
      <c r="J13" s="206"/>
      <c r="K13" s="376"/>
      <c r="L13" s="376"/>
      <c r="M13" s="376"/>
      <c r="N13" s="376"/>
      <c r="O13" s="201"/>
      <c r="P13" s="20"/>
      <c r="Q13" s="20"/>
      <c r="R13" s="20"/>
      <c r="S13" s="20"/>
      <c r="T13" s="20"/>
      <c r="U13" s="20"/>
      <c r="V13" s="20"/>
      <c r="W13" s="20"/>
      <c r="X13" s="20"/>
      <c r="Y13" s="20"/>
      <c r="Z13" s="20"/>
      <c r="AA13" s="20"/>
    </row>
    <row r="14" spans="1:27">
      <c r="A14" s="193"/>
      <c r="B14" s="168"/>
      <c r="C14" s="206"/>
      <c r="D14" s="206"/>
      <c r="E14" s="206"/>
      <c r="F14" s="206"/>
      <c r="G14" s="206"/>
      <c r="H14" s="206"/>
      <c r="I14" s="206"/>
      <c r="J14" s="206"/>
      <c r="K14" s="206"/>
      <c r="L14" s="206"/>
      <c r="M14" s="168"/>
      <c r="N14" s="177"/>
      <c r="O14" s="201"/>
      <c r="P14" s="20"/>
      <c r="Q14" s="20"/>
      <c r="R14" s="20"/>
      <c r="S14" s="20"/>
      <c r="T14" s="20"/>
      <c r="U14" s="20"/>
      <c r="V14" s="20"/>
      <c r="W14" s="20"/>
      <c r="X14" s="20"/>
      <c r="Y14" s="20"/>
      <c r="Z14" s="20"/>
      <c r="AA14" s="20"/>
    </row>
    <row r="15" spans="1:27">
      <c r="A15" s="193"/>
      <c r="B15" s="172">
        <v>2</v>
      </c>
      <c r="C15" s="206" t="s">
        <v>100</v>
      </c>
      <c r="D15" s="168"/>
      <c r="E15" s="168"/>
      <c r="F15" s="168"/>
      <c r="G15" s="168"/>
      <c r="H15" s="168"/>
      <c r="I15" s="168"/>
      <c r="J15" s="168"/>
      <c r="K15" s="10"/>
      <c r="L15" s="172" t="s">
        <v>29</v>
      </c>
      <c r="M15" s="11"/>
      <c r="N15" s="206" t="s">
        <v>30</v>
      </c>
      <c r="O15" s="201"/>
      <c r="P15" s="20"/>
      <c r="Q15" s="20"/>
      <c r="R15" s="20"/>
      <c r="S15" s="20"/>
      <c r="T15" s="20"/>
      <c r="U15" s="20"/>
      <c r="V15" s="20"/>
      <c r="W15" s="20"/>
      <c r="X15" s="20"/>
      <c r="Y15" s="20"/>
      <c r="Z15" s="20"/>
      <c r="AA15" s="20"/>
    </row>
    <row r="16" spans="1:27">
      <c r="A16" s="193"/>
      <c r="B16" s="168"/>
      <c r="C16" s="168"/>
      <c r="D16" s="168"/>
      <c r="E16" s="168"/>
      <c r="F16" s="168"/>
      <c r="G16" s="168"/>
      <c r="H16" s="168"/>
      <c r="I16" s="168"/>
      <c r="J16" s="168"/>
      <c r="K16" s="168"/>
      <c r="L16" s="168"/>
      <c r="M16" s="168"/>
      <c r="N16" s="168"/>
      <c r="O16" s="201"/>
      <c r="P16" s="20"/>
      <c r="Q16" s="20"/>
      <c r="R16" s="20"/>
      <c r="S16" s="20"/>
      <c r="T16" s="20"/>
      <c r="U16" s="20"/>
      <c r="V16" s="20"/>
      <c r="W16" s="20"/>
      <c r="X16" s="20"/>
      <c r="Y16" s="20"/>
      <c r="Z16" s="20"/>
      <c r="AA16" s="20"/>
    </row>
    <row r="17" spans="1:27">
      <c r="A17" s="193"/>
      <c r="B17" s="172">
        <v>3</v>
      </c>
      <c r="C17" s="206" t="s">
        <v>101</v>
      </c>
      <c r="D17" s="168"/>
      <c r="E17" s="168"/>
      <c r="F17" s="168"/>
      <c r="G17" s="168"/>
      <c r="H17" s="168"/>
      <c r="I17" s="168"/>
      <c r="J17" s="168"/>
      <c r="K17" s="168"/>
      <c r="L17" s="168"/>
      <c r="M17" s="11"/>
      <c r="N17" s="206" t="s">
        <v>30</v>
      </c>
      <c r="O17" s="201"/>
      <c r="P17" s="20"/>
      <c r="Q17" s="20"/>
      <c r="R17" s="20"/>
      <c r="S17" s="20"/>
      <c r="T17" s="20"/>
      <c r="U17" s="20"/>
      <c r="V17" s="20"/>
      <c r="W17" s="20"/>
      <c r="X17" s="20"/>
      <c r="Y17" s="20"/>
      <c r="Z17" s="20"/>
      <c r="AA17" s="20"/>
    </row>
    <row r="18" spans="1:27">
      <c r="A18" s="193"/>
      <c r="B18" s="172"/>
      <c r="C18" s="206"/>
      <c r="D18" s="168"/>
      <c r="E18" s="168"/>
      <c r="F18" s="168"/>
      <c r="G18" s="168"/>
      <c r="H18" s="168"/>
      <c r="I18" s="168"/>
      <c r="J18" s="168"/>
      <c r="K18" s="168"/>
      <c r="L18" s="168"/>
      <c r="M18" s="168"/>
      <c r="N18" s="206"/>
      <c r="O18" s="201"/>
      <c r="P18" s="20"/>
      <c r="Q18" s="20"/>
      <c r="R18" s="20"/>
      <c r="S18" s="20"/>
      <c r="T18" s="20"/>
      <c r="U18" s="20"/>
      <c r="V18" s="20"/>
      <c r="W18" s="20"/>
      <c r="X18" s="20"/>
      <c r="Y18" s="20"/>
      <c r="Z18" s="20"/>
      <c r="AA18" s="20"/>
    </row>
    <row r="19" spans="1:27">
      <c r="A19" s="193"/>
      <c r="B19" s="172">
        <v>4</v>
      </c>
      <c r="C19" s="206" t="s">
        <v>102</v>
      </c>
      <c r="D19" s="168"/>
      <c r="E19" s="168"/>
      <c r="F19" s="168"/>
      <c r="G19" s="168"/>
      <c r="H19" s="168"/>
      <c r="I19" s="168"/>
      <c r="J19" s="168"/>
      <c r="K19" s="168"/>
      <c r="L19" s="168"/>
      <c r="M19" s="168"/>
      <c r="N19" s="168"/>
      <c r="O19" s="201"/>
      <c r="P19" s="44" t="s">
        <v>337</v>
      </c>
      <c r="Q19" s="20"/>
      <c r="R19" s="20"/>
      <c r="S19" s="20"/>
      <c r="T19" s="20"/>
      <c r="U19" s="20"/>
      <c r="V19" s="20"/>
      <c r="W19" s="20"/>
      <c r="X19" s="20"/>
      <c r="Y19" s="20"/>
      <c r="Z19" s="20"/>
      <c r="AA19" s="20"/>
    </row>
    <row r="20" spans="1:27" ht="13.8" thickBot="1">
      <c r="A20" s="193"/>
      <c r="B20" s="172"/>
      <c r="C20" s="206"/>
      <c r="D20" s="168"/>
      <c r="E20" s="168"/>
      <c r="F20" s="168"/>
      <c r="G20" s="168"/>
      <c r="H20" s="168"/>
      <c r="I20" s="168"/>
      <c r="J20" s="168"/>
      <c r="K20" s="168"/>
      <c r="L20" s="168"/>
      <c r="M20" s="168"/>
      <c r="N20" s="168"/>
      <c r="O20" s="201"/>
      <c r="P20" s="20"/>
      <c r="Q20" s="20"/>
      <c r="R20" s="20"/>
      <c r="S20" s="20"/>
      <c r="T20" s="20"/>
      <c r="U20" s="20"/>
      <c r="V20" s="20"/>
      <c r="W20" s="20"/>
      <c r="X20" s="20"/>
      <c r="Y20" s="20"/>
      <c r="Z20" s="20"/>
      <c r="AA20" s="20"/>
    </row>
    <row r="21" spans="1:27" ht="13.8" thickBot="1">
      <c r="A21" s="186" t="s">
        <v>20</v>
      </c>
      <c r="B21" s="187" t="s">
        <v>103</v>
      </c>
      <c r="C21" s="187"/>
      <c r="D21" s="189"/>
      <c r="E21" s="189"/>
      <c r="F21" s="189"/>
      <c r="G21" s="189"/>
      <c r="H21" s="190"/>
      <c r="I21" s="168"/>
      <c r="J21" s="168"/>
      <c r="K21" s="168"/>
      <c r="L21" s="168"/>
      <c r="M21" s="168"/>
      <c r="N21" s="168"/>
      <c r="O21" s="201"/>
      <c r="P21" s="20"/>
      <c r="Q21" s="20"/>
      <c r="R21" s="20"/>
      <c r="S21" s="20"/>
      <c r="T21" s="20"/>
      <c r="U21" s="20"/>
      <c r="V21" s="20"/>
      <c r="W21" s="20"/>
      <c r="X21" s="20"/>
      <c r="Y21" s="20"/>
      <c r="Z21" s="20"/>
      <c r="AA21" s="20"/>
    </row>
    <row r="22" spans="1:27">
      <c r="A22" s="193"/>
      <c r="B22" s="168"/>
      <c r="C22" s="168"/>
      <c r="D22" s="168"/>
      <c r="E22" s="168"/>
      <c r="F22" s="168"/>
      <c r="G22" s="168"/>
      <c r="H22" s="168"/>
      <c r="I22" s="168"/>
      <c r="J22" s="168"/>
      <c r="K22" s="168"/>
      <c r="L22" s="168"/>
      <c r="M22" s="168"/>
      <c r="N22" s="168"/>
      <c r="O22" s="201"/>
      <c r="P22" s="20"/>
      <c r="Q22" s="20"/>
      <c r="R22" s="20"/>
      <c r="S22" s="20"/>
      <c r="T22" s="20"/>
      <c r="U22" s="20"/>
      <c r="V22" s="20"/>
      <c r="W22" s="20"/>
      <c r="X22" s="20"/>
      <c r="Y22" s="20"/>
      <c r="Z22" s="20"/>
      <c r="AA22" s="20"/>
    </row>
    <row r="23" spans="1:27">
      <c r="A23" s="193"/>
      <c r="B23" s="172">
        <v>1</v>
      </c>
      <c r="C23" s="206" t="s">
        <v>104</v>
      </c>
      <c r="D23" s="168"/>
      <c r="E23" s="168"/>
      <c r="F23" s="168"/>
      <c r="G23" s="168"/>
      <c r="H23" s="168"/>
      <c r="I23" s="168"/>
      <c r="J23" s="168"/>
      <c r="K23" s="168"/>
      <c r="L23" s="211"/>
      <c r="M23" s="168"/>
      <c r="N23" s="168"/>
      <c r="O23" s="201"/>
      <c r="P23" s="20"/>
      <c r="Q23" s="20"/>
      <c r="R23" s="20"/>
      <c r="S23" s="20"/>
      <c r="T23" s="20"/>
      <c r="U23" s="20"/>
      <c r="V23" s="20"/>
      <c r="W23" s="20"/>
      <c r="X23" s="20"/>
      <c r="Y23" s="20"/>
      <c r="Z23" s="20"/>
      <c r="AA23" s="20"/>
    </row>
    <row r="24" spans="1:27">
      <c r="A24" s="193"/>
      <c r="B24" s="168"/>
      <c r="C24" s="168"/>
      <c r="D24" s="168"/>
      <c r="E24" s="168"/>
      <c r="F24" s="168"/>
      <c r="G24" s="168"/>
      <c r="H24" s="168"/>
      <c r="I24" s="168"/>
      <c r="J24" s="168"/>
      <c r="K24" s="168"/>
      <c r="L24" s="168"/>
      <c r="M24" s="168"/>
      <c r="N24" s="168"/>
      <c r="O24" s="201"/>
      <c r="P24" s="20"/>
      <c r="Q24" s="20"/>
      <c r="R24" s="20"/>
      <c r="S24" s="20"/>
      <c r="T24" s="20"/>
      <c r="U24" s="20"/>
      <c r="V24" s="20"/>
      <c r="W24" s="20"/>
      <c r="X24" s="20"/>
      <c r="Y24" s="20"/>
      <c r="Z24" s="20"/>
      <c r="AA24" s="20"/>
    </row>
    <row r="25" spans="1:27">
      <c r="A25" s="193"/>
      <c r="B25" s="217" t="s">
        <v>105</v>
      </c>
      <c r="C25" s="206" t="s">
        <v>106</v>
      </c>
      <c r="D25" s="168"/>
      <c r="E25" s="168"/>
      <c r="F25" s="168"/>
      <c r="G25" s="168"/>
      <c r="H25" s="168"/>
      <c r="I25" s="168"/>
      <c r="J25" s="168"/>
      <c r="K25" s="376"/>
      <c r="L25" s="376"/>
      <c r="M25" s="376"/>
      <c r="N25" s="376"/>
      <c r="O25" s="201"/>
      <c r="P25" s="20"/>
      <c r="Q25" s="20"/>
      <c r="R25" s="20"/>
      <c r="S25" s="20"/>
      <c r="T25" s="20"/>
      <c r="U25" s="20"/>
      <c r="V25" s="20"/>
      <c r="W25" s="20"/>
      <c r="X25" s="20"/>
      <c r="Y25" s="20"/>
      <c r="Z25" s="20"/>
      <c r="AA25" s="20"/>
    </row>
    <row r="26" spans="1:27">
      <c r="A26" s="193"/>
      <c r="B26" s="172"/>
      <c r="C26" s="206"/>
      <c r="D26" s="168"/>
      <c r="E26" s="168"/>
      <c r="F26" s="168"/>
      <c r="G26" s="168"/>
      <c r="H26" s="168"/>
      <c r="I26" s="168"/>
      <c r="J26" s="168"/>
      <c r="K26" s="168"/>
      <c r="L26" s="168"/>
      <c r="M26" s="168"/>
      <c r="N26" s="206"/>
      <c r="O26" s="201"/>
      <c r="P26" s="20"/>
      <c r="Q26" s="20"/>
      <c r="R26" s="20"/>
      <c r="S26" s="20"/>
      <c r="T26" s="20"/>
      <c r="U26" s="20"/>
      <c r="V26" s="20"/>
      <c r="W26" s="20"/>
      <c r="X26" s="20"/>
      <c r="Y26" s="20"/>
      <c r="Z26" s="20"/>
      <c r="AA26" s="20"/>
    </row>
    <row r="27" spans="1:27">
      <c r="A27" s="193"/>
      <c r="B27" s="217" t="s">
        <v>107</v>
      </c>
      <c r="C27" s="206" t="s">
        <v>108</v>
      </c>
      <c r="D27" s="168"/>
      <c r="E27" s="168"/>
      <c r="F27" s="168"/>
      <c r="G27" s="168"/>
      <c r="H27" s="168"/>
      <c r="I27" s="168"/>
      <c r="J27" s="168"/>
      <c r="K27" s="5">
        <f>IF('Suma Vect'!L45=0,CM!N160,'Suma Vect'!L45)</f>
        <v>0</v>
      </c>
      <c r="L27" s="172"/>
      <c r="M27" s="5">
        <f>IF('Suma Vect'!N45=0,CM!Q160,'Suma Vect'!N45)</f>
        <v>0</v>
      </c>
      <c r="N27" s="206" t="s">
        <v>30</v>
      </c>
      <c r="O27" s="201"/>
      <c r="P27" s="20"/>
      <c r="Q27" s="20"/>
      <c r="R27" s="20"/>
      <c r="S27" s="20"/>
      <c r="T27" s="20"/>
      <c r="U27" s="20"/>
      <c r="V27" s="20"/>
      <c r="W27" s="20"/>
      <c r="X27" s="20"/>
      <c r="Y27" s="20"/>
      <c r="Z27" s="20"/>
      <c r="AA27" s="20"/>
    </row>
    <row r="28" spans="1:27">
      <c r="A28" s="193"/>
      <c r="B28" s="172"/>
      <c r="C28" s="206"/>
      <c r="D28" s="168"/>
      <c r="E28" s="168"/>
      <c r="F28" s="168"/>
      <c r="G28" s="168"/>
      <c r="H28" s="168"/>
      <c r="I28" s="168"/>
      <c r="J28" s="168"/>
      <c r="K28" s="168"/>
      <c r="L28" s="168"/>
      <c r="M28" s="168"/>
      <c r="N28" s="168"/>
      <c r="O28" s="201"/>
      <c r="P28" s="20"/>
      <c r="Q28" s="20"/>
      <c r="R28" s="20"/>
      <c r="S28" s="20"/>
      <c r="T28" s="20"/>
      <c r="U28" s="20"/>
      <c r="V28" s="20"/>
      <c r="W28" s="20"/>
      <c r="X28" s="20"/>
      <c r="Y28" s="20"/>
      <c r="Z28" s="20"/>
      <c r="AA28" s="20"/>
    </row>
    <row r="29" spans="1:27">
      <c r="A29" s="194"/>
      <c r="B29" s="218" t="s">
        <v>109</v>
      </c>
      <c r="C29" s="206" t="s">
        <v>110</v>
      </c>
      <c r="D29" s="168"/>
      <c r="E29" s="168"/>
      <c r="F29" s="168"/>
      <c r="G29" s="168"/>
      <c r="H29" s="168"/>
      <c r="I29" s="168"/>
      <c r="J29" s="168"/>
      <c r="K29" s="168"/>
      <c r="L29" s="168"/>
      <c r="M29" s="5">
        <f>IF('Suma Vect'!N47=0,CM!Q162,'Suma Vect'!N47)</f>
        <v>0</v>
      </c>
      <c r="N29" s="206" t="s">
        <v>30</v>
      </c>
      <c r="O29" s="222"/>
      <c r="P29" s="20"/>
      <c r="Q29" s="20"/>
      <c r="R29" s="20"/>
      <c r="S29" s="20"/>
      <c r="T29" s="20"/>
      <c r="U29" s="20"/>
      <c r="V29" s="20"/>
      <c r="W29" s="20"/>
      <c r="X29" s="20"/>
      <c r="Y29" s="20"/>
      <c r="Z29" s="20"/>
      <c r="AA29" s="20"/>
    </row>
    <row r="30" spans="1:27">
      <c r="A30" s="193"/>
      <c r="B30" s="206"/>
      <c r="C30" s="168"/>
      <c r="D30" s="168"/>
      <c r="E30" s="168"/>
      <c r="F30" s="168"/>
      <c r="G30" s="168"/>
      <c r="H30" s="168"/>
      <c r="I30" s="168"/>
      <c r="J30" s="168"/>
      <c r="K30" s="168"/>
      <c r="L30" s="168"/>
      <c r="M30" s="168"/>
      <c r="N30" s="168"/>
      <c r="O30" s="201"/>
      <c r="P30" s="20"/>
      <c r="Q30" s="25"/>
      <c r="R30" s="25"/>
      <c r="S30" s="20"/>
      <c r="T30" s="20"/>
      <c r="U30" s="20"/>
      <c r="V30" s="20"/>
      <c r="W30" s="20"/>
      <c r="X30" s="20"/>
      <c r="Y30" s="20"/>
      <c r="Z30" s="20"/>
      <c r="AA30" s="20"/>
    </row>
    <row r="31" spans="1:27">
      <c r="A31" s="193"/>
      <c r="B31" s="171">
        <v>2</v>
      </c>
      <c r="C31" s="170" t="s">
        <v>115</v>
      </c>
      <c r="D31" s="168"/>
      <c r="E31" s="168"/>
      <c r="F31" s="168"/>
      <c r="G31" s="168"/>
      <c r="H31" s="168"/>
      <c r="I31" s="168"/>
      <c r="J31" s="168"/>
      <c r="K31" s="168"/>
      <c r="L31" s="168"/>
      <c r="M31" s="168"/>
      <c r="N31" s="168"/>
      <c r="O31" s="201"/>
      <c r="P31" s="20"/>
      <c r="Q31" s="25"/>
      <c r="R31" s="25"/>
      <c r="S31" s="20"/>
      <c r="T31" s="20"/>
      <c r="U31" s="20"/>
      <c r="V31" s="20"/>
      <c r="W31" s="20"/>
      <c r="X31" s="20"/>
      <c r="Y31" s="20"/>
      <c r="Z31" s="20"/>
      <c r="AA31" s="20"/>
    </row>
    <row r="32" spans="1:27">
      <c r="A32" s="193"/>
      <c r="B32" s="172"/>
      <c r="C32" s="206"/>
      <c r="D32" s="168"/>
      <c r="E32" s="168"/>
      <c r="F32" s="168"/>
      <c r="G32" s="168"/>
      <c r="H32" s="168"/>
      <c r="I32" s="168"/>
      <c r="J32" s="168"/>
      <c r="K32" s="168"/>
      <c r="L32" s="168"/>
      <c r="M32" s="168"/>
      <c r="N32" s="168"/>
      <c r="O32" s="201"/>
      <c r="P32" s="20"/>
      <c r="Q32" s="25"/>
      <c r="R32" s="25"/>
      <c r="S32" s="20"/>
      <c r="T32" s="20"/>
      <c r="U32" s="20"/>
      <c r="V32" s="20"/>
      <c r="W32" s="20"/>
      <c r="X32" s="20"/>
      <c r="Y32" s="20"/>
      <c r="Z32" s="20"/>
      <c r="AA32" s="20"/>
    </row>
    <row r="33" spans="1:27">
      <c r="A33" s="193"/>
      <c r="B33" s="217" t="s">
        <v>105</v>
      </c>
      <c r="C33" s="206" t="s">
        <v>111</v>
      </c>
      <c r="D33" s="168"/>
      <c r="E33" s="168"/>
      <c r="F33" s="168"/>
      <c r="G33" s="168"/>
      <c r="H33" s="168"/>
      <c r="I33" s="168"/>
      <c r="J33" s="168"/>
      <c r="K33" s="376"/>
      <c r="L33" s="376"/>
      <c r="M33" s="376"/>
      <c r="N33" s="376"/>
      <c r="O33" s="201"/>
      <c r="P33" s="20"/>
      <c r="Q33" s="25">
        <f>SIN(K27*PI()/180)*M27</f>
        <v>0</v>
      </c>
      <c r="R33" s="25">
        <f>COS(K27*PI()/180)*M27</f>
        <v>0</v>
      </c>
      <c r="S33" s="20"/>
      <c r="T33" s="20"/>
      <c r="U33" s="20"/>
      <c r="V33" s="20"/>
      <c r="W33" s="20"/>
      <c r="X33" s="20"/>
      <c r="Y33" s="20"/>
      <c r="Z33" s="20"/>
      <c r="AA33" s="20"/>
    </row>
    <row r="34" spans="1:27">
      <c r="A34" s="193"/>
      <c r="B34" s="172"/>
      <c r="C34" s="206"/>
      <c r="D34" s="168"/>
      <c r="E34" s="168"/>
      <c r="F34" s="168"/>
      <c r="G34" s="168"/>
      <c r="H34" s="168"/>
      <c r="I34" s="168"/>
      <c r="J34" s="168"/>
      <c r="K34" s="168"/>
      <c r="L34" s="168"/>
      <c r="M34" s="168"/>
      <c r="N34" s="206"/>
      <c r="O34" s="222"/>
      <c r="P34" s="20"/>
      <c r="Q34" s="25">
        <f>SIN(K35*PI()/180)*M35</f>
        <v>0</v>
      </c>
      <c r="R34" s="25">
        <f>COS(K35*PI()/180)*M35</f>
        <v>0</v>
      </c>
      <c r="S34" s="20"/>
      <c r="T34" s="20"/>
      <c r="U34" s="20"/>
      <c r="V34" s="20"/>
      <c r="W34" s="20"/>
      <c r="X34" s="20"/>
      <c r="Y34" s="20"/>
      <c r="Z34" s="20"/>
      <c r="AA34" s="20"/>
    </row>
    <row r="35" spans="1:27">
      <c r="A35" s="193"/>
      <c r="B35" s="217" t="s">
        <v>107</v>
      </c>
      <c r="C35" s="206" t="s">
        <v>112</v>
      </c>
      <c r="D35" s="168"/>
      <c r="E35" s="168"/>
      <c r="F35" s="168"/>
      <c r="G35" s="168"/>
      <c r="H35" s="168"/>
      <c r="I35" s="168"/>
      <c r="J35" s="168"/>
      <c r="K35" s="10"/>
      <c r="L35" s="172" t="s">
        <v>29</v>
      </c>
      <c r="M35" s="11"/>
      <c r="N35" s="206" t="s">
        <v>30</v>
      </c>
      <c r="O35" s="222"/>
      <c r="P35" s="20"/>
      <c r="Q35" s="35" t="str">
        <f>IF(M42=0,"0",SIN(K42*PI()/180)*M42)</f>
        <v>0</v>
      </c>
      <c r="R35" s="25" t="str">
        <f>IF(M42=0,"0",COS(K42*PI()/180)*M42)</f>
        <v>0</v>
      </c>
      <c r="S35" s="20"/>
      <c r="T35" s="20"/>
      <c r="U35" s="20"/>
      <c r="V35" s="20"/>
      <c r="W35" s="20"/>
      <c r="X35" s="20"/>
      <c r="Y35" s="20"/>
      <c r="Z35" s="20"/>
      <c r="AA35" s="20"/>
    </row>
    <row r="36" spans="1:27">
      <c r="A36" s="194"/>
      <c r="B36" s="172"/>
      <c r="C36" s="206"/>
      <c r="D36" s="168"/>
      <c r="E36" s="168"/>
      <c r="F36" s="168"/>
      <c r="G36" s="168"/>
      <c r="H36" s="168"/>
      <c r="I36" s="168"/>
      <c r="J36" s="168"/>
      <c r="K36" s="168"/>
      <c r="L36" s="168"/>
      <c r="M36" s="168"/>
      <c r="N36" s="168"/>
      <c r="O36" s="201"/>
      <c r="P36" s="20"/>
      <c r="Q36" s="25">
        <f>SIN(K50*PI()/180)*M50</f>
        <v>0</v>
      </c>
      <c r="R36" s="25">
        <f>COS(G41*PI()/180)*L41</f>
        <v>0</v>
      </c>
      <c r="S36" s="20"/>
      <c r="T36" s="20"/>
      <c r="U36" s="20"/>
      <c r="V36" s="20"/>
      <c r="W36" s="20"/>
      <c r="X36" s="20"/>
      <c r="Y36" s="20"/>
      <c r="Z36" s="20"/>
      <c r="AA36" s="20"/>
    </row>
    <row r="37" spans="1:27">
      <c r="A37" s="193"/>
      <c r="B37" s="218" t="s">
        <v>109</v>
      </c>
      <c r="C37" s="206" t="s">
        <v>113</v>
      </c>
      <c r="D37" s="168"/>
      <c r="E37" s="168"/>
      <c r="F37" s="168"/>
      <c r="G37" s="168"/>
      <c r="H37" s="168"/>
      <c r="I37" s="168"/>
      <c r="J37" s="168"/>
      <c r="K37" s="168"/>
      <c r="L37" s="168"/>
      <c r="M37" s="11"/>
      <c r="N37" s="206" t="s">
        <v>30</v>
      </c>
      <c r="O37" s="222"/>
      <c r="P37" s="44" t="s">
        <v>337</v>
      </c>
      <c r="Q37" s="25"/>
      <c r="R37" s="25"/>
      <c r="S37" s="20"/>
      <c r="T37" s="20"/>
      <c r="U37" s="20"/>
      <c r="V37" s="20"/>
      <c r="W37" s="20"/>
      <c r="X37" s="20"/>
      <c r="Y37" s="20"/>
      <c r="Z37" s="20"/>
      <c r="AA37" s="20"/>
    </row>
    <row r="38" spans="1:27">
      <c r="A38" s="193"/>
      <c r="B38" s="168"/>
      <c r="C38" s="168"/>
      <c r="D38" s="168"/>
      <c r="E38" s="168"/>
      <c r="F38" s="168"/>
      <c r="G38" s="168"/>
      <c r="H38" s="168"/>
      <c r="I38" s="168"/>
      <c r="J38" s="168"/>
      <c r="K38" s="168"/>
      <c r="L38" s="168"/>
      <c r="M38" s="168"/>
      <c r="N38" s="168"/>
      <c r="O38" s="201"/>
      <c r="P38" s="20"/>
      <c r="Q38" s="20"/>
      <c r="R38" s="20"/>
      <c r="S38" s="20"/>
      <c r="T38" s="20"/>
      <c r="U38" s="20"/>
      <c r="V38" s="20"/>
      <c r="W38" s="20"/>
      <c r="X38" s="20"/>
      <c r="Y38" s="20"/>
      <c r="Z38" s="20"/>
      <c r="AA38" s="20"/>
    </row>
    <row r="39" spans="1:27">
      <c r="A39" s="193"/>
      <c r="B39" s="172">
        <v>3</v>
      </c>
      <c r="C39" s="206" t="s">
        <v>114</v>
      </c>
      <c r="D39" s="168"/>
      <c r="E39" s="168"/>
      <c r="F39" s="168"/>
      <c r="G39" s="168"/>
      <c r="H39" s="168"/>
      <c r="I39" s="168"/>
      <c r="J39" s="168"/>
      <c r="K39" s="168"/>
      <c r="L39" s="177"/>
      <c r="M39" s="168"/>
      <c r="N39" s="206"/>
      <c r="O39" s="222"/>
      <c r="P39" s="20"/>
      <c r="Q39" s="20"/>
      <c r="R39" s="20"/>
      <c r="S39" s="20"/>
      <c r="T39" s="20"/>
      <c r="U39" s="20"/>
      <c r="V39" s="20"/>
      <c r="W39" s="20"/>
      <c r="X39" s="20"/>
      <c r="Y39" s="20"/>
      <c r="Z39" s="20"/>
      <c r="AA39" s="20"/>
    </row>
    <row r="40" spans="1:27">
      <c r="A40" s="193"/>
      <c r="B40" s="168"/>
      <c r="C40" s="170" t="s">
        <v>116</v>
      </c>
      <c r="D40" s="168"/>
      <c r="E40" s="168"/>
      <c r="F40" s="168"/>
      <c r="G40" s="168"/>
      <c r="H40" s="168"/>
      <c r="I40" s="168"/>
      <c r="J40" s="168"/>
      <c r="K40" s="168"/>
      <c r="L40" s="168"/>
      <c r="M40" s="168"/>
      <c r="N40" s="168"/>
      <c r="O40" s="201"/>
      <c r="P40" s="20"/>
      <c r="Q40" s="20"/>
      <c r="R40" s="20"/>
      <c r="S40" s="20"/>
      <c r="T40" s="20"/>
      <c r="U40" s="20"/>
      <c r="V40" s="20"/>
      <c r="W40" s="20"/>
      <c r="X40" s="20"/>
      <c r="Y40" s="20"/>
      <c r="Z40" s="20"/>
      <c r="AA40" s="20"/>
    </row>
    <row r="41" spans="1:27">
      <c r="A41" s="193"/>
      <c r="B41" s="172"/>
      <c r="C41" s="206"/>
      <c r="D41" s="168"/>
      <c r="E41" s="168"/>
      <c r="F41" s="168"/>
      <c r="G41" s="168"/>
      <c r="H41" s="168"/>
      <c r="I41" s="168"/>
      <c r="J41" s="168"/>
      <c r="K41" s="168"/>
      <c r="L41" s="168"/>
      <c r="M41" s="168"/>
      <c r="N41" s="206"/>
      <c r="O41" s="222"/>
      <c r="P41" s="20"/>
      <c r="Q41" s="20"/>
      <c r="R41" s="20"/>
      <c r="S41" s="20"/>
      <c r="T41" s="20"/>
      <c r="U41" s="20"/>
      <c r="V41" s="20"/>
      <c r="W41" s="20"/>
      <c r="X41" s="20"/>
      <c r="Y41" s="20"/>
      <c r="Z41" s="20"/>
      <c r="AA41" s="20"/>
    </row>
    <row r="42" spans="1:27">
      <c r="A42" s="193"/>
      <c r="B42" s="217" t="s">
        <v>105</v>
      </c>
      <c r="C42" s="206" t="s">
        <v>117</v>
      </c>
      <c r="D42" s="168"/>
      <c r="E42" s="168"/>
      <c r="F42" s="168"/>
      <c r="G42" s="168"/>
      <c r="H42" s="168"/>
      <c r="I42" s="168"/>
      <c r="J42" s="168"/>
      <c r="K42" s="5" t="str">
        <f>CA!K28</f>
        <v>0</v>
      </c>
      <c r="L42" s="172" t="s">
        <v>29</v>
      </c>
      <c r="M42" s="9">
        <f>CA!M28</f>
        <v>0</v>
      </c>
      <c r="N42" s="206" t="s">
        <v>30</v>
      </c>
      <c r="O42" s="222"/>
      <c r="P42" s="20"/>
      <c r="Q42" s="20"/>
      <c r="R42" s="20"/>
      <c r="S42" s="20"/>
      <c r="T42" s="20"/>
      <c r="U42" s="20"/>
      <c r="V42" s="20"/>
      <c r="W42" s="20"/>
      <c r="X42" s="20"/>
      <c r="Y42" s="20"/>
      <c r="Z42" s="20"/>
      <c r="AA42" s="20"/>
    </row>
    <row r="43" spans="1:27">
      <c r="A43" s="194"/>
      <c r="B43" s="172"/>
      <c r="C43" s="206"/>
      <c r="D43" s="168"/>
      <c r="E43" s="168"/>
      <c r="F43" s="168"/>
      <c r="G43" s="168"/>
      <c r="H43" s="168"/>
      <c r="I43" s="168"/>
      <c r="J43" s="168"/>
      <c r="K43" s="168"/>
      <c r="L43" s="168"/>
      <c r="M43" s="168"/>
      <c r="N43" s="168"/>
      <c r="O43" s="201"/>
      <c r="P43" s="20"/>
      <c r="Q43" s="20"/>
      <c r="R43" s="20"/>
      <c r="S43" s="20"/>
      <c r="T43" s="20"/>
      <c r="U43" s="20"/>
      <c r="V43" s="20"/>
      <c r="W43" s="20"/>
      <c r="X43" s="20"/>
      <c r="Y43" s="20"/>
      <c r="Z43" s="20"/>
      <c r="AA43" s="20"/>
    </row>
    <row r="44" spans="1:27">
      <c r="A44" s="193"/>
      <c r="B44" s="218" t="s">
        <v>107</v>
      </c>
      <c r="C44" s="206" t="s">
        <v>118</v>
      </c>
      <c r="D44" s="168"/>
      <c r="E44" s="168"/>
      <c r="F44" s="168"/>
      <c r="G44" s="168"/>
      <c r="H44" s="168"/>
      <c r="I44" s="168"/>
      <c r="J44" s="168"/>
      <c r="K44" s="168"/>
      <c r="L44" s="168"/>
      <c r="M44" s="9">
        <f>CA!M30</f>
        <v>0</v>
      </c>
      <c r="N44" s="206" t="s">
        <v>30</v>
      </c>
      <c r="O44" s="222"/>
      <c r="P44" s="24"/>
      <c r="Q44" s="24"/>
      <c r="R44" s="20"/>
      <c r="S44" s="20"/>
      <c r="T44" s="20"/>
      <c r="U44" s="20"/>
      <c r="V44" s="20"/>
      <c r="W44" s="20"/>
      <c r="X44" s="20"/>
      <c r="Y44" s="20"/>
      <c r="Z44" s="20"/>
      <c r="AA44" s="20"/>
    </row>
    <row r="45" spans="1:27">
      <c r="A45" s="193"/>
      <c r="B45" s="172"/>
      <c r="C45" s="206"/>
      <c r="D45" s="168"/>
      <c r="E45" s="168"/>
      <c r="F45" s="168"/>
      <c r="G45" s="168"/>
      <c r="H45" s="168"/>
      <c r="I45" s="168"/>
      <c r="J45" s="168"/>
      <c r="K45" s="168"/>
      <c r="L45" s="177"/>
      <c r="M45" s="168"/>
      <c r="N45" s="206"/>
      <c r="O45" s="222"/>
      <c r="P45" s="35" t="s">
        <v>316</v>
      </c>
      <c r="Q45" s="25">
        <f>SUM(Q33:Q36)</f>
        <v>0</v>
      </c>
      <c r="R45" s="34"/>
      <c r="S45" s="20"/>
      <c r="T45" s="20"/>
      <c r="U45" s="20"/>
      <c r="V45" s="20"/>
      <c r="W45" s="20"/>
      <c r="X45" s="20"/>
      <c r="Y45" s="20"/>
      <c r="Z45" s="20"/>
      <c r="AA45" s="20"/>
    </row>
    <row r="46" spans="1:27">
      <c r="A46" s="193"/>
      <c r="B46" s="172">
        <v>4</v>
      </c>
      <c r="C46" s="170" t="s">
        <v>120</v>
      </c>
      <c r="D46" s="168"/>
      <c r="E46" s="168"/>
      <c r="F46" s="168"/>
      <c r="G46" s="168"/>
      <c r="H46" s="168"/>
      <c r="I46" s="168"/>
      <c r="J46" s="168"/>
      <c r="K46" s="168"/>
      <c r="L46" s="168"/>
      <c r="M46" s="168"/>
      <c r="N46" s="168"/>
      <c r="O46" s="201"/>
      <c r="P46" s="35" t="s">
        <v>317</v>
      </c>
      <c r="Q46" s="25">
        <f>SUM(R33:R36)</f>
        <v>0</v>
      </c>
      <c r="R46" s="34"/>
      <c r="S46" s="20"/>
      <c r="T46" s="20"/>
      <c r="U46" s="20"/>
      <c r="V46" s="20"/>
      <c r="W46" s="20"/>
      <c r="X46" s="20"/>
      <c r="Y46" s="20"/>
      <c r="Z46" s="20"/>
      <c r="AA46" s="20"/>
    </row>
    <row r="47" spans="1:27">
      <c r="A47" s="193"/>
      <c r="B47" s="172"/>
      <c r="C47" s="206"/>
      <c r="D47" s="168"/>
      <c r="E47" s="168"/>
      <c r="F47" s="168"/>
      <c r="G47" s="168"/>
      <c r="H47" s="168"/>
      <c r="I47" s="168"/>
      <c r="J47" s="168"/>
      <c r="K47" s="168"/>
      <c r="L47" s="177"/>
      <c r="M47" s="168"/>
      <c r="N47" s="206"/>
      <c r="O47" s="222"/>
      <c r="P47" s="34"/>
      <c r="Q47" s="91" t="str">
        <f>IF(Q46=0,"0",(ATAN(Q45/Q46)*180/PI()))</f>
        <v>0</v>
      </c>
      <c r="R47" s="34"/>
      <c r="S47" s="20"/>
      <c r="T47" s="20"/>
      <c r="U47" s="20"/>
      <c r="V47" s="20"/>
      <c r="W47" s="20"/>
      <c r="X47" s="20"/>
      <c r="Y47" s="20"/>
      <c r="Z47" s="20"/>
      <c r="AA47" s="20"/>
    </row>
    <row r="48" spans="1:27">
      <c r="A48" s="193"/>
      <c r="B48" s="217" t="s">
        <v>105</v>
      </c>
      <c r="C48" s="206" t="s">
        <v>121</v>
      </c>
      <c r="D48" s="168"/>
      <c r="E48" s="168"/>
      <c r="F48" s="168"/>
      <c r="G48" s="168"/>
      <c r="H48" s="168"/>
      <c r="I48" s="168"/>
      <c r="J48" s="168"/>
      <c r="K48" s="377"/>
      <c r="L48" s="377"/>
      <c r="M48" s="377"/>
      <c r="N48" s="377"/>
      <c r="O48" s="222"/>
      <c r="P48" s="32"/>
      <c r="Q48" s="32"/>
      <c r="R48" s="20"/>
      <c r="S48" s="20"/>
      <c r="T48" s="20"/>
      <c r="U48" s="20"/>
      <c r="V48" s="20"/>
      <c r="W48" s="20"/>
      <c r="X48" s="20"/>
      <c r="Y48" s="20"/>
      <c r="Z48" s="20"/>
      <c r="AA48" s="20"/>
    </row>
    <row r="49" spans="1:27">
      <c r="A49" s="193"/>
      <c r="B49" s="172"/>
      <c r="C49" s="206"/>
      <c r="D49" s="168"/>
      <c r="E49" s="168"/>
      <c r="F49" s="168"/>
      <c r="G49" s="168"/>
      <c r="H49" s="168"/>
      <c r="I49" s="168"/>
      <c r="J49" s="168"/>
      <c r="K49" s="168"/>
      <c r="L49" s="168"/>
      <c r="M49" s="168"/>
      <c r="N49" s="206"/>
      <c r="O49" s="222"/>
      <c r="P49" s="20"/>
      <c r="Q49" s="32"/>
      <c r="R49" s="20"/>
      <c r="S49" s="20"/>
      <c r="T49" s="20"/>
      <c r="U49" s="20"/>
      <c r="V49" s="20"/>
      <c r="W49" s="20"/>
      <c r="X49" s="20"/>
      <c r="Y49" s="20"/>
      <c r="Z49" s="20"/>
      <c r="AA49" s="20"/>
    </row>
    <row r="50" spans="1:27">
      <c r="A50" s="193"/>
      <c r="B50" s="217" t="s">
        <v>107</v>
      </c>
      <c r="C50" s="206" t="s">
        <v>122</v>
      </c>
      <c r="D50" s="168"/>
      <c r="E50" s="168"/>
      <c r="F50" s="168"/>
      <c r="G50" s="168"/>
      <c r="H50" s="168"/>
      <c r="I50" s="168"/>
      <c r="J50" s="168"/>
      <c r="K50" s="10"/>
      <c r="L50" s="172" t="s">
        <v>29</v>
      </c>
      <c r="M50" s="11"/>
      <c r="N50" s="206" t="s">
        <v>30</v>
      </c>
      <c r="O50" s="222"/>
      <c r="P50" s="33"/>
      <c r="Q50" s="26"/>
      <c r="R50" s="20"/>
      <c r="S50" s="20"/>
      <c r="T50" s="20"/>
      <c r="U50" s="20"/>
      <c r="V50" s="20"/>
      <c r="W50" s="20"/>
      <c r="X50" s="20"/>
      <c r="Y50" s="20"/>
      <c r="Z50" s="20"/>
      <c r="AA50" s="20"/>
    </row>
    <row r="51" spans="1:27">
      <c r="A51" s="193"/>
      <c r="B51" s="172"/>
      <c r="C51" s="206"/>
      <c r="D51" s="168"/>
      <c r="E51" s="168"/>
      <c r="F51" s="168"/>
      <c r="G51" s="168"/>
      <c r="H51" s="168"/>
      <c r="I51" s="168"/>
      <c r="J51" s="168"/>
      <c r="K51" s="168"/>
      <c r="L51" s="168"/>
      <c r="M51" s="168"/>
      <c r="N51" s="168"/>
      <c r="O51" s="201"/>
      <c r="P51" s="373"/>
      <c r="Q51" s="373"/>
      <c r="R51" s="20"/>
      <c r="S51" s="20"/>
      <c r="T51" s="20"/>
      <c r="U51" s="20"/>
      <c r="V51" s="20"/>
      <c r="W51" s="20"/>
      <c r="X51" s="20"/>
      <c r="Y51" s="20"/>
      <c r="Z51" s="20"/>
      <c r="AA51" s="20"/>
    </row>
    <row r="52" spans="1:27">
      <c r="A52" s="193"/>
      <c r="B52" s="218" t="s">
        <v>109</v>
      </c>
      <c r="C52" s="206" t="s">
        <v>123</v>
      </c>
      <c r="D52" s="168"/>
      <c r="E52" s="168"/>
      <c r="F52" s="168"/>
      <c r="G52" s="168"/>
      <c r="H52" s="168"/>
      <c r="I52" s="168"/>
      <c r="J52" s="168"/>
      <c r="K52" s="168"/>
      <c r="L52" s="168"/>
      <c r="M52" s="11"/>
      <c r="N52" s="206" t="s">
        <v>30</v>
      </c>
      <c r="O52" s="222"/>
      <c r="P52" s="27"/>
      <c r="Q52" s="26"/>
      <c r="R52" s="20"/>
      <c r="S52" s="20"/>
      <c r="T52" s="20"/>
      <c r="U52" s="20"/>
      <c r="V52" s="20"/>
      <c r="W52" s="20"/>
      <c r="X52" s="20"/>
      <c r="Y52" s="20"/>
      <c r="Z52" s="20"/>
      <c r="AA52" s="20"/>
    </row>
    <row r="53" spans="1:27">
      <c r="A53" s="193"/>
      <c r="B53" s="168"/>
      <c r="C53" s="168"/>
      <c r="D53" s="168"/>
      <c r="E53" s="168"/>
      <c r="F53" s="168"/>
      <c r="G53" s="168"/>
      <c r="H53" s="168"/>
      <c r="I53" s="168"/>
      <c r="J53" s="168"/>
      <c r="K53" s="168"/>
      <c r="L53" s="168"/>
      <c r="M53" s="168"/>
      <c r="N53" s="168"/>
      <c r="O53" s="201"/>
      <c r="P53" s="20"/>
      <c r="Q53" s="20"/>
      <c r="R53" s="20"/>
      <c r="S53" s="20"/>
      <c r="T53" s="20"/>
      <c r="U53" s="20"/>
      <c r="V53" s="20"/>
      <c r="W53" s="20"/>
      <c r="X53" s="20"/>
      <c r="Y53" s="20"/>
      <c r="Z53" s="20"/>
      <c r="AA53" s="20"/>
    </row>
    <row r="54" spans="1:27">
      <c r="A54" s="193"/>
      <c r="B54" s="172">
        <v>5</v>
      </c>
      <c r="C54" s="170" t="s">
        <v>124</v>
      </c>
      <c r="D54" s="168"/>
      <c r="E54" s="168"/>
      <c r="F54" s="168"/>
      <c r="G54" s="168"/>
      <c r="H54" s="168"/>
      <c r="I54" s="168"/>
      <c r="J54" s="168"/>
      <c r="K54" s="168"/>
      <c r="L54" s="168"/>
      <c r="M54" s="168"/>
      <c r="N54" s="168"/>
      <c r="O54" s="201"/>
      <c r="P54" s="28"/>
      <c r="Q54" s="20"/>
      <c r="R54" s="20"/>
      <c r="S54" s="20"/>
      <c r="T54" s="20"/>
      <c r="U54" s="20"/>
      <c r="V54" s="20"/>
      <c r="W54" s="20"/>
      <c r="X54" s="20"/>
      <c r="Y54" s="20"/>
      <c r="Z54" s="20"/>
      <c r="AA54" s="20"/>
    </row>
    <row r="55" spans="1:27">
      <c r="A55" s="193"/>
      <c r="B55" s="168"/>
      <c r="C55" s="170" t="s">
        <v>125</v>
      </c>
      <c r="D55" s="168"/>
      <c r="E55" s="168"/>
      <c r="F55" s="168"/>
      <c r="G55" s="168"/>
      <c r="H55" s="168"/>
      <c r="I55" s="168"/>
      <c r="J55" s="168"/>
      <c r="K55" s="5">
        <f>ROUND(IF(Q45&lt;0,IF(Q46&lt;0,Q47+180,Q47+360),IF(Q46&lt;0,Q47+180,Q47)),0)</f>
        <v>0</v>
      </c>
      <c r="L55" s="172"/>
      <c r="M55" s="9">
        <f>ROUND(SQRT((Q45^2)+(Q46^2)),1)</f>
        <v>0</v>
      </c>
      <c r="N55" s="206" t="s">
        <v>30</v>
      </c>
      <c r="O55" s="222"/>
      <c r="P55" s="28"/>
      <c r="Q55" s="20"/>
      <c r="R55" s="20"/>
      <c r="S55" s="20"/>
      <c r="T55" s="20"/>
      <c r="U55" s="20"/>
      <c r="V55" s="20"/>
      <c r="W55" s="20"/>
      <c r="X55" s="20"/>
      <c r="Y55" s="20"/>
      <c r="Z55" s="20"/>
      <c r="AA55" s="20"/>
    </row>
    <row r="56" spans="1:27">
      <c r="A56" s="193"/>
      <c r="B56" s="168"/>
      <c r="C56" s="168"/>
      <c r="D56" s="168"/>
      <c r="E56" s="168"/>
      <c r="F56" s="168"/>
      <c r="G56" s="168"/>
      <c r="H56" s="168"/>
      <c r="I56" s="168"/>
      <c r="J56" s="168"/>
      <c r="K56" s="168"/>
      <c r="L56" s="168"/>
      <c r="M56" s="168"/>
      <c r="N56" s="168"/>
      <c r="O56" s="201"/>
      <c r="P56" s="28"/>
      <c r="Q56" s="20"/>
      <c r="R56" s="20"/>
      <c r="S56" s="20"/>
      <c r="T56" s="20"/>
      <c r="U56" s="20"/>
      <c r="V56" s="20"/>
      <c r="W56" s="20"/>
      <c r="X56" s="20"/>
      <c r="Y56" s="20"/>
      <c r="Z56" s="20"/>
      <c r="AA56" s="20"/>
    </row>
    <row r="57" spans="1:27">
      <c r="A57" s="193"/>
      <c r="B57" s="172">
        <v>6</v>
      </c>
      <c r="C57" s="170" t="s">
        <v>126</v>
      </c>
      <c r="D57" s="168"/>
      <c r="E57" s="168"/>
      <c r="F57" s="168"/>
      <c r="G57" s="168"/>
      <c r="H57" s="168"/>
      <c r="I57" s="168"/>
      <c r="J57" s="168"/>
      <c r="K57" s="168"/>
      <c r="L57" s="168"/>
      <c r="M57" s="168"/>
      <c r="N57" s="168"/>
      <c r="O57" s="201"/>
      <c r="P57" s="28"/>
      <c r="Q57" s="20"/>
      <c r="R57" s="20"/>
      <c r="S57" s="20"/>
      <c r="T57" s="20"/>
      <c r="U57" s="20"/>
      <c r="V57" s="20"/>
      <c r="W57" s="20"/>
      <c r="X57" s="20"/>
      <c r="Y57" s="20"/>
      <c r="Z57" s="20"/>
      <c r="AA57" s="20"/>
    </row>
    <row r="58" spans="1:27">
      <c r="A58" s="193"/>
      <c r="B58" s="168"/>
      <c r="C58" s="219" t="s">
        <v>305</v>
      </c>
      <c r="D58" s="168"/>
      <c r="E58" s="168"/>
      <c r="F58" s="168"/>
      <c r="G58" s="168"/>
      <c r="H58" s="168"/>
      <c r="I58" s="168"/>
      <c r="J58" s="168"/>
      <c r="K58" s="168"/>
      <c r="L58" s="168"/>
      <c r="M58" s="9">
        <f>SQRT((M29^2)+(M37^2)+(M44^2)+(M52^2))</f>
        <v>0</v>
      </c>
      <c r="N58" s="206" t="s">
        <v>30</v>
      </c>
      <c r="O58" s="222"/>
      <c r="P58" s="20"/>
      <c r="Q58" s="20"/>
      <c r="R58" s="20"/>
      <c r="S58" s="26"/>
      <c r="T58" s="20"/>
      <c r="U58" s="20"/>
      <c r="V58" s="20"/>
      <c r="W58" s="20"/>
      <c r="X58" s="20"/>
      <c r="Y58" s="20"/>
      <c r="Z58" s="20"/>
      <c r="AA58" s="20"/>
    </row>
    <row r="59" spans="1:27">
      <c r="A59" s="193"/>
      <c r="B59" s="168"/>
      <c r="C59" s="168"/>
      <c r="D59" s="168"/>
      <c r="E59" s="168"/>
      <c r="F59" s="168"/>
      <c r="G59" s="168"/>
      <c r="H59" s="168"/>
      <c r="I59" s="168"/>
      <c r="J59" s="168"/>
      <c r="K59" s="168"/>
      <c r="L59" s="168"/>
      <c r="M59" s="168"/>
      <c r="N59" s="168"/>
      <c r="O59" s="201"/>
      <c r="P59" s="20"/>
      <c r="Q59" s="20"/>
      <c r="R59" s="46"/>
      <c r="S59" s="20"/>
      <c r="T59" s="20"/>
      <c r="U59" s="20"/>
      <c r="V59" s="20"/>
      <c r="W59" s="20"/>
      <c r="X59" s="20"/>
      <c r="Y59" s="20"/>
      <c r="Z59" s="20"/>
      <c r="AA59" s="20"/>
    </row>
    <row r="60" spans="1:27">
      <c r="A60" s="193"/>
      <c r="B60" s="172">
        <v>7</v>
      </c>
      <c r="C60" s="220" t="s">
        <v>127</v>
      </c>
      <c r="D60" s="168"/>
      <c r="E60" s="168"/>
      <c r="F60" s="168"/>
      <c r="G60" s="168"/>
      <c r="H60" s="168"/>
      <c r="I60" s="168"/>
      <c r="J60" s="168"/>
      <c r="K60" s="168"/>
      <c r="L60" s="168"/>
      <c r="M60" s="168"/>
      <c r="N60" s="168"/>
      <c r="O60" s="201"/>
      <c r="P60" s="20"/>
      <c r="Q60" s="20"/>
      <c r="R60" s="20"/>
      <c r="S60" s="20"/>
      <c r="T60" s="20"/>
      <c r="U60" s="20"/>
      <c r="V60" s="20"/>
      <c r="W60" s="20"/>
      <c r="X60" s="20"/>
      <c r="Y60" s="20"/>
      <c r="Z60" s="20"/>
      <c r="AA60" s="20"/>
    </row>
    <row r="61" spans="1:27" ht="13.8" thickBot="1">
      <c r="A61" s="198"/>
      <c r="B61" s="199"/>
      <c r="C61" s="199"/>
      <c r="D61" s="199"/>
      <c r="E61" s="199"/>
      <c r="F61" s="199"/>
      <c r="G61" s="199"/>
      <c r="H61" s="199"/>
      <c r="I61" s="199"/>
      <c r="J61" s="199"/>
      <c r="K61" s="199"/>
      <c r="L61" s="199"/>
      <c r="M61" s="199"/>
      <c r="N61" s="199"/>
      <c r="O61" s="201"/>
      <c r="P61" s="44" t="s">
        <v>337</v>
      </c>
      <c r="Q61" s="20"/>
      <c r="R61" s="20"/>
      <c r="S61" s="20"/>
      <c r="T61" s="20"/>
      <c r="U61" s="20"/>
      <c r="V61" s="20"/>
      <c r="W61" s="20"/>
      <c r="X61" s="20"/>
      <c r="Y61" s="20"/>
      <c r="Z61" s="20"/>
      <c r="AA61" s="20"/>
    </row>
    <row r="62" spans="1:27" ht="13.8" thickTop="1">
      <c r="A62" s="38"/>
      <c r="B62" s="38"/>
      <c r="C62" s="20"/>
      <c r="D62" s="20"/>
      <c r="E62" s="20"/>
      <c r="F62" s="20"/>
      <c r="G62" s="20"/>
      <c r="H62" s="20"/>
      <c r="I62" s="20"/>
      <c r="J62" s="20"/>
      <c r="K62" s="20"/>
      <c r="L62" s="20"/>
      <c r="M62" s="20"/>
      <c r="N62" s="20"/>
      <c r="O62" s="20"/>
      <c r="P62" s="20"/>
      <c r="Q62" s="20"/>
      <c r="R62" s="20"/>
      <c r="S62" s="20"/>
      <c r="T62" s="20"/>
      <c r="U62" s="20"/>
      <c r="V62" s="20"/>
      <c r="W62" s="20"/>
      <c r="X62" s="20"/>
      <c r="Y62" s="20"/>
      <c r="Z62" s="20"/>
      <c r="AA62" s="20"/>
    </row>
    <row r="63" spans="1:27">
      <c r="A63" s="20"/>
      <c r="B63" s="39"/>
      <c r="C63" s="20"/>
      <c r="D63" s="20"/>
      <c r="E63" s="20"/>
      <c r="F63" s="20"/>
      <c r="G63" s="20"/>
      <c r="H63" s="20"/>
      <c r="I63" s="20"/>
      <c r="J63" s="20"/>
      <c r="K63" s="20"/>
      <c r="L63" s="20"/>
      <c r="M63" s="20"/>
      <c r="N63" s="20"/>
      <c r="O63" s="20"/>
      <c r="P63" s="20"/>
      <c r="Q63" s="20"/>
      <c r="R63" s="20"/>
      <c r="S63" s="20"/>
      <c r="T63" s="20"/>
      <c r="U63" s="20"/>
      <c r="V63" s="20"/>
      <c r="W63" s="20"/>
      <c r="X63" s="20"/>
      <c r="Y63" s="20"/>
      <c r="Z63" s="20"/>
      <c r="AA63" s="20"/>
    </row>
    <row r="64" spans="1:27">
      <c r="A64" s="20"/>
      <c r="B64" s="39"/>
      <c r="C64" s="20"/>
      <c r="D64" s="20"/>
      <c r="E64" s="20"/>
      <c r="F64" s="20"/>
      <c r="G64" s="20"/>
      <c r="H64" s="20"/>
      <c r="I64" s="20"/>
      <c r="J64" s="20"/>
      <c r="K64" s="20"/>
      <c r="L64" s="20"/>
      <c r="M64" s="20"/>
      <c r="N64" s="20"/>
      <c r="O64" s="20"/>
      <c r="P64" s="20"/>
      <c r="Q64" s="20"/>
      <c r="R64" s="20"/>
      <c r="S64" s="20"/>
      <c r="T64" s="20"/>
      <c r="U64" s="20"/>
      <c r="V64" s="20"/>
      <c r="W64" s="20"/>
      <c r="X64" s="20"/>
      <c r="Y64" s="20"/>
      <c r="Z64" s="20"/>
      <c r="AA64" s="20"/>
    </row>
    <row r="65" spans="1:27">
      <c r="A65" s="20"/>
      <c r="B65" s="20"/>
      <c r="C65" s="20"/>
      <c r="D65" s="20"/>
      <c r="E65" s="20"/>
      <c r="F65" s="20"/>
      <c r="G65" s="20"/>
      <c r="H65" s="20"/>
      <c r="I65" s="20"/>
      <c r="J65" s="20"/>
      <c r="K65" s="20"/>
      <c r="L65" s="20"/>
      <c r="M65" s="20"/>
      <c r="N65" s="20"/>
      <c r="O65" s="20"/>
      <c r="P65" s="20"/>
      <c r="Q65" s="20"/>
      <c r="R65" s="20"/>
      <c r="S65" s="20"/>
      <c r="T65" s="20"/>
      <c r="U65" s="20"/>
      <c r="V65" s="20"/>
      <c r="W65" s="20"/>
      <c r="X65" s="20"/>
      <c r="Y65" s="20"/>
      <c r="Z65" s="20"/>
      <c r="AA65" s="20"/>
    </row>
    <row r="66" spans="1:27">
      <c r="A66" s="20"/>
      <c r="B66" s="20"/>
      <c r="C66" s="20"/>
      <c r="D66" s="20"/>
      <c r="E66" s="20"/>
      <c r="F66" s="20"/>
      <c r="G66" s="20"/>
      <c r="H66" s="20"/>
      <c r="I66" s="39"/>
      <c r="J66" s="20"/>
      <c r="K66" s="20"/>
      <c r="L66" s="39"/>
      <c r="M66" s="20"/>
      <c r="N66" s="20"/>
      <c r="O66" s="20"/>
      <c r="P66" s="20"/>
      <c r="Q66" s="20"/>
      <c r="R66" s="20"/>
      <c r="S66" s="20"/>
      <c r="T66" s="20"/>
      <c r="U66" s="20"/>
      <c r="V66" s="20"/>
      <c r="W66" s="20"/>
      <c r="X66" s="20"/>
      <c r="Y66" s="20"/>
      <c r="Z66" s="20"/>
      <c r="AA66" s="20"/>
    </row>
    <row r="67" spans="1:27">
      <c r="A67" s="20"/>
      <c r="B67" s="20"/>
      <c r="C67" s="20"/>
      <c r="D67" s="20"/>
      <c r="E67" s="20"/>
      <c r="F67" s="20"/>
      <c r="G67" s="20"/>
      <c r="H67" s="20"/>
      <c r="I67" s="39"/>
      <c r="J67" s="20"/>
      <c r="K67" s="20"/>
      <c r="L67" s="39"/>
      <c r="M67" s="20"/>
      <c r="N67" s="20"/>
      <c r="O67" s="20"/>
      <c r="P67" s="20"/>
      <c r="Q67" s="20"/>
      <c r="R67" s="20"/>
      <c r="S67" s="20"/>
      <c r="T67" s="20"/>
      <c r="U67" s="20"/>
      <c r="V67" s="20"/>
      <c r="W67" s="20"/>
      <c r="X67" s="20"/>
      <c r="Y67" s="20"/>
      <c r="Z67" s="20"/>
      <c r="AA67" s="20"/>
    </row>
    <row r="68" spans="1:27">
      <c r="A68" s="20"/>
      <c r="B68" s="20"/>
      <c r="C68" s="20"/>
      <c r="D68" s="20"/>
      <c r="E68" s="20"/>
      <c r="F68" s="20"/>
      <c r="G68" s="20"/>
      <c r="H68" s="20"/>
      <c r="I68" s="20"/>
      <c r="J68" s="20"/>
      <c r="K68" s="20"/>
      <c r="L68" s="20"/>
      <c r="M68" s="20"/>
      <c r="N68" s="20"/>
      <c r="O68" s="20"/>
      <c r="P68" s="20"/>
      <c r="Q68" s="20"/>
      <c r="R68" s="20"/>
      <c r="S68" s="20"/>
      <c r="T68" s="20"/>
      <c r="U68" s="20"/>
      <c r="V68" s="20"/>
      <c r="W68" s="20"/>
      <c r="X68" s="20"/>
      <c r="Y68" s="20"/>
      <c r="Z68" s="20"/>
      <c r="AA68" s="20"/>
    </row>
    <row r="69" spans="1:27">
      <c r="A69" s="20"/>
      <c r="B69" s="40"/>
      <c r="C69" s="39"/>
      <c r="D69" s="20"/>
      <c r="E69" s="20"/>
      <c r="F69" s="20"/>
      <c r="G69" s="20"/>
      <c r="H69" s="20"/>
      <c r="I69" s="20"/>
      <c r="J69" s="20"/>
      <c r="K69" s="20"/>
      <c r="L69" s="20"/>
      <c r="M69" s="20"/>
      <c r="N69" s="20"/>
      <c r="O69" s="20"/>
      <c r="P69" s="20"/>
      <c r="Q69" s="20"/>
      <c r="R69" s="20"/>
      <c r="S69" s="20"/>
      <c r="T69" s="20"/>
      <c r="U69" s="20"/>
      <c r="V69" s="20"/>
      <c r="W69" s="20"/>
      <c r="X69" s="20"/>
      <c r="Y69" s="20"/>
      <c r="Z69" s="20"/>
      <c r="AA69" s="20"/>
    </row>
    <row r="70" spans="1:27">
      <c r="A70" s="20"/>
      <c r="B70" s="20"/>
      <c r="C70" s="20"/>
      <c r="D70" s="20"/>
      <c r="E70" s="20"/>
      <c r="F70" s="20"/>
      <c r="G70" s="20"/>
      <c r="H70" s="20"/>
      <c r="I70" s="20"/>
      <c r="J70" s="20"/>
      <c r="K70" s="20"/>
      <c r="L70" s="20"/>
      <c r="M70" s="20"/>
      <c r="N70" s="20"/>
      <c r="O70" s="20"/>
      <c r="P70" s="20"/>
      <c r="Q70" s="20"/>
      <c r="R70" s="20"/>
      <c r="S70" s="20"/>
      <c r="T70" s="20"/>
      <c r="U70" s="20"/>
      <c r="V70" s="20"/>
      <c r="W70" s="20"/>
      <c r="X70" s="20"/>
      <c r="Y70" s="20"/>
      <c r="Z70" s="20"/>
      <c r="AA70" s="20"/>
    </row>
    <row r="71" spans="1:27">
      <c r="A71" s="20"/>
      <c r="B71" s="40"/>
      <c r="C71" s="39"/>
      <c r="D71" s="20"/>
      <c r="E71" s="20"/>
      <c r="F71" s="20"/>
      <c r="G71" s="20"/>
      <c r="H71" s="20"/>
      <c r="I71" s="20"/>
      <c r="J71" s="20"/>
      <c r="K71" s="20"/>
      <c r="L71" s="39"/>
      <c r="M71" s="20"/>
      <c r="N71" s="20"/>
      <c r="O71" s="20"/>
      <c r="P71" s="39"/>
      <c r="Q71" s="20"/>
      <c r="R71" s="20"/>
      <c r="S71" s="20"/>
      <c r="T71" s="20"/>
      <c r="U71" s="20"/>
      <c r="V71" s="20"/>
      <c r="W71" s="20"/>
      <c r="X71" s="20"/>
      <c r="Y71" s="20"/>
      <c r="Z71" s="20"/>
      <c r="AA71" s="20"/>
    </row>
    <row r="72" spans="1:27">
      <c r="A72" s="20"/>
      <c r="B72" s="20"/>
      <c r="C72" s="20"/>
      <c r="D72" s="20"/>
      <c r="E72" s="20"/>
      <c r="F72" s="20"/>
      <c r="G72" s="20"/>
      <c r="H72" s="20"/>
      <c r="I72" s="20"/>
      <c r="J72" s="20"/>
      <c r="K72" s="20"/>
      <c r="L72" s="20"/>
      <c r="M72" s="20"/>
      <c r="N72" s="20"/>
      <c r="O72" s="20"/>
      <c r="P72" s="20"/>
      <c r="Q72" s="20"/>
      <c r="R72" s="20"/>
      <c r="S72" s="20"/>
      <c r="T72" s="20"/>
      <c r="U72" s="20"/>
      <c r="V72" s="20"/>
      <c r="W72" s="20"/>
      <c r="X72" s="20"/>
      <c r="Y72" s="20"/>
      <c r="Z72" s="20"/>
      <c r="AA72" s="20"/>
    </row>
    <row r="73" spans="1:27">
      <c r="A73" s="20"/>
      <c r="B73" s="40"/>
      <c r="C73" s="39"/>
      <c r="D73" s="20"/>
      <c r="E73" s="20"/>
      <c r="F73" s="20"/>
      <c r="G73" s="20"/>
      <c r="H73" s="20"/>
      <c r="I73" s="20"/>
      <c r="J73" s="20"/>
      <c r="K73" s="20"/>
      <c r="L73" s="39"/>
      <c r="M73" s="20"/>
      <c r="N73" s="20"/>
      <c r="O73" s="20"/>
      <c r="P73" s="39"/>
      <c r="Q73" s="20"/>
      <c r="R73" s="20"/>
      <c r="S73" s="20"/>
      <c r="T73" s="20"/>
      <c r="U73" s="20"/>
      <c r="V73" s="20"/>
      <c r="W73" s="20"/>
      <c r="X73" s="20"/>
      <c r="Y73" s="20"/>
      <c r="Z73" s="20"/>
      <c r="AA73" s="20"/>
    </row>
    <row r="74" spans="1:27">
      <c r="A74" s="20"/>
      <c r="B74" s="20"/>
      <c r="C74" s="41"/>
      <c r="D74" s="20"/>
      <c r="E74" s="20"/>
      <c r="F74" s="20"/>
      <c r="G74" s="20"/>
      <c r="H74" s="20"/>
      <c r="I74" s="20"/>
      <c r="J74" s="20"/>
      <c r="K74" s="20"/>
      <c r="L74" s="20"/>
      <c r="M74" s="20"/>
      <c r="N74" s="20"/>
      <c r="O74" s="20"/>
      <c r="P74" s="20"/>
      <c r="Q74" s="20"/>
      <c r="R74" s="20"/>
      <c r="S74" s="20"/>
      <c r="T74" s="20"/>
      <c r="U74" s="20"/>
      <c r="V74" s="20"/>
      <c r="W74" s="20"/>
      <c r="X74" s="20"/>
      <c r="Y74" s="20"/>
      <c r="Z74" s="20"/>
      <c r="AA74" s="20"/>
    </row>
    <row r="75" spans="1:27">
      <c r="A75" s="20"/>
      <c r="B75" s="20"/>
      <c r="C75" s="20"/>
      <c r="D75" s="20"/>
      <c r="E75" s="20"/>
      <c r="F75" s="20"/>
      <c r="G75" s="20"/>
      <c r="H75" s="20"/>
      <c r="I75" s="20"/>
      <c r="J75" s="20"/>
      <c r="K75" s="20"/>
      <c r="L75" s="20"/>
      <c r="M75" s="20"/>
      <c r="N75" s="20"/>
      <c r="O75" s="20"/>
      <c r="P75" s="20"/>
      <c r="Q75" s="20"/>
      <c r="R75" s="20"/>
      <c r="S75" s="20"/>
      <c r="T75" s="20"/>
      <c r="U75" s="20"/>
      <c r="V75" s="20"/>
      <c r="W75" s="20"/>
      <c r="X75" s="20"/>
      <c r="Y75" s="20"/>
      <c r="Z75" s="20"/>
      <c r="AA75" s="20"/>
    </row>
    <row r="76" spans="1:27">
      <c r="A76" s="20"/>
      <c r="B76" s="40"/>
      <c r="C76" s="39"/>
      <c r="D76" s="20"/>
      <c r="E76" s="20"/>
      <c r="F76" s="20"/>
      <c r="G76" s="20"/>
      <c r="H76" s="20"/>
      <c r="I76" s="20"/>
      <c r="J76" s="20"/>
      <c r="K76" s="20"/>
      <c r="L76" s="20"/>
      <c r="M76" s="20"/>
      <c r="N76" s="20"/>
      <c r="O76" s="20"/>
      <c r="P76" s="39"/>
      <c r="Q76" s="20"/>
      <c r="R76" s="20"/>
      <c r="S76" s="20"/>
      <c r="T76" s="20"/>
      <c r="U76" s="20"/>
      <c r="V76" s="20"/>
      <c r="W76" s="20"/>
      <c r="X76" s="20"/>
      <c r="Y76" s="20"/>
      <c r="Z76" s="20"/>
      <c r="AA76" s="20"/>
    </row>
    <row r="77" spans="1:27">
      <c r="A77" s="20"/>
      <c r="B77" s="20"/>
      <c r="C77" s="41"/>
      <c r="D77" s="20"/>
      <c r="E77" s="20"/>
      <c r="F77" s="20"/>
      <c r="G77" s="20"/>
      <c r="H77" s="20"/>
      <c r="I77" s="20"/>
      <c r="J77" s="20"/>
      <c r="K77" s="20"/>
      <c r="L77" s="20"/>
      <c r="M77" s="20"/>
      <c r="N77" s="20"/>
      <c r="O77" s="20"/>
      <c r="P77" s="20"/>
      <c r="Q77" s="20"/>
      <c r="R77" s="20"/>
      <c r="S77" s="20"/>
      <c r="T77" s="20"/>
      <c r="U77" s="20"/>
      <c r="V77" s="20"/>
      <c r="W77" s="20"/>
      <c r="X77" s="20"/>
      <c r="Y77" s="20"/>
      <c r="Z77" s="20"/>
      <c r="AA77" s="20"/>
    </row>
    <row r="78" spans="1:27">
      <c r="A78" s="20"/>
      <c r="B78" s="20"/>
      <c r="C78" s="20"/>
      <c r="D78" s="20"/>
      <c r="E78" s="20"/>
      <c r="F78" s="20"/>
      <c r="G78" s="20"/>
      <c r="H78" s="20"/>
      <c r="I78" s="20"/>
      <c r="J78" s="20"/>
      <c r="K78" s="20"/>
      <c r="L78" s="20"/>
      <c r="M78" s="20"/>
      <c r="N78" s="20"/>
      <c r="O78" s="20"/>
      <c r="P78" s="20"/>
      <c r="Q78" s="20"/>
      <c r="R78" s="20"/>
      <c r="S78" s="20"/>
      <c r="T78" s="20"/>
      <c r="U78" s="20"/>
      <c r="V78" s="20"/>
      <c r="W78" s="20"/>
      <c r="X78" s="20"/>
      <c r="Y78" s="20"/>
      <c r="Z78" s="20"/>
      <c r="AA78" s="20"/>
    </row>
    <row r="79" spans="1:27">
      <c r="A79" s="38"/>
      <c r="B79" s="38"/>
      <c r="C79" s="20"/>
      <c r="D79" s="20"/>
      <c r="E79" s="20"/>
      <c r="F79" s="20"/>
      <c r="G79" s="20"/>
      <c r="H79" s="20"/>
      <c r="I79" s="20"/>
      <c r="J79" s="20"/>
      <c r="K79" s="20"/>
      <c r="L79" s="20"/>
      <c r="M79" s="20"/>
      <c r="N79" s="20"/>
      <c r="O79" s="20"/>
      <c r="P79" s="20"/>
      <c r="Q79" s="20"/>
      <c r="R79" s="20"/>
      <c r="S79" s="20"/>
      <c r="T79" s="20"/>
      <c r="U79" s="20"/>
      <c r="V79" s="20"/>
      <c r="W79" s="20"/>
      <c r="X79" s="20"/>
      <c r="Y79" s="20"/>
      <c r="Z79" s="20"/>
      <c r="AA79" s="20"/>
    </row>
    <row r="80" spans="1:27">
      <c r="A80" s="20"/>
      <c r="B80" s="20"/>
      <c r="C80" s="42"/>
      <c r="D80" s="20"/>
      <c r="E80" s="20"/>
      <c r="F80" s="20"/>
      <c r="G80" s="20"/>
      <c r="H80" s="20"/>
      <c r="I80" s="20"/>
      <c r="J80" s="20"/>
      <c r="K80" s="20"/>
      <c r="L80" s="20"/>
      <c r="M80" s="20"/>
      <c r="N80" s="20"/>
      <c r="O80" s="20"/>
      <c r="P80" s="20"/>
      <c r="Q80" s="20"/>
      <c r="R80" s="20"/>
      <c r="S80" s="20"/>
      <c r="T80" s="20"/>
      <c r="U80" s="20"/>
      <c r="V80" s="20"/>
      <c r="W80" s="20"/>
      <c r="X80" s="20"/>
      <c r="Y80" s="20"/>
      <c r="Z80" s="20"/>
      <c r="AA80" s="20"/>
    </row>
    <row r="81" spans="1:27">
      <c r="A81" s="20"/>
      <c r="B81" s="20"/>
      <c r="C81" s="39"/>
      <c r="D81" s="20"/>
      <c r="E81" s="20"/>
      <c r="F81" s="20"/>
      <c r="G81" s="20"/>
      <c r="H81" s="20"/>
      <c r="I81" s="20"/>
      <c r="J81" s="20"/>
      <c r="K81" s="20"/>
      <c r="L81" s="20"/>
      <c r="M81" s="20"/>
      <c r="N81" s="20"/>
      <c r="O81" s="20"/>
      <c r="P81" s="20"/>
      <c r="Q81" s="20"/>
      <c r="R81" s="20"/>
      <c r="S81" s="20"/>
      <c r="T81" s="20"/>
      <c r="U81" s="20"/>
      <c r="V81" s="20"/>
      <c r="W81" s="20"/>
      <c r="X81" s="20"/>
      <c r="Y81" s="20"/>
      <c r="Z81" s="20"/>
      <c r="AA81" s="20"/>
    </row>
    <row r="82" spans="1:27">
      <c r="A82" s="20"/>
      <c r="B82" s="20"/>
      <c r="C82" s="20"/>
      <c r="D82" s="20"/>
      <c r="E82" s="20"/>
      <c r="F82" s="20"/>
      <c r="G82" s="20"/>
      <c r="H82" s="20"/>
      <c r="I82" s="20"/>
      <c r="J82" s="20"/>
      <c r="K82" s="20"/>
      <c r="L82" s="20"/>
      <c r="M82" s="20"/>
      <c r="N82" s="20"/>
      <c r="O82" s="20"/>
      <c r="P82" s="20"/>
      <c r="Q82" s="20"/>
      <c r="R82" s="20"/>
      <c r="S82" s="20"/>
      <c r="T82" s="20"/>
      <c r="U82" s="20"/>
      <c r="V82" s="20"/>
      <c r="W82" s="20"/>
      <c r="X82" s="20"/>
      <c r="Y82" s="20"/>
      <c r="Z82" s="20"/>
      <c r="AA82" s="20"/>
    </row>
    <row r="83" spans="1:27">
      <c r="A83" s="20"/>
      <c r="B83" s="40"/>
      <c r="C83" s="39"/>
      <c r="D83" s="20"/>
      <c r="E83" s="20"/>
      <c r="F83" s="20"/>
      <c r="G83" s="20"/>
      <c r="H83" s="20"/>
      <c r="I83" s="20"/>
      <c r="J83" s="20"/>
      <c r="K83" s="20"/>
      <c r="L83" s="20"/>
      <c r="M83" s="20"/>
      <c r="N83" s="20"/>
      <c r="O83" s="20"/>
      <c r="P83" s="20"/>
      <c r="Q83" s="20"/>
      <c r="R83" s="20"/>
      <c r="S83" s="20"/>
      <c r="T83" s="20"/>
      <c r="U83" s="20"/>
      <c r="V83" s="20"/>
      <c r="W83" s="20"/>
      <c r="X83" s="20"/>
      <c r="Y83" s="20"/>
      <c r="Z83" s="20"/>
      <c r="AA83" s="20"/>
    </row>
    <row r="84" spans="1:27">
      <c r="A84" s="20"/>
      <c r="B84" s="20"/>
      <c r="C84" s="39"/>
      <c r="D84" s="20"/>
      <c r="E84" s="20"/>
      <c r="F84" s="20"/>
      <c r="G84" s="20"/>
      <c r="H84" s="20"/>
      <c r="I84" s="20"/>
      <c r="J84" s="20"/>
      <c r="K84" s="20"/>
      <c r="L84" s="20"/>
      <c r="M84" s="20"/>
      <c r="N84" s="20"/>
      <c r="O84" s="20"/>
      <c r="P84" s="20"/>
      <c r="Q84" s="20"/>
      <c r="R84" s="20"/>
      <c r="S84" s="20"/>
      <c r="T84" s="20"/>
      <c r="U84" s="20"/>
      <c r="V84" s="20"/>
      <c r="W84" s="20"/>
      <c r="X84" s="20"/>
      <c r="Y84" s="20"/>
      <c r="Z84" s="20"/>
      <c r="AA84" s="20"/>
    </row>
    <row r="85" spans="1:27">
      <c r="A85" s="20"/>
      <c r="B85" s="20"/>
      <c r="C85" s="20"/>
      <c r="D85" s="20"/>
      <c r="E85" s="20"/>
      <c r="F85" s="20"/>
      <c r="G85" s="20"/>
      <c r="H85" s="20"/>
      <c r="I85" s="20"/>
      <c r="J85" s="20"/>
      <c r="K85" s="20"/>
      <c r="L85" s="20"/>
      <c r="M85" s="20"/>
      <c r="N85" s="20"/>
      <c r="O85" s="20"/>
      <c r="P85" s="20"/>
      <c r="Q85" s="20"/>
      <c r="R85" s="20"/>
      <c r="S85" s="20"/>
      <c r="T85" s="20"/>
      <c r="U85" s="20"/>
      <c r="V85" s="20"/>
      <c r="W85" s="20"/>
      <c r="X85" s="20"/>
      <c r="Y85" s="20"/>
      <c r="Z85" s="20"/>
      <c r="AA85" s="20"/>
    </row>
    <row r="86" spans="1:27">
      <c r="A86" s="20"/>
      <c r="B86" s="40"/>
      <c r="C86" s="39"/>
      <c r="D86" s="20"/>
      <c r="E86" s="20"/>
      <c r="F86" s="20"/>
      <c r="G86" s="20"/>
      <c r="H86" s="20"/>
      <c r="I86" s="20"/>
      <c r="J86" s="20"/>
      <c r="K86" s="20"/>
      <c r="L86" s="20"/>
      <c r="M86" s="20"/>
      <c r="N86" s="20"/>
      <c r="O86" s="20"/>
      <c r="P86" s="20"/>
      <c r="Q86" s="20"/>
      <c r="R86" s="20"/>
      <c r="S86" s="20"/>
      <c r="T86" s="20"/>
      <c r="U86" s="20"/>
      <c r="V86" s="20"/>
      <c r="W86" s="20"/>
      <c r="X86" s="20"/>
      <c r="Y86" s="20"/>
      <c r="Z86" s="20"/>
      <c r="AA86" s="20"/>
    </row>
    <row r="87" spans="1:27">
      <c r="A87" s="20"/>
      <c r="B87" s="20"/>
      <c r="C87" s="39"/>
      <c r="D87" s="20"/>
      <c r="E87" s="20"/>
      <c r="F87" s="20"/>
      <c r="G87" s="20"/>
      <c r="H87" s="20"/>
      <c r="I87" s="20"/>
      <c r="J87" s="20"/>
      <c r="K87" s="20"/>
      <c r="L87" s="20"/>
      <c r="M87" s="20"/>
      <c r="N87" s="20"/>
      <c r="O87" s="20"/>
      <c r="P87" s="20"/>
      <c r="Q87" s="20"/>
      <c r="R87" s="20"/>
      <c r="S87" s="20"/>
      <c r="T87" s="20"/>
      <c r="U87" s="20"/>
      <c r="V87" s="20"/>
      <c r="W87" s="20"/>
      <c r="X87" s="20"/>
      <c r="Y87" s="20"/>
      <c r="Z87" s="20"/>
      <c r="AA87" s="20"/>
    </row>
    <row r="88" spans="1:27">
      <c r="A88" s="20"/>
      <c r="B88" s="20"/>
      <c r="C88" s="20"/>
      <c r="D88" s="20"/>
      <c r="E88" s="20"/>
      <c r="F88" s="20"/>
      <c r="G88" s="20"/>
      <c r="H88" s="20"/>
      <c r="I88" s="20"/>
      <c r="J88" s="20"/>
      <c r="K88" s="20"/>
      <c r="L88" s="20"/>
      <c r="M88" s="20"/>
      <c r="N88" s="20"/>
      <c r="O88" s="20"/>
      <c r="P88" s="20"/>
      <c r="Q88" s="20"/>
      <c r="R88" s="20"/>
      <c r="S88" s="20"/>
      <c r="T88" s="20"/>
      <c r="U88" s="20"/>
      <c r="V88" s="20"/>
      <c r="W88" s="20"/>
      <c r="X88" s="20"/>
      <c r="Y88" s="20"/>
      <c r="Z88" s="20"/>
      <c r="AA88" s="20"/>
    </row>
    <row r="89" spans="1:27">
      <c r="A89" s="20"/>
      <c r="B89" s="40"/>
      <c r="C89" s="43"/>
      <c r="D89" s="20"/>
      <c r="E89" s="20"/>
      <c r="F89" s="20"/>
      <c r="G89" s="20"/>
      <c r="H89" s="20"/>
      <c r="I89" s="20"/>
      <c r="J89" s="20"/>
      <c r="K89" s="20"/>
      <c r="L89" s="20"/>
      <c r="M89" s="20"/>
      <c r="N89" s="20"/>
      <c r="O89" s="20"/>
      <c r="P89" s="39"/>
      <c r="Q89" s="20"/>
      <c r="R89" s="20"/>
      <c r="S89" s="20"/>
      <c r="T89" s="20"/>
      <c r="U89" s="20"/>
      <c r="V89" s="20"/>
      <c r="W89" s="20"/>
      <c r="X89" s="20"/>
      <c r="Y89" s="20"/>
      <c r="Z89" s="20"/>
      <c r="AA89" s="20"/>
    </row>
    <row r="90" spans="1:27">
      <c r="A90" s="20"/>
      <c r="B90" s="20"/>
      <c r="C90" s="20"/>
      <c r="D90" s="20"/>
      <c r="E90" s="20"/>
      <c r="F90" s="20"/>
      <c r="G90" s="20"/>
      <c r="H90" s="20"/>
      <c r="I90" s="20"/>
      <c r="J90" s="20"/>
      <c r="K90" s="20"/>
      <c r="L90" s="20"/>
      <c r="M90" s="20"/>
      <c r="N90" s="20"/>
      <c r="O90" s="20"/>
      <c r="P90" s="20"/>
      <c r="Q90" s="20"/>
      <c r="R90" s="20"/>
      <c r="S90" s="20"/>
      <c r="T90" s="20"/>
      <c r="U90" s="20"/>
      <c r="V90" s="20"/>
      <c r="W90" s="20"/>
      <c r="X90" s="20"/>
      <c r="Y90" s="20"/>
      <c r="Z90" s="20"/>
      <c r="AA90" s="20"/>
    </row>
    <row r="91" spans="1:27">
      <c r="A91" s="38"/>
      <c r="B91" s="38"/>
      <c r="C91" s="20"/>
      <c r="D91" s="20"/>
      <c r="E91" s="20"/>
      <c r="F91" s="20"/>
      <c r="G91" s="20"/>
      <c r="H91" s="20"/>
      <c r="I91" s="20"/>
      <c r="J91" s="20"/>
      <c r="K91" s="20"/>
      <c r="L91" s="20"/>
      <c r="M91" s="20"/>
      <c r="N91" s="20"/>
      <c r="O91" s="20"/>
      <c r="P91" s="20"/>
      <c r="Q91" s="20"/>
      <c r="R91" s="20"/>
      <c r="S91" s="20"/>
      <c r="T91" s="20"/>
      <c r="U91" s="20"/>
      <c r="V91" s="20"/>
      <c r="W91" s="20"/>
      <c r="X91" s="20"/>
      <c r="Y91" s="20"/>
      <c r="Z91" s="20"/>
      <c r="AA91" s="20"/>
    </row>
    <row r="92" spans="1:27">
      <c r="A92" s="20"/>
      <c r="B92" s="39"/>
      <c r="C92" s="20"/>
      <c r="D92" s="20"/>
      <c r="E92" s="20"/>
      <c r="F92" s="20"/>
      <c r="G92" s="20"/>
      <c r="H92" s="20"/>
      <c r="I92" s="20"/>
      <c r="J92" s="20"/>
      <c r="K92" s="20"/>
      <c r="L92" s="20"/>
      <c r="M92" s="20"/>
      <c r="N92" s="20"/>
      <c r="O92" s="20"/>
      <c r="P92" s="20"/>
      <c r="Q92" s="20"/>
      <c r="R92" s="20"/>
      <c r="S92" s="20"/>
      <c r="T92" s="20"/>
      <c r="U92" s="20"/>
      <c r="V92" s="20"/>
      <c r="W92" s="20"/>
      <c r="X92" s="20"/>
      <c r="Y92" s="20"/>
      <c r="Z92" s="20"/>
      <c r="AA92" s="20"/>
    </row>
    <row r="93" spans="1:27">
      <c r="A93" s="20"/>
      <c r="B93" s="20"/>
      <c r="C93" s="20"/>
      <c r="D93" s="20"/>
      <c r="E93" s="20"/>
      <c r="F93" s="20"/>
      <c r="G93" s="20"/>
      <c r="H93" s="20"/>
      <c r="I93" s="20"/>
      <c r="J93" s="20"/>
      <c r="K93" s="20"/>
      <c r="L93" s="20"/>
      <c r="M93" s="20"/>
      <c r="N93" s="20"/>
      <c r="O93" s="20"/>
      <c r="P93" s="20"/>
      <c r="Q93" s="20"/>
      <c r="R93" s="20"/>
      <c r="S93" s="20"/>
      <c r="T93" s="20"/>
      <c r="U93" s="20"/>
      <c r="V93" s="20"/>
      <c r="W93" s="20"/>
      <c r="X93" s="20"/>
      <c r="Y93" s="20"/>
      <c r="Z93" s="20"/>
      <c r="AA93" s="20"/>
    </row>
    <row r="94" spans="1:27">
      <c r="A94" s="20"/>
      <c r="B94" s="40"/>
      <c r="C94" s="39"/>
      <c r="D94" s="20"/>
      <c r="E94" s="20"/>
      <c r="F94" s="20"/>
      <c r="G94" s="20"/>
      <c r="H94" s="20"/>
      <c r="I94" s="20"/>
      <c r="J94" s="20"/>
      <c r="K94" s="20"/>
      <c r="L94" s="20"/>
      <c r="M94" s="20"/>
      <c r="N94" s="20"/>
      <c r="O94" s="20"/>
      <c r="P94" s="39"/>
      <c r="Q94" s="20"/>
      <c r="R94" s="20"/>
      <c r="S94" s="20"/>
      <c r="T94" s="20"/>
      <c r="U94" s="20"/>
      <c r="V94" s="20"/>
      <c r="W94" s="20"/>
      <c r="X94" s="20"/>
      <c r="Y94" s="20"/>
      <c r="Z94" s="20"/>
      <c r="AA94" s="20"/>
    </row>
    <row r="95" spans="1:27">
      <c r="A95" s="20"/>
      <c r="B95" s="20"/>
      <c r="C95" s="20"/>
      <c r="D95" s="20"/>
      <c r="E95" s="20"/>
      <c r="F95" s="20"/>
      <c r="G95" s="20"/>
      <c r="H95" s="20"/>
      <c r="I95" s="20"/>
      <c r="J95" s="20"/>
      <c r="K95" s="20"/>
      <c r="L95" s="20"/>
      <c r="M95" s="20"/>
      <c r="N95" s="20"/>
      <c r="O95" s="20"/>
      <c r="P95" s="20"/>
      <c r="Q95" s="20"/>
      <c r="R95" s="20"/>
      <c r="S95" s="20"/>
      <c r="T95" s="20"/>
      <c r="U95" s="20"/>
      <c r="V95" s="20"/>
      <c r="W95" s="20"/>
      <c r="X95" s="20"/>
      <c r="Y95" s="20"/>
      <c r="Z95" s="20"/>
      <c r="AA95" s="20"/>
    </row>
    <row r="96" spans="1:27">
      <c r="A96" s="20"/>
      <c r="B96" s="40"/>
      <c r="C96" s="39"/>
      <c r="D96" s="20"/>
      <c r="E96" s="20"/>
      <c r="F96" s="20"/>
      <c r="G96" s="20"/>
      <c r="H96" s="20"/>
      <c r="I96" s="20"/>
      <c r="J96" s="20"/>
      <c r="K96" s="20"/>
      <c r="L96" s="20"/>
      <c r="M96" s="20"/>
      <c r="N96" s="20"/>
      <c r="O96" s="20"/>
      <c r="P96" s="39"/>
      <c r="Q96" s="20"/>
      <c r="R96" s="20"/>
      <c r="S96" s="20"/>
      <c r="T96" s="20"/>
      <c r="U96" s="20"/>
      <c r="V96" s="20"/>
      <c r="W96" s="20"/>
      <c r="X96" s="20"/>
      <c r="Y96" s="20"/>
      <c r="Z96" s="20"/>
      <c r="AA96" s="20"/>
    </row>
    <row r="97" spans="1:27">
      <c r="A97" s="20"/>
      <c r="B97" s="20"/>
      <c r="C97" s="20"/>
      <c r="D97" s="20"/>
      <c r="E97" s="20"/>
      <c r="F97" s="20"/>
      <c r="G97" s="20"/>
      <c r="H97" s="20"/>
      <c r="I97" s="20"/>
      <c r="J97" s="20"/>
      <c r="K97" s="20"/>
      <c r="L97" s="20"/>
      <c r="M97" s="20"/>
      <c r="N97" s="20"/>
      <c r="O97" s="20"/>
      <c r="P97" s="20"/>
      <c r="Q97" s="20"/>
      <c r="R97" s="20"/>
      <c r="S97" s="20"/>
      <c r="T97" s="20"/>
      <c r="U97" s="20"/>
      <c r="V97" s="20"/>
      <c r="W97" s="20"/>
      <c r="X97" s="20"/>
      <c r="Y97" s="20"/>
      <c r="Z97" s="20"/>
      <c r="AA97" s="20"/>
    </row>
    <row r="98" spans="1:27">
      <c r="A98" s="20"/>
      <c r="B98" s="40"/>
      <c r="C98" s="39"/>
      <c r="D98" s="20"/>
      <c r="E98" s="20"/>
      <c r="F98" s="20"/>
      <c r="G98" s="20"/>
      <c r="H98" s="20"/>
      <c r="I98" s="20"/>
      <c r="J98" s="20"/>
      <c r="K98" s="20"/>
      <c r="L98" s="20"/>
      <c r="M98" s="20"/>
      <c r="N98" s="20"/>
      <c r="O98" s="20"/>
      <c r="P98" s="20"/>
      <c r="Q98" s="20"/>
      <c r="R98" s="20"/>
      <c r="S98" s="20"/>
      <c r="T98" s="20"/>
      <c r="U98" s="20"/>
      <c r="V98" s="20"/>
      <c r="W98" s="20"/>
      <c r="X98" s="20"/>
      <c r="Y98" s="20"/>
      <c r="Z98" s="20"/>
      <c r="AA98" s="20"/>
    </row>
    <row r="99" spans="1:27">
      <c r="A99" s="20"/>
      <c r="B99" s="20"/>
      <c r="C99" s="20"/>
      <c r="D99" s="20"/>
      <c r="E99" s="20"/>
      <c r="F99" s="20"/>
      <c r="G99" s="20"/>
      <c r="H99" s="20"/>
      <c r="I99" s="20"/>
      <c r="J99" s="20"/>
      <c r="K99" s="20"/>
      <c r="L99" s="20"/>
      <c r="M99" s="20"/>
      <c r="N99" s="20"/>
      <c r="O99" s="20"/>
      <c r="P99" s="20"/>
      <c r="Q99" s="20"/>
      <c r="R99" s="20"/>
      <c r="S99" s="20"/>
      <c r="T99" s="20"/>
      <c r="U99" s="20"/>
      <c r="V99" s="20"/>
      <c r="W99" s="20"/>
      <c r="X99" s="20"/>
      <c r="Y99" s="20"/>
      <c r="Z99" s="20"/>
      <c r="AA99" s="20"/>
    </row>
    <row r="100" spans="1:27">
      <c r="A100" s="20"/>
      <c r="B100" s="40"/>
      <c r="C100" s="39"/>
      <c r="D100" s="20"/>
      <c r="E100" s="20"/>
      <c r="F100" s="20"/>
      <c r="G100" s="20"/>
      <c r="H100" s="20"/>
      <c r="I100" s="20"/>
      <c r="J100" s="20"/>
      <c r="K100" s="20"/>
      <c r="L100" s="20"/>
      <c r="M100" s="20"/>
      <c r="N100" s="20"/>
      <c r="O100" s="20"/>
      <c r="P100" s="20"/>
      <c r="Q100" s="20"/>
      <c r="R100" s="20"/>
      <c r="S100" s="20"/>
      <c r="T100" s="20"/>
      <c r="U100" s="20"/>
      <c r="V100" s="20"/>
      <c r="W100" s="20"/>
      <c r="X100" s="20"/>
      <c r="Y100" s="20"/>
      <c r="Z100" s="20"/>
      <c r="AA100" s="20"/>
    </row>
    <row r="101" spans="1:27">
      <c r="A101" s="20"/>
      <c r="B101" s="20"/>
      <c r="C101" s="20"/>
      <c r="D101" s="20"/>
      <c r="E101" s="20"/>
      <c r="F101" s="20"/>
      <c r="G101" s="20"/>
      <c r="H101" s="20"/>
      <c r="I101" s="20"/>
      <c r="J101" s="20"/>
      <c r="K101" s="20"/>
      <c r="L101" s="20"/>
      <c r="M101" s="20"/>
      <c r="N101" s="20"/>
      <c r="O101" s="20"/>
      <c r="P101" s="20"/>
      <c r="Q101" s="20"/>
      <c r="R101" s="20"/>
      <c r="S101" s="20"/>
      <c r="T101" s="20"/>
      <c r="U101" s="20"/>
      <c r="V101" s="20"/>
      <c r="W101" s="20"/>
      <c r="X101" s="20"/>
      <c r="Y101" s="20"/>
      <c r="Z101" s="20"/>
      <c r="AA101" s="20"/>
    </row>
    <row r="102" spans="1:27">
      <c r="A102" s="20"/>
      <c r="B102" s="20"/>
      <c r="C102" s="20"/>
      <c r="D102" s="20"/>
      <c r="E102" s="20"/>
      <c r="F102" s="20"/>
      <c r="G102" s="20"/>
      <c r="H102" s="20"/>
      <c r="I102" s="20"/>
      <c r="J102" s="20"/>
      <c r="K102" s="20"/>
      <c r="L102" s="20"/>
      <c r="M102" s="20"/>
      <c r="N102" s="20"/>
      <c r="O102" s="20"/>
      <c r="P102" s="20"/>
      <c r="Q102" s="20"/>
      <c r="R102" s="20"/>
      <c r="S102" s="20"/>
      <c r="T102" s="20"/>
      <c r="U102" s="20"/>
      <c r="V102" s="20"/>
      <c r="W102" s="20"/>
      <c r="X102" s="20"/>
      <c r="Y102" s="20"/>
      <c r="Z102" s="20"/>
      <c r="AA102" s="20"/>
    </row>
    <row r="103" spans="1:27">
      <c r="A103" s="20"/>
      <c r="B103" s="20"/>
      <c r="C103" s="20"/>
      <c r="D103" s="20"/>
      <c r="E103" s="20"/>
      <c r="F103" s="20"/>
      <c r="G103" s="20"/>
      <c r="H103" s="20"/>
      <c r="I103" s="20"/>
      <c r="J103" s="20"/>
      <c r="K103" s="20"/>
      <c r="L103" s="20"/>
      <c r="M103" s="20"/>
      <c r="N103" s="20"/>
      <c r="O103" s="20"/>
      <c r="P103" s="20"/>
      <c r="Q103" s="20"/>
      <c r="R103" s="20"/>
      <c r="S103" s="20"/>
      <c r="T103" s="20"/>
      <c r="U103" s="20"/>
      <c r="V103" s="20"/>
      <c r="W103" s="20"/>
      <c r="X103" s="20"/>
      <c r="Y103" s="20"/>
      <c r="Z103" s="20"/>
      <c r="AA103" s="20"/>
    </row>
    <row r="104" spans="1:27">
      <c r="A104" s="20"/>
      <c r="B104" s="20"/>
      <c r="C104" s="20"/>
      <c r="D104" s="20"/>
      <c r="E104" s="20"/>
      <c r="F104" s="20"/>
      <c r="G104" s="20"/>
      <c r="H104" s="20"/>
      <c r="I104" s="20"/>
      <c r="J104" s="20"/>
      <c r="K104" s="20"/>
      <c r="L104" s="20"/>
      <c r="M104" s="20"/>
      <c r="N104" s="20"/>
      <c r="O104" s="20"/>
      <c r="P104" s="20"/>
      <c r="Q104" s="20"/>
      <c r="R104" s="20"/>
      <c r="S104" s="20"/>
      <c r="T104" s="20"/>
      <c r="U104" s="20"/>
      <c r="V104" s="20"/>
      <c r="W104" s="20"/>
      <c r="X104" s="20"/>
      <c r="Y104" s="20"/>
      <c r="Z104" s="20"/>
      <c r="AA104" s="20"/>
    </row>
    <row r="105" spans="1:27">
      <c r="A105" s="20"/>
      <c r="B105" s="20"/>
      <c r="C105" s="20"/>
      <c r="D105" s="20"/>
      <c r="E105" s="20"/>
      <c r="F105" s="20"/>
      <c r="G105" s="20"/>
      <c r="H105" s="20"/>
      <c r="I105" s="20"/>
      <c r="J105" s="20"/>
      <c r="K105" s="20"/>
      <c r="L105" s="20"/>
      <c r="M105" s="20"/>
      <c r="N105" s="20"/>
      <c r="O105" s="20"/>
      <c r="P105" s="20"/>
      <c r="Q105" s="20"/>
      <c r="R105" s="20"/>
      <c r="S105" s="20"/>
      <c r="T105" s="20"/>
      <c r="U105" s="20"/>
      <c r="V105" s="20"/>
      <c r="W105" s="20"/>
      <c r="X105" s="20"/>
      <c r="Y105" s="20"/>
      <c r="Z105" s="20"/>
      <c r="AA105" s="20"/>
    </row>
    <row r="106" spans="1:27">
      <c r="A106" s="20"/>
      <c r="B106" s="20"/>
      <c r="C106" s="20"/>
      <c r="D106" s="20"/>
      <c r="E106" s="20"/>
      <c r="F106" s="20"/>
      <c r="G106" s="20"/>
      <c r="H106" s="20"/>
      <c r="I106" s="20"/>
      <c r="J106" s="20"/>
      <c r="K106" s="20"/>
      <c r="L106" s="20"/>
      <c r="M106" s="20"/>
      <c r="N106" s="20"/>
      <c r="O106" s="20"/>
      <c r="P106" s="20"/>
      <c r="Q106" s="20"/>
      <c r="R106" s="20"/>
      <c r="S106" s="20"/>
      <c r="T106" s="20"/>
      <c r="U106" s="20"/>
      <c r="V106" s="20"/>
      <c r="W106" s="20"/>
      <c r="X106" s="20"/>
      <c r="Y106" s="20"/>
      <c r="Z106" s="20"/>
      <c r="AA106" s="20"/>
    </row>
    <row r="107" spans="1:27">
      <c r="A107" s="20"/>
      <c r="B107" s="20"/>
      <c r="C107" s="20"/>
      <c r="D107" s="20"/>
      <c r="E107" s="20"/>
      <c r="F107" s="20"/>
      <c r="G107" s="20"/>
      <c r="H107" s="20"/>
      <c r="I107" s="20"/>
      <c r="J107" s="20"/>
      <c r="K107" s="20"/>
      <c r="L107" s="20"/>
      <c r="M107" s="20"/>
      <c r="N107" s="20"/>
      <c r="O107" s="20"/>
      <c r="P107" s="20"/>
      <c r="Q107" s="20"/>
      <c r="R107" s="20"/>
      <c r="S107" s="20"/>
      <c r="T107" s="20"/>
      <c r="U107" s="20"/>
      <c r="V107" s="20"/>
      <c r="W107" s="20"/>
      <c r="X107" s="20"/>
      <c r="Y107" s="20"/>
      <c r="Z107" s="20"/>
      <c r="AA107" s="20"/>
    </row>
    <row r="108" spans="1:27">
      <c r="A108" s="20"/>
      <c r="B108" s="20"/>
      <c r="C108" s="20"/>
      <c r="D108" s="20"/>
      <c r="E108" s="20"/>
      <c r="F108" s="20"/>
      <c r="G108" s="20"/>
      <c r="H108" s="20"/>
      <c r="I108" s="20"/>
      <c r="J108" s="20"/>
      <c r="K108" s="20"/>
      <c r="L108" s="20"/>
      <c r="M108" s="20"/>
      <c r="N108" s="20"/>
      <c r="O108" s="20"/>
      <c r="P108" s="20"/>
      <c r="Q108" s="20"/>
      <c r="R108" s="20"/>
      <c r="S108" s="20"/>
      <c r="T108" s="20"/>
      <c r="U108" s="20"/>
      <c r="V108" s="20"/>
      <c r="W108" s="20"/>
      <c r="X108" s="20"/>
      <c r="Y108" s="20"/>
      <c r="Z108" s="20"/>
      <c r="AA108" s="20"/>
    </row>
    <row r="109" spans="1:27">
      <c r="A109" s="20"/>
      <c r="B109" s="20"/>
      <c r="C109" s="20"/>
      <c r="D109" s="20"/>
      <c r="E109" s="20"/>
      <c r="F109" s="20"/>
      <c r="G109" s="20"/>
      <c r="H109" s="20"/>
      <c r="I109" s="20"/>
      <c r="J109" s="20"/>
      <c r="K109" s="20"/>
      <c r="L109" s="20"/>
      <c r="M109" s="20"/>
      <c r="N109" s="20"/>
      <c r="O109" s="20"/>
      <c r="P109" s="20"/>
      <c r="Q109" s="20"/>
      <c r="R109" s="20"/>
      <c r="S109" s="20"/>
      <c r="T109" s="20"/>
      <c r="U109" s="20"/>
      <c r="V109" s="20"/>
      <c r="W109" s="20"/>
      <c r="X109" s="20"/>
      <c r="Y109" s="20"/>
      <c r="Z109" s="20"/>
      <c r="AA109" s="20"/>
    </row>
    <row r="110" spans="1:27">
      <c r="A110" s="20"/>
      <c r="B110" s="20"/>
      <c r="C110" s="20"/>
      <c r="D110" s="20"/>
      <c r="E110" s="20"/>
      <c r="F110" s="20"/>
      <c r="G110" s="20"/>
      <c r="H110" s="20"/>
      <c r="I110" s="20"/>
      <c r="J110" s="20"/>
      <c r="K110" s="20"/>
      <c r="L110" s="20"/>
      <c r="M110" s="20"/>
      <c r="N110" s="20"/>
      <c r="O110" s="20"/>
      <c r="P110" s="20"/>
      <c r="Q110" s="20"/>
      <c r="R110" s="20"/>
      <c r="S110" s="20"/>
      <c r="T110" s="20"/>
      <c r="U110" s="20"/>
      <c r="V110" s="20"/>
      <c r="W110" s="20"/>
      <c r="X110" s="20"/>
      <c r="Y110" s="20"/>
      <c r="Z110" s="20"/>
      <c r="AA110" s="20"/>
    </row>
    <row r="111" spans="1:27">
      <c r="A111" s="20"/>
      <c r="B111" s="20"/>
      <c r="C111" s="20"/>
      <c r="D111" s="20"/>
      <c r="E111" s="20"/>
      <c r="F111" s="20"/>
      <c r="G111" s="20"/>
      <c r="H111" s="20"/>
      <c r="I111" s="20"/>
      <c r="J111" s="20"/>
      <c r="K111" s="20"/>
      <c r="L111" s="20"/>
      <c r="M111" s="20"/>
      <c r="N111" s="20"/>
      <c r="O111" s="20"/>
      <c r="P111" s="20"/>
      <c r="Q111" s="20"/>
      <c r="R111" s="20"/>
      <c r="S111" s="20"/>
      <c r="T111" s="20"/>
      <c r="U111" s="20"/>
      <c r="V111" s="20"/>
      <c r="W111" s="20"/>
      <c r="X111" s="20"/>
      <c r="Y111" s="20"/>
      <c r="Z111" s="20"/>
      <c r="AA111" s="20"/>
    </row>
    <row r="112" spans="1:27">
      <c r="A112" s="20"/>
      <c r="B112" s="20"/>
      <c r="C112" s="20"/>
      <c r="D112" s="20"/>
      <c r="E112" s="20"/>
      <c r="F112" s="20"/>
      <c r="G112" s="20"/>
      <c r="H112" s="20"/>
      <c r="I112" s="20"/>
      <c r="J112" s="20"/>
      <c r="K112" s="20"/>
      <c r="L112" s="20"/>
      <c r="M112" s="20"/>
      <c r="N112" s="20"/>
      <c r="O112" s="20"/>
      <c r="P112" s="20"/>
      <c r="Q112" s="20"/>
      <c r="R112" s="20"/>
      <c r="S112" s="20"/>
      <c r="T112" s="20"/>
      <c r="U112" s="20"/>
      <c r="V112" s="20"/>
      <c r="W112" s="20"/>
      <c r="X112" s="20"/>
      <c r="Y112" s="20"/>
      <c r="Z112" s="20"/>
      <c r="AA112" s="20"/>
    </row>
    <row r="113" spans="1:27">
      <c r="A113" s="20"/>
      <c r="B113" s="20"/>
      <c r="C113" s="20"/>
      <c r="D113" s="20"/>
      <c r="E113" s="20"/>
      <c r="F113" s="20"/>
      <c r="G113" s="20"/>
      <c r="H113" s="20"/>
      <c r="I113" s="20"/>
      <c r="J113" s="20"/>
      <c r="K113" s="20"/>
      <c r="L113" s="20"/>
      <c r="M113" s="20"/>
      <c r="N113" s="20"/>
      <c r="O113" s="20"/>
      <c r="P113" s="20"/>
      <c r="Q113" s="20"/>
      <c r="R113" s="20"/>
      <c r="S113" s="20"/>
      <c r="T113" s="20"/>
      <c r="U113" s="20"/>
      <c r="V113" s="20"/>
      <c r="W113" s="20"/>
      <c r="X113" s="20"/>
      <c r="Y113" s="20"/>
      <c r="Z113" s="20"/>
      <c r="AA113" s="20"/>
    </row>
    <row r="114" spans="1:27">
      <c r="A114" s="20"/>
      <c r="B114" s="20"/>
      <c r="C114" s="20"/>
      <c r="D114" s="20"/>
      <c r="E114" s="20"/>
      <c r="F114" s="20"/>
      <c r="G114" s="20"/>
      <c r="H114" s="20"/>
      <c r="I114" s="20"/>
      <c r="J114" s="20"/>
      <c r="K114" s="20"/>
      <c r="L114" s="20"/>
      <c r="M114" s="20"/>
      <c r="N114" s="20"/>
      <c r="O114" s="20"/>
      <c r="P114" s="20"/>
      <c r="Q114" s="20"/>
      <c r="R114" s="20"/>
      <c r="S114" s="20"/>
      <c r="T114" s="20"/>
      <c r="U114" s="20"/>
      <c r="V114" s="20"/>
      <c r="W114" s="20"/>
      <c r="X114" s="20"/>
      <c r="Y114" s="20"/>
      <c r="Z114" s="20"/>
      <c r="AA114" s="20"/>
    </row>
    <row r="115" spans="1:27">
      <c r="A115" s="20"/>
      <c r="B115" s="20"/>
      <c r="C115" s="20"/>
      <c r="D115" s="20"/>
      <c r="E115" s="20"/>
      <c r="F115" s="20"/>
      <c r="G115" s="20"/>
      <c r="H115" s="20"/>
      <c r="I115" s="20"/>
      <c r="J115" s="20"/>
      <c r="K115" s="20"/>
      <c r="L115" s="20"/>
      <c r="M115" s="20"/>
      <c r="N115" s="20"/>
      <c r="O115" s="20"/>
      <c r="P115" s="20"/>
      <c r="Q115" s="20"/>
      <c r="R115" s="20"/>
      <c r="S115" s="20"/>
      <c r="T115" s="20"/>
      <c r="U115" s="20"/>
      <c r="V115" s="20"/>
      <c r="W115" s="20"/>
      <c r="X115" s="20"/>
      <c r="Y115" s="20"/>
      <c r="Z115" s="20"/>
      <c r="AA115" s="20"/>
    </row>
    <row r="116" spans="1:27">
      <c r="A116" s="20"/>
      <c r="B116" s="20"/>
      <c r="C116" s="20"/>
      <c r="D116" s="20"/>
      <c r="E116" s="20"/>
      <c r="F116" s="20"/>
      <c r="G116" s="20"/>
      <c r="H116" s="20"/>
      <c r="I116" s="20"/>
      <c r="J116" s="20"/>
      <c r="K116" s="20"/>
      <c r="L116" s="20"/>
      <c r="M116" s="20"/>
      <c r="N116" s="20"/>
      <c r="O116" s="20"/>
      <c r="P116" s="20"/>
      <c r="Q116" s="20"/>
      <c r="R116" s="20"/>
      <c r="S116" s="20"/>
      <c r="T116" s="20"/>
      <c r="U116" s="20"/>
      <c r="V116" s="20"/>
      <c r="W116" s="20"/>
      <c r="X116" s="20"/>
      <c r="Y116" s="20"/>
      <c r="Z116" s="20"/>
      <c r="AA116" s="20"/>
    </row>
    <row r="117" spans="1:27">
      <c r="A117" s="20"/>
      <c r="B117" s="20"/>
      <c r="C117" s="20"/>
      <c r="D117" s="20"/>
      <c r="E117" s="20"/>
      <c r="F117" s="20"/>
      <c r="G117" s="20"/>
      <c r="H117" s="20"/>
      <c r="I117" s="20"/>
      <c r="J117" s="20"/>
      <c r="K117" s="20"/>
      <c r="L117" s="20"/>
      <c r="M117" s="20"/>
      <c r="N117" s="20"/>
      <c r="O117" s="20"/>
      <c r="P117" s="20"/>
      <c r="Q117" s="20"/>
      <c r="R117" s="20"/>
      <c r="S117" s="20"/>
      <c r="T117" s="20"/>
      <c r="U117" s="20"/>
      <c r="V117" s="20"/>
      <c r="W117" s="20"/>
      <c r="X117" s="20"/>
      <c r="Y117" s="20"/>
      <c r="Z117" s="20"/>
      <c r="AA117" s="20"/>
    </row>
    <row r="118" spans="1:27">
      <c r="A118" s="20"/>
      <c r="B118" s="20"/>
      <c r="C118" s="20"/>
      <c r="D118" s="20"/>
      <c r="E118" s="20"/>
      <c r="F118" s="20"/>
      <c r="G118" s="20"/>
      <c r="H118" s="20"/>
      <c r="I118" s="20"/>
      <c r="J118" s="20"/>
      <c r="K118" s="20"/>
      <c r="L118" s="20"/>
      <c r="M118" s="20"/>
      <c r="N118" s="20"/>
      <c r="O118" s="20"/>
      <c r="P118" s="20"/>
      <c r="Q118" s="20"/>
      <c r="R118" s="20"/>
      <c r="S118" s="20"/>
      <c r="T118" s="20"/>
      <c r="U118" s="20"/>
      <c r="V118" s="20"/>
      <c r="W118" s="20"/>
      <c r="X118" s="20"/>
      <c r="Y118" s="20"/>
      <c r="Z118" s="20"/>
      <c r="AA118" s="20"/>
    </row>
    <row r="119" spans="1:27">
      <c r="A119" s="20"/>
      <c r="B119" s="20"/>
      <c r="C119" s="20"/>
      <c r="D119" s="20"/>
      <c r="E119" s="20"/>
      <c r="F119" s="20"/>
      <c r="G119" s="20"/>
      <c r="H119" s="20"/>
      <c r="I119" s="20"/>
      <c r="J119" s="20"/>
      <c r="K119" s="20"/>
      <c r="L119" s="20"/>
      <c r="M119" s="20"/>
      <c r="N119" s="20"/>
      <c r="O119" s="20"/>
      <c r="P119" s="20"/>
      <c r="Q119" s="20"/>
      <c r="R119" s="20"/>
      <c r="S119" s="20"/>
      <c r="T119" s="20"/>
      <c r="U119" s="20"/>
      <c r="V119" s="20"/>
      <c r="W119" s="20"/>
      <c r="X119" s="20"/>
      <c r="Y119" s="20"/>
      <c r="Z119" s="20"/>
      <c r="AA119" s="20"/>
    </row>
    <row r="120" spans="1:27">
      <c r="A120" s="20"/>
      <c r="B120" s="20"/>
      <c r="C120" s="20"/>
      <c r="D120" s="20"/>
      <c r="E120" s="20"/>
      <c r="F120" s="20"/>
      <c r="G120" s="20"/>
      <c r="H120" s="20"/>
      <c r="I120" s="20"/>
      <c r="J120" s="20"/>
      <c r="K120" s="20"/>
      <c r="L120" s="20"/>
      <c r="M120" s="20"/>
      <c r="N120" s="20"/>
      <c r="O120" s="20"/>
      <c r="P120" s="20"/>
      <c r="Q120" s="20"/>
      <c r="R120" s="20"/>
      <c r="S120" s="20"/>
      <c r="T120" s="20"/>
      <c r="U120" s="20"/>
      <c r="V120" s="20"/>
      <c r="W120" s="20"/>
      <c r="X120" s="20"/>
      <c r="Y120" s="20"/>
      <c r="Z120" s="20"/>
      <c r="AA120" s="20"/>
    </row>
    <row r="121" spans="1:27">
      <c r="A121" s="20"/>
      <c r="B121" s="20"/>
      <c r="C121" s="20"/>
      <c r="D121" s="20"/>
      <c r="E121" s="20"/>
      <c r="F121" s="20"/>
      <c r="G121" s="20"/>
      <c r="H121" s="20"/>
      <c r="I121" s="20"/>
      <c r="J121" s="20"/>
      <c r="K121" s="20"/>
      <c r="L121" s="20"/>
      <c r="M121" s="20"/>
      <c r="N121" s="20"/>
      <c r="O121" s="20"/>
      <c r="P121" s="20"/>
      <c r="Q121" s="20"/>
      <c r="R121" s="20"/>
      <c r="S121" s="20"/>
      <c r="T121" s="20"/>
      <c r="U121" s="20"/>
      <c r="V121" s="20"/>
      <c r="W121" s="20"/>
      <c r="X121" s="20"/>
      <c r="Y121" s="20"/>
      <c r="Z121" s="20"/>
      <c r="AA121" s="20"/>
    </row>
    <row r="122" spans="1:27">
      <c r="A122" s="20"/>
      <c r="B122" s="20"/>
      <c r="C122" s="20"/>
      <c r="D122" s="20"/>
      <c r="E122" s="20"/>
      <c r="F122" s="20"/>
      <c r="G122" s="20"/>
      <c r="H122" s="20"/>
      <c r="I122" s="20"/>
      <c r="J122" s="20"/>
      <c r="K122" s="20"/>
      <c r="L122" s="20"/>
      <c r="M122" s="20"/>
      <c r="N122" s="20"/>
      <c r="O122" s="20"/>
      <c r="P122" s="20"/>
      <c r="Q122" s="20"/>
      <c r="R122" s="20"/>
      <c r="S122" s="20"/>
      <c r="T122" s="20"/>
      <c r="U122" s="20"/>
      <c r="V122" s="20"/>
      <c r="W122" s="20"/>
      <c r="X122" s="20"/>
      <c r="Y122" s="20"/>
      <c r="Z122" s="20"/>
      <c r="AA122" s="20"/>
    </row>
    <row r="123" spans="1:27">
      <c r="A123" s="20"/>
      <c r="B123" s="20"/>
      <c r="C123" s="20"/>
      <c r="D123" s="20"/>
      <c r="E123" s="20"/>
      <c r="F123" s="20"/>
      <c r="G123" s="20"/>
      <c r="H123" s="20"/>
      <c r="I123" s="20"/>
      <c r="J123" s="20"/>
      <c r="K123" s="20"/>
      <c r="L123" s="20"/>
      <c r="M123" s="20"/>
      <c r="N123" s="20"/>
      <c r="O123" s="20"/>
      <c r="P123" s="20"/>
      <c r="Q123" s="20"/>
      <c r="R123" s="20"/>
      <c r="S123" s="20"/>
      <c r="T123" s="20"/>
      <c r="U123" s="20"/>
      <c r="V123" s="20"/>
      <c r="W123" s="20"/>
      <c r="X123" s="20"/>
      <c r="Y123" s="20"/>
      <c r="Z123" s="20"/>
      <c r="AA123" s="20"/>
    </row>
    <row r="124" spans="1:27">
      <c r="A124" s="20"/>
      <c r="B124" s="20"/>
      <c r="C124" s="20"/>
      <c r="D124" s="20"/>
      <c r="E124" s="20"/>
      <c r="F124" s="20"/>
      <c r="G124" s="20"/>
      <c r="H124" s="20"/>
      <c r="I124" s="20"/>
      <c r="J124" s="20"/>
      <c r="K124" s="20"/>
      <c r="L124" s="20"/>
      <c r="M124" s="20"/>
      <c r="N124" s="20"/>
      <c r="O124" s="20"/>
      <c r="P124" s="20"/>
      <c r="Q124" s="20"/>
      <c r="R124" s="20"/>
      <c r="S124" s="20"/>
      <c r="T124" s="20"/>
      <c r="U124" s="20"/>
      <c r="V124" s="20"/>
      <c r="W124" s="20"/>
      <c r="X124" s="20"/>
      <c r="Y124" s="20"/>
      <c r="Z124" s="20"/>
      <c r="AA124" s="20"/>
    </row>
    <row r="125" spans="1:27">
      <c r="A125" s="20"/>
      <c r="B125" s="20"/>
      <c r="C125" s="20"/>
      <c r="D125" s="20"/>
      <c r="E125" s="20"/>
      <c r="F125" s="20"/>
      <c r="G125" s="20"/>
      <c r="H125" s="20"/>
      <c r="I125" s="20"/>
      <c r="J125" s="20"/>
      <c r="K125" s="20"/>
      <c r="L125" s="20"/>
      <c r="M125" s="20"/>
      <c r="N125" s="20"/>
      <c r="O125" s="20"/>
      <c r="P125" s="20"/>
      <c r="Q125" s="20"/>
      <c r="R125" s="20"/>
      <c r="S125" s="20"/>
      <c r="T125" s="20"/>
      <c r="U125" s="20"/>
      <c r="V125" s="20"/>
      <c r="W125" s="20"/>
      <c r="X125" s="20"/>
      <c r="Y125" s="20"/>
      <c r="Z125" s="20"/>
      <c r="AA125" s="20"/>
    </row>
    <row r="126" spans="1:27">
      <c r="A126" s="20"/>
      <c r="B126" s="20"/>
      <c r="C126" s="20"/>
      <c r="D126" s="20"/>
      <c r="E126" s="20"/>
      <c r="F126" s="20"/>
      <c r="G126" s="20"/>
      <c r="H126" s="20"/>
      <c r="I126" s="20"/>
      <c r="J126" s="20"/>
      <c r="K126" s="20"/>
      <c r="L126" s="20"/>
      <c r="M126" s="20"/>
      <c r="N126" s="20"/>
      <c r="O126" s="20"/>
      <c r="P126" s="20"/>
      <c r="Q126" s="20"/>
      <c r="R126" s="20"/>
      <c r="S126" s="20"/>
      <c r="T126" s="20"/>
      <c r="U126" s="20"/>
      <c r="V126" s="20"/>
      <c r="W126" s="20"/>
      <c r="X126" s="20"/>
      <c r="Y126" s="20"/>
      <c r="Z126" s="20"/>
      <c r="AA126" s="20"/>
    </row>
    <row r="127" spans="1:27">
      <c r="A127" s="20"/>
      <c r="B127" s="20"/>
      <c r="C127" s="20"/>
      <c r="D127" s="20"/>
      <c r="E127" s="20"/>
      <c r="F127" s="20"/>
      <c r="G127" s="20"/>
      <c r="H127" s="20"/>
      <c r="I127" s="20"/>
      <c r="J127" s="20"/>
      <c r="K127" s="20"/>
      <c r="L127" s="20"/>
      <c r="M127" s="20"/>
      <c r="N127" s="20"/>
      <c r="O127" s="20"/>
      <c r="P127" s="20"/>
      <c r="Q127" s="20"/>
      <c r="R127" s="20"/>
      <c r="S127" s="20"/>
      <c r="T127" s="20"/>
      <c r="U127" s="20"/>
      <c r="V127" s="20"/>
      <c r="W127" s="20"/>
      <c r="X127" s="20"/>
      <c r="Y127" s="20"/>
      <c r="Z127" s="20"/>
      <c r="AA127" s="20"/>
    </row>
    <row r="128" spans="1:27">
      <c r="A128" s="20"/>
      <c r="B128" s="20"/>
      <c r="C128" s="20"/>
      <c r="D128" s="20"/>
      <c r="E128" s="20"/>
      <c r="F128" s="20"/>
      <c r="G128" s="20"/>
      <c r="H128" s="20"/>
      <c r="I128" s="20"/>
      <c r="J128" s="20"/>
      <c r="K128" s="20"/>
      <c r="L128" s="20"/>
      <c r="M128" s="20"/>
      <c r="N128" s="20"/>
      <c r="O128" s="20"/>
      <c r="P128" s="20"/>
      <c r="Q128" s="20"/>
      <c r="R128" s="20"/>
      <c r="S128" s="20"/>
      <c r="T128" s="20"/>
      <c r="U128" s="20"/>
      <c r="V128" s="20"/>
      <c r="W128" s="20"/>
      <c r="X128" s="20"/>
      <c r="Y128" s="20"/>
      <c r="Z128" s="20"/>
      <c r="AA128" s="20"/>
    </row>
    <row r="129" spans="1:27">
      <c r="A129" s="20"/>
      <c r="B129" s="20"/>
      <c r="C129" s="20"/>
      <c r="D129" s="20"/>
      <c r="E129" s="20"/>
      <c r="F129" s="20"/>
      <c r="G129" s="20"/>
      <c r="H129" s="20"/>
      <c r="I129" s="20"/>
      <c r="J129" s="20"/>
      <c r="K129" s="20"/>
      <c r="L129" s="20"/>
      <c r="M129" s="20"/>
      <c r="N129" s="20"/>
      <c r="O129" s="20"/>
      <c r="P129" s="20"/>
      <c r="Q129" s="20"/>
      <c r="R129" s="20"/>
      <c r="S129" s="20"/>
      <c r="T129" s="20"/>
      <c r="U129" s="20"/>
      <c r="V129" s="20"/>
      <c r="W129" s="20"/>
      <c r="X129" s="20"/>
      <c r="Y129" s="20"/>
      <c r="Z129" s="20"/>
      <c r="AA129" s="20"/>
    </row>
    <row r="130" spans="1:27">
      <c r="A130" s="20"/>
      <c r="B130" s="20"/>
      <c r="C130" s="20"/>
      <c r="D130" s="20"/>
      <c r="E130" s="20"/>
      <c r="F130" s="20"/>
      <c r="G130" s="20"/>
      <c r="H130" s="20"/>
      <c r="I130" s="20"/>
      <c r="J130" s="20"/>
      <c r="K130" s="20"/>
      <c r="L130" s="20"/>
      <c r="M130" s="20"/>
      <c r="N130" s="20"/>
      <c r="O130" s="20"/>
      <c r="P130" s="20"/>
      <c r="Q130" s="20"/>
      <c r="R130" s="20"/>
      <c r="S130" s="20"/>
      <c r="T130" s="20"/>
      <c r="U130" s="20"/>
      <c r="V130" s="20"/>
      <c r="W130" s="20"/>
      <c r="X130" s="20"/>
      <c r="Y130" s="20"/>
      <c r="Z130" s="20"/>
      <c r="AA130" s="20"/>
    </row>
    <row r="131" spans="1:27">
      <c r="A131" s="20"/>
      <c r="B131" s="20"/>
      <c r="C131" s="20"/>
      <c r="D131" s="20"/>
      <c r="E131" s="20"/>
      <c r="F131" s="20"/>
      <c r="G131" s="20"/>
      <c r="H131" s="20"/>
      <c r="I131" s="20"/>
      <c r="J131" s="20"/>
      <c r="K131" s="20"/>
      <c r="L131" s="20"/>
      <c r="M131" s="20"/>
      <c r="N131" s="20"/>
      <c r="O131" s="20"/>
      <c r="P131" s="20"/>
      <c r="Q131" s="20"/>
      <c r="R131" s="20"/>
      <c r="S131" s="20"/>
      <c r="T131" s="20"/>
      <c r="U131" s="20"/>
      <c r="V131" s="20"/>
      <c r="W131" s="20"/>
      <c r="X131" s="20"/>
      <c r="Y131" s="20"/>
      <c r="Z131" s="20"/>
      <c r="AA131" s="20"/>
    </row>
    <row r="132" spans="1:27">
      <c r="A132" s="20"/>
      <c r="B132" s="20"/>
      <c r="C132" s="20"/>
      <c r="D132" s="20"/>
      <c r="E132" s="20"/>
      <c r="F132" s="20"/>
      <c r="G132" s="20"/>
      <c r="H132" s="20"/>
      <c r="I132" s="20"/>
      <c r="J132" s="20"/>
      <c r="K132" s="20"/>
      <c r="L132" s="20"/>
      <c r="M132" s="20"/>
      <c r="N132" s="20"/>
      <c r="O132" s="20"/>
      <c r="P132" s="20"/>
      <c r="Q132" s="20"/>
      <c r="R132" s="20"/>
      <c r="S132" s="20"/>
      <c r="T132" s="20"/>
      <c r="U132" s="20"/>
      <c r="V132" s="20"/>
      <c r="W132" s="20"/>
      <c r="X132" s="20"/>
      <c r="Y132" s="20"/>
      <c r="Z132" s="20"/>
      <c r="AA132" s="20"/>
    </row>
    <row r="133" spans="1:27">
      <c r="A133" s="20"/>
      <c r="B133" s="20"/>
      <c r="C133" s="20"/>
      <c r="D133" s="20"/>
      <c r="E133" s="20"/>
      <c r="F133" s="20"/>
      <c r="G133" s="20"/>
      <c r="H133" s="20"/>
      <c r="I133" s="20"/>
      <c r="J133" s="20"/>
      <c r="K133" s="20"/>
      <c r="L133" s="20"/>
      <c r="M133" s="20"/>
      <c r="N133" s="20"/>
      <c r="O133" s="20"/>
      <c r="P133" s="20"/>
      <c r="Q133" s="20"/>
      <c r="R133" s="20"/>
      <c r="S133" s="20"/>
      <c r="T133" s="20"/>
      <c r="U133" s="20"/>
      <c r="V133" s="20"/>
      <c r="W133" s="20"/>
      <c r="X133" s="20"/>
      <c r="Y133" s="20"/>
      <c r="Z133" s="20"/>
      <c r="AA133" s="20"/>
    </row>
    <row r="134" spans="1:27">
      <c r="A134" s="20"/>
      <c r="B134" s="20"/>
      <c r="C134" s="20"/>
      <c r="D134" s="20"/>
      <c r="E134" s="20"/>
      <c r="F134" s="20"/>
      <c r="G134" s="20"/>
      <c r="H134" s="20"/>
      <c r="I134" s="20"/>
      <c r="J134" s="20"/>
      <c r="K134" s="20"/>
      <c r="L134" s="20"/>
      <c r="M134" s="20"/>
      <c r="N134" s="20"/>
      <c r="O134" s="20"/>
      <c r="P134" s="20"/>
      <c r="Q134" s="20"/>
      <c r="R134" s="20"/>
      <c r="S134" s="20"/>
      <c r="T134" s="20"/>
      <c r="U134" s="20"/>
      <c r="V134" s="20"/>
      <c r="W134" s="20"/>
      <c r="X134" s="20"/>
      <c r="Y134" s="20"/>
      <c r="Z134" s="20"/>
      <c r="AA134" s="20"/>
    </row>
    <row r="135" spans="1:27">
      <c r="A135" s="20"/>
      <c r="B135" s="20"/>
      <c r="C135" s="20"/>
      <c r="D135" s="20"/>
      <c r="E135" s="20"/>
      <c r="F135" s="20"/>
      <c r="G135" s="20"/>
      <c r="H135" s="20"/>
      <c r="I135" s="20"/>
      <c r="J135" s="20"/>
      <c r="K135" s="20"/>
      <c r="L135" s="20"/>
      <c r="M135" s="20"/>
      <c r="N135" s="20"/>
      <c r="O135" s="20"/>
      <c r="P135" s="20"/>
      <c r="Q135" s="20"/>
      <c r="R135" s="20"/>
      <c r="S135" s="20"/>
      <c r="T135" s="20"/>
      <c r="U135" s="20"/>
      <c r="V135" s="20"/>
      <c r="W135" s="20"/>
      <c r="X135" s="20"/>
      <c r="Y135" s="20"/>
      <c r="Z135" s="20"/>
      <c r="AA135" s="20"/>
    </row>
    <row r="136" spans="1:27">
      <c r="A136" s="20"/>
      <c r="B136" s="20"/>
      <c r="C136" s="20"/>
      <c r="D136" s="20"/>
      <c r="E136" s="20"/>
      <c r="F136" s="20"/>
      <c r="G136" s="20"/>
      <c r="H136" s="20"/>
      <c r="I136" s="20"/>
      <c r="J136" s="20"/>
      <c r="K136" s="20"/>
      <c r="L136" s="20"/>
      <c r="M136" s="20"/>
      <c r="N136" s="20"/>
      <c r="O136" s="20"/>
      <c r="P136" s="20"/>
      <c r="Q136" s="20"/>
      <c r="R136" s="20"/>
      <c r="S136" s="20"/>
      <c r="T136" s="20"/>
      <c r="U136" s="20"/>
      <c r="V136" s="20"/>
      <c r="W136" s="20"/>
      <c r="X136" s="20"/>
      <c r="Y136" s="20"/>
      <c r="Z136" s="20"/>
      <c r="AA136" s="20"/>
    </row>
    <row r="137" spans="1:27">
      <c r="A137" s="20"/>
      <c r="B137" s="20"/>
      <c r="C137" s="20"/>
      <c r="D137" s="20"/>
      <c r="E137" s="20"/>
      <c r="F137" s="20"/>
      <c r="G137" s="20"/>
      <c r="H137" s="20"/>
      <c r="I137" s="20"/>
      <c r="J137" s="20"/>
      <c r="K137" s="20"/>
      <c r="L137" s="20"/>
      <c r="M137" s="20"/>
      <c r="N137" s="20"/>
      <c r="O137" s="20"/>
      <c r="P137" s="20"/>
      <c r="Q137" s="20"/>
      <c r="R137" s="20"/>
      <c r="S137" s="20"/>
      <c r="T137" s="20"/>
      <c r="U137" s="20"/>
      <c r="V137" s="20"/>
      <c r="W137" s="20"/>
      <c r="X137" s="20"/>
      <c r="Y137" s="20"/>
      <c r="Z137" s="20"/>
      <c r="AA137" s="20"/>
    </row>
    <row r="138" spans="1:27">
      <c r="A138" s="20"/>
      <c r="B138" s="20"/>
      <c r="C138" s="20"/>
      <c r="D138" s="20"/>
      <c r="E138" s="20"/>
      <c r="F138" s="20"/>
      <c r="G138" s="20"/>
      <c r="H138" s="20"/>
      <c r="I138" s="20"/>
      <c r="J138" s="20"/>
      <c r="K138" s="20"/>
      <c r="L138" s="20"/>
      <c r="M138" s="20"/>
      <c r="N138" s="20"/>
      <c r="O138" s="20"/>
      <c r="P138" s="20"/>
      <c r="Q138" s="20"/>
      <c r="R138" s="20"/>
      <c r="S138" s="20"/>
      <c r="T138" s="20"/>
      <c r="U138" s="20"/>
      <c r="V138" s="20"/>
      <c r="W138" s="20"/>
      <c r="X138" s="20"/>
      <c r="Y138" s="20"/>
      <c r="Z138" s="20"/>
      <c r="AA138" s="20"/>
    </row>
    <row r="139" spans="1:27">
      <c r="A139" s="20"/>
      <c r="B139" s="20"/>
      <c r="C139" s="20"/>
      <c r="D139" s="20"/>
      <c r="E139" s="20"/>
      <c r="F139" s="20"/>
      <c r="G139" s="20"/>
      <c r="H139" s="20"/>
      <c r="I139" s="20"/>
      <c r="J139" s="20"/>
      <c r="K139" s="20"/>
      <c r="L139" s="20"/>
      <c r="M139" s="20"/>
      <c r="N139" s="20"/>
      <c r="O139" s="20"/>
      <c r="P139" s="20"/>
      <c r="Q139" s="20"/>
      <c r="R139" s="20"/>
      <c r="S139" s="20"/>
      <c r="T139" s="20"/>
      <c r="U139" s="20"/>
      <c r="V139" s="20"/>
      <c r="W139" s="20"/>
      <c r="X139" s="20"/>
      <c r="Y139" s="20"/>
      <c r="Z139" s="20"/>
      <c r="AA139" s="20"/>
    </row>
    <row r="140" spans="1:27">
      <c r="A140" s="20"/>
      <c r="B140" s="20"/>
      <c r="C140" s="20"/>
      <c r="D140" s="20"/>
      <c r="E140" s="20"/>
      <c r="F140" s="20"/>
      <c r="G140" s="20"/>
      <c r="H140" s="20"/>
      <c r="I140" s="20"/>
      <c r="J140" s="20"/>
      <c r="K140" s="20"/>
      <c r="L140" s="20"/>
      <c r="M140" s="20"/>
      <c r="N140" s="20"/>
      <c r="O140" s="20"/>
      <c r="P140" s="20"/>
      <c r="Q140" s="20"/>
      <c r="R140" s="20"/>
      <c r="S140" s="20"/>
      <c r="T140" s="20"/>
      <c r="U140" s="20"/>
      <c r="V140" s="20"/>
      <c r="W140" s="20"/>
      <c r="X140" s="20"/>
      <c r="Y140" s="20"/>
      <c r="Z140" s="20"/>
      <c r="AA140" s="20"/>
    </row>
    <row r="141" spans="1:27">
      <c r="A141" s="20"/>
      <c r="B141" s="20"/>
      <c r="C141" s="20"/>
      <c r="D141" s="20"/>
      <c r="E141" s="20"/>
      <c r="F141" s="20"/>
      <c r="G141" s="20"/>
      <c r="H141" s="20"/>
      <c r="I141" s="20"/>
      <c r="J141" s="20"/>
      <c r="K141" s="20"/>
      <c r="L141" s="20"/>
      <c r="M141" s="20"/>
      <c r="N141" s="20"/>
      <c r="O141" s="20"/>
      <c r="P141" s="20"/>
      <c r="Q141" s="20"/>
      <c r="R141" s="20"/>
      <c r="S141" s="20"/>
      <c r="T141" s="20"/>
      <c r="U141" s="20"/>
      <c r="V141" s="20"/>
      <c r="W141" s="20"/>
      <c r="X141" s="20"/>
      <c r="Y141" s="20"/>
      <c r="Z141" s="20"/>
      <c r="AA141" s="20"/>
    </row>
    <row r="142" spans="1:27">
      <c r="A142" s="20"/>
      <c r="B142" s="20"/>
      <c r="C142" s="20"/>
      <c r="D142" s="20"/>
      <c r="E142" s="20"/>
      <c r="F142" s="20"/>
      <c r="G142" s="20"/>
      <c r="H142" s="20"/>
      <c r="I142" s="20"/>
      <c r="J142" s="20"/>
      <c r="K142" s="20"/>
      <c r="L142" s="20"/>
      <c r="M142" s="20"/>
      <c r="N142" s="20"/>
      <c r="O142" s="20"/>
      <c r="P142" s="20"/>
      <c r="Q142" s="20"/>
      <c r="R142" s="20"/>
      <c r="S142" s="20"/>
      <c r="T142" s="20"/>
      <c r="U142" s="20"/>
      <c r="V142" s="20"/>
      <c r="W142" s="20"/>
      <c r="X142" s="20"/>
      <c r="Y142" s="20"/>
      <c r="Z142" s="20"/>
      <c r="AA142" s="20"/>
    </row>
    <row r="143" spans="1:27">
      <c r="A143" s="20"/>
      <c r="B143" s="20"/>
      <c r="C143" s="20"/>
      <c r="D143" s="20"/>
      <c r="E143" s="20"/>
      <c r="F143" s="20"/>
      <c r="G143" s="20"/>
      <c r="H143" s="20"/>
      <c r="I143" s="20"/>
      <c r="J143" s="20"/>
      <c r="K143" s="20"/>
      <c r="L143" s="20"/>
      <c r="M143" s="20"/>
      <c r="N143" s="20"/>
      <c r="O143" s="20"/>
      <c r="P143" s="20"/>
      <c r="Q143" s="20"/>
      <c r="R143" s="20"/>
      <c r="S143" s="20"/>
      <c r="T143" s="20"/>
      <c r="U143" s="20"/>
      <c r="V143" s="20"/>
      <c r="W143" s="20"/>
      <c r="X143" s="20"/>
      <c r="Y143" s="20"/>
      <c r="Z143" s="20"/>
      <c r="AA143" s="20"/>
    </row>
    <row r="144" spans="1:27">
      <c r="A144" s="20"/>
      <c r="B144" s="20"/>
      <c r="C144" s="20"/>
      <c r="D144" s="20"/>
      <c r="E144" s="20"/>
      <c r="F144" s="20"/>
      <c r="G144" s="20"/>
      <c r="H144" s="20"/>
      <c r="I144" s="20"/>
      <c r="J144" s="20"/>
      <c r="K144" s="20"/>
      <c r="L144" s="20"/>
      <c r="M144" s="20"/>
      <c r="N144" s="20"/>
      <c r="O144" s="20"/>
      <c r="P144" s="20"/>
      <c r="Q144" s="20"/>
      <c r="R144" s="20"/>
      <c r="S144" s="20"/>
      <c r="T144" s="20"/>
      <c r="U144" s="20"/>
      <c r="V144" s="20"/>
      <c r="W144" s="20"/>
      <c r="X144" s="20"/>
      <c r="Y144" s="20"/>
      <c r="Z144" s="20"/>
      <c r="AA144" s="20"/>
    </row>
    <row r="145" spans="1:27">
      <c r="A145" s="20"/>
      <c r="B145" s="20"/>
      <c r="C145" s="20"/>
      <c r="D145" s="20"/>
      <c r="E145" s="20"/>
      <c r="F145" s="20"/>
      <c r="G145" s="20"/>
      <c r="H145" s="20"/>
      <c r="I145" s="20"/>
      <c r="J145" s="20"/>
      <c r="K145" s="20"/>
      <c r="L145" s="20"/>
      <c r="M145" s="20"/>
      <c r="N145" s="20"/>
      <c r="O145" s="20"/>
      <c r="P145" s="20"/>
      <c r="Q145" s="20"/>
      <c r="R145" s="20"/>
      <c r="S145" s="20"/>
      <c r="T145" s="20"/>
      <c r="U145" s="20"/>
      <c r="V145" s="20"/>
      <c r="W145" s="20"/>
      <c r="X145" s="20"/>
      <c r="Y145" s="20"/>
      <c r="Z145" s="20"/>
      <c r="AA145" s="20"/>
    </row>
    <row r="146" spans="1:27">
      <c r="A146" s="20"/>
      <c r="B146" s="20"/>
      <c r="C146" s="20"/>
      <c r="D146" s="20"/>
      <c r="E146" s="20"/>
      <c r="F146" s="20"/>
      <c r="G146" s="20"/>
      <c r="H146" s="20"/>
      <c r="I146" s="20"/>
      <c r="J146" s="20"/>
      <c r="K146" s="20"/>
      <c r="L146" s="20"/>
      <c r="M146" s="20"/>
      <c r="N146" s="20"/>
      <c r="O146" s="20"/>
      <c r="P146" s="20"/>
      <c r="Q146" s="20"/>
      <c r="R146" s="20"/>
      <c r="S146" s="20"/>
      <c r="T146" s="20"/>
      <c r="U146" s="20"/>
      <c r="V146" s="20"/>
      <c r="W146" s="20"/>
      <c r="X146" s="20"/>
      <c r="Y146" s="20"/>
      <c r="Z146" s="20"/>
      <c r="AA146" s="20"/>
    </row>
    <row r="147" spans="1:27">
      <c r="A147" s="20"/>
      <c r="B147" s="20"/>
      <c r="C147" s="20"/>
      <c r="D147" s="20"/>
      <c r="E147" s="20"/>
      <c r="F147" s="20"/>
      <c r="G147" s="20"/>
      <c r="H147" s="20"/>
      <c r="I147" s="20"/>
      <c r="J147" s="20"/>
      <c r="K147" s="20"/>
      <c r="L147" s="20"/>
      <c r="M147" s="20"/>
      <c r="N147" s="20"/>
      <c r="O147" s="20"/>
      <c r="P147" s="20"/>
      <c r="Q147" s="20"/>
      <c r="R147" s="20"/>
      <c r="S147" s="20"/>
      <c r="T147" s="20"/>
      <c r="U147" s="20"/>
      <c r="V147" s="20"/>
      <c r="W147" s="20"/>
      <c r="X147" s="20"/>
      <c r="Y147" s="20"/>
      <c r="Z147" s="20"/>
      <c r="AA147" s="20"/>
    </row>
    <row r="148" spans="1:27">
      <c r="A148" s="20"/>
      <c r="B148" s="20"/>
      <c r="C148" s="20"/>
      <c r="D148" s="20"/>
      <c r="E148" s="20"/>
      <c r="F148" s="20"/>
      <c r="G148" s="20"/>
      <c r="H148" s="20"/>
      <c r="I148" s="20"/>
      <c r="J148" s="20"/>
      <c r="K148" s="20"/>
      <c r="L148" s="20"/>
      <c r="M148" s="20"/>
      <c r="N148" s="20"/>
      <c r="O148" s="20"/>
      <c r="P148" s="20"/>
      <c r="Q148" s="20"/>
      <c r="R148" s="20"/>
      <c r="S148" s="20"/>
      <c r="T148" s="20"/>
      <c r="U148" s="20"/>
      <c r="V148" s="20"/>
      <c r="W148" s="20"/>
      <c r="X148" s="20"/>
      <c r="Y148" s="20"/>
      <c r="Z148" s="20"/>
      <c r="AA148" s="20"/>
    </row>
    <row r="149" spans="1:27">
      <c r="A149" s="20"/>
      <c r="B149" s="20"/>
      <c r="C149" s="20"/>
      <c r="D149" s="20"/>
      <c r="E149" s="20"/>
      <c r="F149" s="20"/>
      <c r="G149" s="20"/>
      <c r="H149" s="20"/>
      <c r="I149" s="20"/>
      <c r="J149" s="20"/>
      <c r="K149" s="20"/>
      <c r="L149" s="20"/>
      <c r="M149" s="20"/>
      <c r="N149" s="20"/>
      <c r="O149" s="20"/>
      <c r="P149" s="20"/>
      <c r="Q149" s="20"/>
      <c r="R149" s="20"/>
      <c r="S149" s="20"/>
      <c r="T149" s="20"/>
      <c r="U149" s="20"/>
      <c r="V149" s="20"/>
      <c r="W149" s="20"/>
      <c r="X149" s="20"/>
      <c r="Y149" s="20"/>
      <c r="Z149" s="20"/>
      <c r="AA149" s="20"/>
    </row>
    <row r="150" spans="1:27">
      <c r="A150" s="20"/>
      <c r="B150" s="20"/>
      <c r="C150" s="20"/>
      <c r="D150" s="20"/>
      <c r="E150" s="20"/>
      <c r="F150" s="20"/>
      <c r="G150" s="20"/>
      <c r="H150" s="20"/>
      <c r="I150" s="20"/>
      <c r="J150" s="20"/>
      <c r="K150" s="20"/>
      <c r="L150" s="20"/>
      <c r="M150" s="20"/>
      <c r="N150" s="20"/>
      <c r="O150" s="20"/>
      <c r="P150" s="20"/>
      <c r="Q150" s="20"/>
      <c r="R150" s="20"/>
      <c r="S150" s="20"/>
      <c r="T150" s="20"/>
      <c r="U150" s="20"/>
      <c r="V150" s="20"/>
      <c r="W150" s="20"/>
      <c r="X150" s="20"/>
      <c r="Y150" s="20"/>
      <c r="Z150" s="20"/>
      <c r="AA150" s="20"/>
    </row>
    <row r="151" spans="1:27">
      <c r="A151" s="20"/>
      <c r="B151" s="20"/>
      <c r="C151" s="20"/>
      <c r="D151" s="20"/>
      <c r="E151" s="20"/>
      <c r="F151" s="20"/>
      <c r="G151" s="20"/>
      <c r="H151" s="20"/>
      <c r="I151" s="20"/>
      <c r="J151" s="20"/>
      <c r="K151" s="20"/>
      <c r="L151" s="20"/>
      <c r="M151" s="20"/>
      <c r="N151" s="20"/>
      <c r="O151" s="20"/>
      <c r="P151" s="20"/>
      <c r="Q151" s="20"/>
      <c r="R151" s="20"/>
      <c r="S151" s="20"/>
      <c r="T151" s="20"/>
      <c r="U151" s="20"/>
      <c r="V151" s="20"/>
      <c r="W151" s="20"/>
      <c r="X151" s="20"/>
      <c r="Y151" s="20"/>
      <c r="Z151" s="20"/>
      <c r="AA151" s="20"/>
    </row>
    <row r="152" spans="1:27">
      <c r="A152" s="20"/>
      <c r="B152" s="20"/>
      <c r="C152" s="20"/>
      <c r="D152" s="20"/>
      <c r="E152" s="20"/>
      <c r="F152" s="20"/>
      <c r="G152" s="20"/>
      <c r="H152" s="20"/>
      <c r="I152" s="20"/>
      <c r="J152" s="20"/>
      <c r="K152" s="20"/>
      <c r="L152" s="20"/>
      <c r="M152" s="20"/>
      <c r="N152" s="20"/>
      <c r="O152" s="20"/>
      <c r="P152" s="20"/>
      <c r="Q152" s="20"/>
      <c r="R152" s="20"/>
      <c r="S152" s="20"/>
      <c r="T152" s="20"/>
      <c r="U152" s="20"/>
      <c r="V152" s="20"/>
      <c r="W152" s="20"/>
      <c r="X152" s="20"/>
      <c r="Y152" s="20"/>
      <c r="Z152" s="20"/>
      <c r="AA152" s="20"/>
    </row>
    <row r="153" spans="1:27">
      <c r="A153" s="20"/>
      <c r="B153" s="20"/>
      <c r="C153" s="20"/>
      <c r="D153" s="20"/>
      <c r="E153" s="20"/>
      <c r="F153" s="20"/>
      <c r="G153" s="20"/>
      <c r="H153" s="20"/>
      <c r="I153" s="20"/>
      <c r="J153" s="20"/>
      <c r="K153" s="20"/>
      <c r="L153" s="20"/>
      <c r="M153" s="20"/>
      <c r="N153" s="20"/>
      <c r="O153" s="20"/>
      <c r="P153" s="20"/>
      <c r="Q153" s="20"/>
      <c r="R153" s="20"/>
      <c r="S153" s="20"/>
      <c r="T153" s="20"/>
      <c r="U153" s="20"/>
      <c r="V153" s="20"/>
      <c r="W153" s="20"/>
      <c r="X153" s="20"/>
      <c r="Y153" s="20"/>
      <c r="Z153" s="20"/>
      <c r="AA153" s="20"/>
    </row>
    <row r="154" spans="1:27">
      <c r="A154" s="20"/>
      <c r="B154" s="20"/>
      <c r="C154" s="20"/>
      <c r="D154" s="20"/>
      <c r="E154" s="20"/>
      <c r="F154" s="20"/>
      <c r="G154" s="20"/>
      <c r="H154" s="20"/>
      <c r="I154" s="20"/>
      <c r="J154" s="20"/>
      <c r="K154" s="20"/>
      <c r="L154" s="20"/>
      <c r="M154" s="20"/>
      <c r="N154" s="20"/>
      <c r="O154" s="20"/>
      <c r="P154" s="20"/>
      <c r="Q154" s="20"/>
      <c r="R154" s="20"/>
      <c r="S154" s="20"/>
      <c r="T154" s="20"/>
      <c r="U154" s="20"/>
      <c r="V154" s="20"/>
      <c r="W154" s="20"/>
      <c r="X154" s="20"/>
      <c r="Y154" s="20"/>
      <c r="Z154" s="20"/>
      <c r="AA154" s="20"/>
    </row>
    <row r="155" spans="1:27">
      <c r="A155" s="20"/>
      <c r="B155" s="20"/>
      <c r="C155" s="20"/>
      <c r="D155" s="20"/>
      <c r="E155" s="20"/>
      <c r="F155" s="20"/>
      <c r="G155" s="20"/>
      <c r="H155" s="20"/>
      <c r="I155" s="20"/>
      <c r="J155" s="20"/>
      <c r="K155" s="20"/>
      <c r="L155" s="20"/>
      <c r="M155" s="20"/>
      <c r="N155" s="20"/>
      <c r="O155" s="20"/>
      <c r="P155" s="20"/>
      <c r="Q155" s="20"/>
      <c r="R155" s="20"/>
      <c r="S155" s="20"/>
      <c r="T155" s="20"/>
      <c r="U155" s="20"/>
      <c r="V155" s="20"/>
      <c r="W155" s="20"/>
      <c r="X155" s="20"/>
      <c r="Y155" s="20"/>
      <c r="Z155" s="20"/>
      <c r="AA155" s="20"/>
    </row>
    <row r="156" spans="1:27">
      <c r="A156" s="20"/>
      <c r="B156" s="20"/>
      <c r="C156" s="20"/>
      <c r="D156" s="20"/>
      <c r="E156" s="20"/>
      <c r="F156" s="20"/>
      <c r="G156" s="20"/>
      <c r="H156" s="20"/>
      <c r="I156" s="20"/>
      <c r="J156" s="20"/>
      <c r="K156" s="20"/>
      <c r="L156" s="20"/>
      <c r="M156" s="20"/>
      <c r="N156" s="20"/>
      <c r="O156" s="20"/>
      <c r="P156" s="20"/>
      <c r="Q156" s="20"/>
      <c r="R156" s="20"/>
      <c r="S156" s="20"/>
      <c r="T156" s="20"/>
      <c r="U156" s="20"/>
      <c r="V156" s="20"/>
      <c r="W156" s="20"/>
      <c r="X156" s="20"/>
      <c r="Y156" s="20"/>
      <c r="Z156" s="20"/>
      <c r="AA156" s="20"/>
    </row>
    <row r="157" spans="1:27">
      <c r="A157" s="20"/>
      <c r="B157" s="20"/>
      <c r="C157" s="20"/>
      <c r="D157" s="20"/>
      <c r="E157" s="20"/>
      <c r="F157" s="20"/>
      <c r="G157" s="20"/>
      <c r="H157" s="20"/>
      <c r="I157" s="20"/>
      <c r="J157" s="20"/>
      <c r="K157" s="20"/>
      <c r="L157" s="20"/>
      <c r="M157" s="20"/>
      <c r="N157" s="20"/>
      <c r="O157" s="20"/>
      <c r="P157" s="20"/>
      <c r="Q157" s="20"/>
      <c r="R157" s="20"/>
      <c r="S157" s="20"/>
      <c r="T157" s="20"/>
      <c r="U157" s="20"/>
      <c r="V157" s="20"/>
      <c r="W157" s="20"/>
      <c r="X157" s="20"/>
      <c r="Y157" s="20"/>
      <c r="Z157" s="20"/>
      <c r="AA157" s="20"/>
    </row>
    <row r="158" spans="1:27">
      <c r="A158" s="20"/>
      <c r="B158" s="20"/>
      <c r="C158" s="20"/>
      <c r="D158" s="20"/>
      <c r="E158" s="20"/>
      <c r="F158" s="20"/>
      <c r="G158" s="20"/>
      <c r="H158" s="20"/>
      <c r="I158" s="20"/>
      <c r="J158" s="20"/>
      <c r="K158" s="20"/>
      <c r="L158" s="20"/>
      <c r="M158" s="20"/>
      <c r="N158" s="20"/>
      <c r="O158" s="20"/>
      <c r="P158" s="20"/>
      <c r="Q158" s="20"/>
      <c r="R158" s="20"/>
      <c r="S158" s="20"/>
      <c r="T158" s="20"/>
      <c r="U158" s="20"/>
      <c r="V158" s="20"/>
      <c r="W158" s="20"/>
      <c r="X158" s="20"/>
      <c r="Y158" s="20"/>
      <c r="Z158" s="20"/>
      <c r="AA158" s="20"/>
    </row>
    <row r="159" spans="1:27">
      <c r="A159" s="20"/>
      <c r="B159" s="20"/>
      <c r="C159" s="20"/>
      <c r="D159" s="20"/>
      <c r="E159" s="20"/>
      <c r="F159" s="20"/>
      <c r="G159" s="20"/>
      <c r="H159" s="20"/>
      <c r="I159" s="20"/>
      <c r="J159" s="20"/>
      <c r="K159" s="20"/>
      <c r="L159" s="20"/>
      <c r="M159" s="20"/>
      <c r="N159" s="20"/>
      <c r="O159" s="20"/>
      <c r="P159" s="20"/>
      <c r="Q159" s="20"/>
      <c r="R159" s="20"/>
      <c r="S159" s="20"/>
      <c r="T159" s="20"/>
      <c r="U159" s="20"/>
      <c r="V159" s="20"/>
      <c r="W159" s="20"/>
      <c r="X159" s="20"/>
      <c r="Y159" s="20"/>
      <c r="Z159" s="20"/>
      <c r="AA159" s="20"/>
    </row>
    <row r="160" spans="1:27">
      <c r="A160" s="20"/>
      <c r="B160" s="20"/>
      <c r="C160" s="20"/>
      <c r="D160" s="20"/>
      <c r="E160" s="20"/>
      <c r="F160" s="20"/>
      <c r="G160" s="20"/>
      <c r="H160" s="20"/>
      <c r="I160" s="20"/>
      <c r="J160" s="20"/>
      <c r="K160" s="20"/>
      <c r="L160" s="20"/>
      <c r="M160" s="20"/>
      <c r="N160" s="20"/>
      <c r="O160" s="20"/>
      <c r="P160" s="20"/>
      <c r="Q160" s="20"/>
      <c r="R160" s="20"/>
      <c r="S160" s="20"/>
      <c r="T160" s="20"/>
      <c r="U160" s="20"/>
      <c r="V160" s="20"/>
      <c r="W160" s="20"/>
      <c r="X160" s="20"/>
      <c r="Y160" s="20"/>
      <c r="Z160" s="20"/>
      <c r="AA160" s="20"/>
    </row>
    <row r="161" spans="1:27">
      <c r="A161" s="20"/>
      <c r="B161" s="20"/>
      <c r="C161" s="20"/>
      <c r="D161" s="20"/>
      <c r="E161" s="20"/>
      <c r="F161" s="20"/>
      <c r="G161" s="20"/>
      <c r="H161" s="20"/>
      <c r="I161" s="20"/>
      <c r="J161" s="20"/>
      <c r="K161" s="20"/>
      <c r="L161" s="20"/>
      <c r="M161" s="20"/>
      <c r="N161" s="20"/>
      <c r="O161" s="20"/>
      <c r="P161" s="20"/>
      <c r="Q161" s="20"/>
      <c r="R161" s="20"/>
      <c r="S161" s="20"/>
      <c r="T161" s="20"/>
      <c r="U161" s="20"/>
      <c r="V161" s="20"/>
      <c r="W161" s="20"/>
      <c r="X161" s="20"/>
      <c r="Y161" s="20"/>
      <c r="Z161" s="20"/>
      <c r="AA161" s="20"/>
    </row>
    <row r="162" spans="1:27">
      <c r="A162" s="20"/>
      <c r="B162" s="20"/>
      <c r="C162" s="20"/>
      <c r="D162" s="20"/>
      <c r="E162" s="20"/>
      <c r="F162" s="20"/>
      <c r="G162" s="20"/>
      <c r="H162" s="20"/>
      <c r="I162" s="20"/>
      <c r="J162" s="20"/>
      <c r="K162" s="20"/>
      <c r="L162" s="20"/>
      <c r="M162" s="20"/>
      <c r="N162" s="20"/>
      <c r="O162" s="20"/>
      <c r="P162" s="20"/>
      <c r="Q162" s="20"/>
      <c r="R162" s="20"/>
      <c r="S162" s="20"/>
      <c r="T162" s="20"/>
      <c r="U162" s="20"/>
      <c r="V162" s="20"/>
      <c r="W162" s="20"/>
      <c r="X162" s="20"/>
      <c r="Y162" s="20"/>
      <c r="Z162" s="20"/>
      <c r="AA162" s="20"/>
    </row>
    <row r="163" spans="1:27">
      <c r="A163" s="20"/>
      <c r="B163" s="20"/>
      <c r="C163" s="20"/>
      <c r="D163" s="20"/>
      <c r="E163" s="20"/>
      <c r="F163" s="20"/>
      <c r="G163" s="20"/>
      <c r="H163" s="20"/>
      <c r="I163" s="20"/>
      <c r="J163" s="20"/>
      <c r="K163" s="20"/>
      <c r="L163" s="20"/>
      <c r="M163" s="20"/>
      <c r="N163" s="20"/>
      <c r="O163" s="20"/>
      <c r="P163" s="20"/>
      <c r="Q163" s="20"/>
      <c r="R163" s="20"/>
      <c r="S163" s="20"/>
      <c r="T163" s="20"/>
      <c r="U163" s="20"/>
      <c r="V163" s="20"/>
      <c r="W163" s="20"/>
      <c r="X163" s="20"/>
      <c r="Y163" s="20"/>
      <c r="Z163" s="20"/>
      <c r="AA163" s="20"/>
    </row>
    <row r="164" spans="1:27">
      <c r="A164" s="20"/>
      <c r="B164" s="20"/>
      <c r="C164" s="20"/>
      <c r="D164" s="20"/>
      <c r="E164" s="20"/>
      <c r="F164" s="20"/>
      <c r="G164" s="20"/>
      <c r="H164" s="20"/>
      <c r="I164" s="20"/>
      <c r="J164" s="20"/>
      <c r="K164" s="20"/>
      <c r="L164" s="20"/>
      <c r="M164" s="20"/>
      <c r="N164" s="20"/>
      <c r="O164" s="20"/>
      <c r="P164" s="20"/>
      <c r="Q164" s="20"/>
      <c r="R164" s="20"/>
      <c r="S164" s="20"/>
      <c r="T164" s="20"/>
      <c r="U164" s="20"/>
      <c r="V164" s="20"/>
      <c r="W164" s="20"/>
      <c r="X164" s="20"/>
      <c r="Y164" s="20"/>
      <c r="Z164" s="20"/>
      <c r="AA164" s="20"/>
    </row>
    <row r="165" spans="1:27">
      <c r="A165" s="20"/>
      <c r="B165" s="20"/>
      <c r="C165" s="20"/>
      <c r="D165" s="20"/>
      <c r="E165" s="20"/>
      <c r="F165" s="20"/>
      <c r="G165" s="20"/>
      <c r="H165" s="20"/>
      <c r="I165" s="20"/>
      <c r="J165" s="20"/>
      <c r="K165" s="20"/>
      <c r="L165" s="20"/>
      <c r="M165" s="20"/>
      <c r="N165" s="20"/>
      <c r="O165" s="20"/>
      <c r="P165" s="20"/>
      <c r="Q165" s="20"/>
      <c r="R165" s="20"/>
      <c r="S165" s="20"/>
      <c r="T165" s="20"/>
      <c r="U165" s="20"/>
      <c r="V165" s="20"/>
      <c r="W165" s="20"/>
      <c r="X165" s="20"/>
      <c r="Y165" s="20"/>
      <c r="Z165" s="20"/>
      <c r="AA165" s="20"/>
    </row>
    <row r="166" spans="1:27">
      <c r="A166" s="20"/>
      <c r="B166" s="20"/>
      <c r="C166" s="20"/>
      <c r="D166" s="20"/>
      <c r="E166" s="20"/>
      <c r="F166" s="20"/>
      <c r="G166" s="20"/>
      <c r="H166" s="20"/>
      <c r="I166" s="20"/>
      <c r="J166" s="20"/>
      <c r="K166" s="20"/>
      <c r="L166" s="20"/>
      <c r="M166" s="20"/>
      <c r="N166" s="20"/>
      <c r="O166" s="20"/>
      <c r="P166" s="20"/>
      <c r="Q166" s="20"/>
      <c r="R166" s="20"/>
      <c r="S166" s="20"/>
      <c r="T166" s="20"/>
      <c r="U166" s="20"/>
      <c r="V166" s="20"/>
      <c r="W166" s="20"/>
      <c r="X166" s="20"/>
      <c r="Y166" s="20"/>
      <c r="Z166" s="20"/>
      <c r="AA166" s="20"/>
    </row>
    <row r="167" spans="1:27">
      <c r="A167" s="20"/>
      <c r="B167" s="20"/>
      <c r="C167" s="20"/>
      <c r="D167" s="20"/>
      <c r="E167" s="20"/>
      <c r="F167" s="20"/>
      <c r="G167" s="20"/>
      <c r="H167" s="20"/>
      <c r="I167" s="20"/>
      <c r="J167" s="20"/>
      <c r="K167" s="20"/>
      <c r="L167" s="20"/>
      <c r="M167" s="20"/>
      <c r="N167" s="20"/>
      <c r="O167" s="20"/>
      <c r="P167" s="20"/>
      <c r="Q167" s="20"/>
      <c r="R167" s="20"/>
      <c r="S167" s="20"/>
      <c r="T167" s="20"/>
      <c r="U167" s="20"/>
      <c r="V167" s="20"/>
      <c r="W167" s="20"/>
      <c r="X167" s="20"/>
      <c r="Y167" s="20"/>
      <c r="Z167" s="20"/>
      <c r="AA167" s="20"/>
    </row>
    <row r="168" spans="1:27">
      <c r="A168" s="20"/>
      <c r="B168" s="20"/>
      <c r="C168" s="20"/>
      <c r="D168" s="20"/>
      <c r="E168" s="20"/>
      <c r="F168" s="20"/>
      <c r="G168" s="20"/>
      <c r="H168" s="20"/>
      <c r="I168" s="20"/>
      <c r="J168" s="20"/>
      <c r="K168" s="20"/>
      <c r="L168" s="20"/>
      <c r="M168" s="20"/>
      <c r="N168" s="20"/>
      <c r="O168" s="20"/>
      <c r="P168" s="20"/>
      <c r="Q168" s="20"/>
      <c r="R168" s="20"/>
      <c r="S168" s="20"/>
      <c r="T168" s="20"/>
      <c r="U168" s="20"/>
      <c r="V168" s="20"/>
      <c r="W168" s="20"/>
      <c r="X168" s="20"/>
      <c r="Y168" s="20"/>
      <c r="Z168" s="20"/>
      <c r="AA168" s="20"/>
    </row>
    <row r="169" spans="1:27">
      <c r="A169" s="20"/>
      <c r="B169" s="20"/>
      <c r="C169" s="20"/>
      <c r="D169" s="20"/>
      <c r="E169" s="20"/>
      <c r="F169" s="20"/>
      <c r="G169" s="20"/>
      <c r="H169" s="20"/>
      <c r="I169" s="20"/>
      <c r="J169" s="20"/>
      <c r="K169" s="20"/>
      <c r="L169" s="20"/>
      <c r="M169" s="20"/>
      <c r="N169" s="20"/>
      <c r="O169" s="20"/>
      <c r="P169" s="20"/>
      <c r="Q169" s="20"/>
      <c r="R169" s="20"/>
      <c r="S169" s="20"/>
      <c r="T169" s="20"/>
      <c r="U169" s="20"/>
      <c r="V169" s="20"/>
      <c r="W169" s="20"/>
      <c r="X169" s="20"/>
      <c r="Y169" s="20"/>
      <c r="Z169" s="20"/>
      <c r="AA169" s="20"/>
    </row>
    <row r="170" spans="1:27">
      <c r="A170" s="20"/>
      <c r="B170" s="20"/>
      <c r="C170" s="20"/>
      <c r="D170" s="20"/>
      <c r="E170" s="20"/>
      <c r="F170" s="20"/>
      <c r="G170" s="20"/>
      <c r="H170" s="20"/>
      <c r="I170" s="20"/>
      <c r="J170" s="20"/>
      <c r="K170" s="20"/>
      <c r="L170" s="20"/>
      <c r="M170" s="20"/>
      <c r="N170" s="20"/>
      <c r="O170" s="20"/>
      <c r="P170" s="20"/>
      <c r="Q170" s="20"/>
      <c r="R170" s="20"/>
      <c r="S170" s="20"/>
      <c r="T170" s="20"/>
      <c r="U170" s="20"/>
      <c r="V170" s="20"/>
      <c r="W170" s="20"/>
      <c r="X170" s="20"/>
      <c r="Y170" s="20"/>
      <c r="Z170" s="20"/>
      <c r="AA170" s="20"/>
    </row>
    <row r="171" spans="1:27">
      <c r="A171" s="20"/>
      <c r="B171" s="20"/>
      <c r="C171" s="20"/>
      <c r="D171" s="20"/>
      <c r="E171" s="20"/>
      <c r="F171" s="20"/>
      <c r="G171" s="20"/>
      <c r="H171" s="20"/>
      <c r="I171" s="20"/>
      <c r="J171" s="20"/>
      <c r="K171" s="20"/>
      <c r="L171" s="20"/>
      <c r="M171" s="20"/>
      <c r="N171" s="20"/>
      <c r="O171" s="20"/>
      <c r="P171" s="20"/>
      <c r="Q171" s="20"/>
      <c r="R171" s="20"/>
      <c r="S171" s="20"/>
      <c r="T171" s="20"/>
      <c r="U171" s="20"/>
      <c r="V171" s="20"/>
      <c r="W171" s="20"/>
      <c r="X171" s="20"/>
      <c r="Y171" s="20"/>
      <c r="Z171" s="20"/>
      <c r="AA171" s="20"/>
    </row>
    <row r="172" spans="1:27">
      <c r="A172" s="20"/>
      <c r="B172" s="20"/>
      <c r="C172" s="20"/>
      <c r="D172" s="20"/>
      <c r="E172" s="20"/>
      <c r="F172" s="20"/>
      <c r="G172" s="20"/>
      <c r="H172" s="20"/>
      <c r="I172" s="20"/>
      <c r="J172" s="20"/>
      <c r="K172" s="20"/>
      <c r="L172" s="20"/>
      <c r="M172" s="20"/>
      <c r="N172" s="20"/>
      <c r="O172" s="20"/>
      <c r="P172" s="20"/>
      <c r="Q172" s="20"/>
      <c r="R172" s="20"/>
      <c r="S172" s="20"/>
      <c r="T172" s="20"/>
      <c r="U172" s="20"/>
      <c r="V172" s="20"/>
      <c r="W172" s="20"/>
      <c r="X172" s="20"/>
      <c r="Y172" s="20"/>
      <c r="Z172" s="20"/>
      <c r="AA172" s="20"/>
    </row>
    <row r="173" spans="1:27">
      <c r="A173" s="20"/>
      <c r="B173" s="20"/>
      <c r="C173" s="20"/>
      <c r="D173" s="20"/>
      <c r="E173" s="20"/>
      <c r="F173" s="20"/>
      <c r="G173" s="20"/>
      <c r="H173" s="20"/>
      <c r="I173" s="20"/>
      <c r="J173" s="20"/>
      <c r="K173" s="20"/>
      <c r="L173" s="20"/>
      <c r="M173" s="20"/>
      <c r="N173" s="20"/>
      <c r="O173" s="20"/>
      <c r="P173" s="20"/>
      <c r="Q173" s="20"/>
      <c r="R173" s="20"/>
      <c r="S173" s="20"/>
      <c r="T173" s="20"/>
      <c r="U173" s="20"/>
      <c r="V173" s="20"/>
      <c r="W173" s="20"/>
      <c r="X173" s="20"/>
      <c r="Y173" s="20"/>
      <c r="Z173" s="20"/>
      <c r="AA173" s="20"/>
    </row>
    <row r="174" spans="1:27">
      <c r="A174" s="20"/>
      <c r="B174" s="20"/>
      <c r="C174" s="20"/>
      <c r="D174" s="20"/>
      <c r="E174" s="20"/>
      <c r="F174" s="20"/>
      <c r="G174" s="20"/>
      <c r="H174" s="20"/>
      <c r="I174" s="20"/>
      <c r="J174" s="20"/>
      <c r="K174" s="20"/>
      <c r="L174" s="20"/>
      <c r="M174" s="20"/>
      <c r="N174" s="20"/>
      <c r="O174" s="20"/>
      <c r="P174" s="20"/>
      <c r="Q174" s="20"/>
      <c r="R174" s="20"/>
      <c r="S174" s="20"/>
      <c r="T174" s="20"/>
      <c r="U174" s="20"/>
      <c r="V174" s="20"/>
      <c r="W174" s="20"/>
      <c r="X174" s="20"/>
      <c r="Y174" s="20"/>
      <c r="Z174" s="20"/>
      <c r="AA174" s="20"/>
    </row>
    <row r="175" spans="1:27">
      <c r="A175" s="20"/>
      <c r="B175" s="20"/>
      <c r="C175" s="20"/>
      <c r="D175" s="20"/>
      <c r="E175" s="20"/>
      <c r="F175" s="20"/>
      <c r="G175" s="20"/>
      <c r="H175" s="20"/>
      <c r="I175" s="20"/>
      <c r="J175" s="20"/>
      <c r="K175" s="20"/>
      <c r="L175" s="20"/>
      <c r="M175" s="20"/>
      <c r="N175" s="20"/>
      <c r="O175" s="20"/>
      <c r="P175" s="20"/>
      <c r="Q175" s="20"/>
      <c r="R175" s="20"/>
      <c r="S175" s="20"/>
      <c r="T175" s="20"/>
      <c r="U175" s="20"/>
      <c r="V175" s="20"/>
      <c r="W175" s="20"/>
      <c r="X175" s="20"/>
      <c r="Y175" s="20"/>
      <c r="Z175" s="20"/>
      <c r="AA175" s="20"/>
    </row>
    <row r="176" spans="1:27">
      <c r="A176" s="20"/>
      <c r="B176" s="20"/>
      <c r="C176" s="20"/>
      <c r="D176" s="20"/>
      <c r="E176" s="20"/>
      <c r="F176" s="20"/>
      <c r="G176" s="20"/>
      <c r="H176" s="20"/>
      <c r="I176" s="20"/>
      <c r="J176" s="20"/>
      <c r="K176" s="20"/>
      <c r="L176" s="20"/>
      <c r="M176" s="20"/>
      <c r="N176" s="20"/>
      <c r="O176" s="20"/>
      <c r="P176" s="20"/>
      <c r="Q176" s="20"/>
      <c r="R176" s="20"/>
      <c r="S176" s="20"/>
      <c r="T176" s="20"/>
      <c r="U176" s="20"/>
      <c r="V176" s="20"/>
      <c r="W176" s="20"/>
      <c r="X176" s="20"/>
      <c r="Y176" s="20"/>
      <c r="Z176" s="20"/>
      <c r="AA176" s="20"/>
    </row>
    <row r="177" spans="1:27">
      <c r="A177" s="20"/>
      <c r="B177" s="20"/>
      <c r="C177" s="20"/>
      <c r="D177" s="20"/>
      <c r="E177" s="20"/>
      <c r="F177" s="20"/>
      <c r="G177" s="20"/>
      <c r="H177" s="20"/>
      <c r="I177" s="20"/>
      <c r="J177" s="20"/>
      <c r="K177" s="20"/>
      <c r="L177" s="20"/>
      <c r="M177" s="20"/>
      <c r="N177" s="20"/>
      <c r="O177" s="20"/>
      <c r="P177" s="20"/>
      <c r="Q177" s="20"/>
      <c r="R177" s="20"/>
      <c r="S177" s="20"/>
      <c r="T177" s="20"/>
      <c r="U177" s="20"/>
      <c r="V177" s="20"/>
      <c r="W177" s="20"/>
      <c r="X177" s="20"/>
      <c r="Y177" s="20"/>
      <c r="Z177" s="20"/>
      <c r="AA177" s="20"/>
    </row>
    <row r="178" spans="1:27">
      <c r="A178" s="20"/>
      <c r="B178" s="20"/>
      <c r="C178" s="20"/>
      <c r="D178" s="20"/>
      <c r="E178" s="20"/>
      <c r="F178" s="20"/>
      <c r="G178" s="20"/>
      <c r="H178" s="20"/>
      <c r="I178" s="20"/>
      <c r="J178" s="20"/>
      <c r="K178" s="20"/>
      <c r="L178" s="20"/>
      <c r="M178" s="20"/>
      <c r="N178" s="20"/>
      <c r="O178" s="20"/>
      <c r="P178" s="20"/>
      <c r="Q178" s="20"/>
      <c r="R178" s="20"/>
      <c r="S178" s="20"/>
      <c r="T178" s="20"/>
      <c r="U178" s="20"/>
      <c r="V178" s="20"/>
      <c r="W178" s="20"/>
      <c r="X178" s="20"/>
      <c r="Y178" s="20"/>
      <c r="Z178" s="20"/>
      <c r="AA178" s="20"/>
    </row>
    <row r="179" spans="1:27">
      <c r="A179" s="20"/>
      <c r="B179" s="20"/>
      <c r="C179" s="20"/>
      <c r="D179" s="20"/>
      <c r="E179" s="20"/>
      <c r="F179" s="20"/>
      <c r="G179" s="20"/>
      <c r="H179" s="20"/>
      <c r="I179" s="20"/>
      <c r="J179" s="20"/>
      <c r="K179" s="20"/>
      <c r="L179" s="20"/>
      <c r="M179" s="20"/>
      <c r="N179" s="20"/>
      <c r="O179" s="20"/>
      <c r="P179" s="20"/>
      <c r="Q179" s="20"/>
      <c r="R179" s="20"/>
      <c r="S179" s="20"/>
      <c r="T179" s="20"/>
      <c r="U179" s="20"/>
      <c r="V179" s="20"/>
      <c r="W179" s="20"/>
      <c r="X179" s="20"/>
      <c r="Y179" s="20"/>
      <c r="Z179" s="20"/>
      <c r="AA179" s="20"/>
    </row>
    <row r="180" spans="1:27">
      <c r="A180" s="20"/>
      <c r="B180" s="20"/>
      <c r="C180" s="20"/>
      <c r="D180" s="20"/>
      <c r="E180" s="20"/>
      <c r="F180" s="20"/>
      <c r="G180" s="20"/>
      <c r="H180" s="20"/>
      <c r="I180" s="20"/>
      <c r="J180" s="20"/>
      <c r="K180" s="20"/>
      <c r="L180" s="20"/>
      <c r="M180" s="20"/>
      <c r="N180" s="20"/>
      <c r="O180" s="20"/>
      <c r="P180" s="20"/>
      <c r="Q180" s="20"/>
      <c r="R180" s="20"/>
      <c r="S180" s="20"/>
      <c r="T180" s="20"/>
      <c r="U180" s="20"/>
      <c r="V180" s="20"/>
      <c r="W180" s="20"/>
      <c r="X180" s="20"/>
      <c r="Y180" s="20"/>
      <c r="Z180" s="20"/>
      <c r="AA180" s="20"/>
    </row>
    <row r="181" spans="1:27">
      <c r="A181" s="20"/>
      <c r="B181" s="20"/>
      <c r="C181" s="20"/>
      <c r="D181" s="20"/>
      <c r="E181" s="20"/>
      <c r="F181" s="20"/>
      <c r="G181" s="20"/>
      <c r="H181" s="20"/>
      <c r="I181" s="20"/>
      <c r="J181" s="20"/>
      <c r="K181" s="20"/>
      <c r="L181" s="20"/>
      <c r="M181" s="20"/>
      <c r="N181" s="20"/>
      <c r="O181" s="20"/>
      <c r="P181" s="20"/>
      <c r="Q181" s="20"/>
      <c r="R181" s="20"/>
      <c r="S181" s="20"/>
      <c r="T181" s="20"/>
      <c r="U181" s="20"/>
      <c r="V181" s="20"/>
      <c r="W181" s="20"/>
      <c r="X181" s="20"/>
      <c r="Y181" s="20"/>
      <c r="Z181" s="20"/>
      <c r="AA181" s="20"/>
    </row>
    <row r="182" spans="1:27">
      <c r="A182" s="20"/>
      <c r="B182" s="20"/>
      <c r="C182" s="20"/>
      <c r="D182" s="20"/>
      <c r="E182" s="20"/>
      <c r="F182" s="20"/>
      <c r="G182" s="20"/>
      <c r="H182" s="20"/>
      <c r="I182" s="20"/>
      <c r="J182" s="20"/>
      <c r="K182" s="20"/>
      <c r="L182" s="20"/>
      <c r="M182" s="20"/>
      <c r="N182" s="20"/>
      <c r="O182" s="20"/>
      <c r="P182" s="20"/>
      <c r="Q182" s="20"/>
      <c r="R182" s="20"/>
      <c r="S182" s="20"/>
      <c r="T182" s="20"/>
      <c r="U182" s="20"/>
      <c r="V182" s="20"/>
      <c r="W182" s="20"/>
      <c r="X182" s="20"/>
      <c r="Y182" s="20"/>
      <c r="Z182" s="20"/>
      <c r="AA182" s="20"/>
    </row>
    <row r="183" spans="1:27">
      <c r="A183" s="20"/>
      <c r="B183" s="20"/>
      <c r="C183" s="20"/>
      <c r="D183" s="20"/>
      <c r="E183" s="20"/>
      <c r="F183" s="20"/>
      <c r="G183" s="20"/>
      <c r="H183" s="20"/>
      <c r="I183" s="20"/>
      <c r="J183" s="20"/>
      <c r="K183" s="20"/>
      <c r="L183" s="20"/>
      <c r="M183" s="20"/>
      <c r="N183" s="20"/>
      <c r="O183" s="20"/>
      <c r="P183" s="20"/>
      <c r="Q183" s="20"/>
      <c r="R183" s="20"/>
      <c r="S183" s="20"/>
      <c r="T183" s="20"/>
      <c r="U183" s="20"/>
      <c r="V183" s="20"/>
      <c r="W183" s="20"/>
      <c r="X183" s="20"/>
      <c r="Y183" s="20"/>
      <c r="Z183" s="20"/>
      <c r="AA183" s="20"/>
    </row>
    <row r="184" spans="1:27">
      <c r="A184" s="20"/>
      <c r="B184" s="20"/>
      <c r="C184" s="20"/>
      <c r="D184" s="20"/>
      <c r="E184" s="20"/>
      <c r="F184" s="20"/>
      <c r="G184" s="20"/>
      <c r="H184" s="20"/>
      <c r="I184" s="20"/>
      <c r="J184" s="20"/>
      <c r="K184" s="20"/>
      <c r="L184" s="20"/>
      <c r="M184" s="20"/>
      <c r="N184" s="20"/>
      <c r="O184" s="20"/>
      <c r="P184" s="20"/>
      <c r="Q184" s="20"/>
      <c r="R184" s="20"/>
      <c r="S184" s="20"/>
      <c r="T184" s="20"/>
      <c r="U184" s="20"/>
      <c r="V184" s="20"/>
      <c r="W184" s="20"/>
      <c r="X184" s="20"/>
      <c r="Y184" s="20"/>
      <c r="Z184" s="20"/>
      <c r="AA184" s="20"/>
    </row>
    <row r="185" spans="1:27">
      <c r="A185" s="20"/>
      <c r="B185" s="20"/>
      <c r="C185" s="20"/>
      <c r="D185" s="20"/>
      <c r="E185" s="20"/>
      <c r="F185" s="20"/>
      <c r="G185" s="20"/>
      <c r="H185" s="20"/>
      <c r="I185" s="20"/>
      <c r="J185" s="20"/>
      <c r="K185" s="20"/>
      <c r="L185" s="20"/>
      <c r="M185" s="20"/>
      <c r="N185" s="20"/>
      <c r="O185" s="20"/>
      <c r="P185" s="20"/>
      <c r="Q185" s="20"/>
      <c r="R185" s="20"/>
      <c r="S185" s="20"/>
      <c r="T185" s="20"/>
      <c r="U185" s="20"/>
      <c r="V185" s="20"/>
      <c r="W185" s="20"/>
      <c r="X185" s="20"/>
      <c r="Y185" s="20"/>
      <c r="Z185" s="20"/>
      <c r="AA185" s="20"/>
    </row>
    <row r="186" spans="1:27">
      <c r="A186" s="20"/>
      <c r="B186" s="20"/>
      <c r="C186" s="20"/>
      <c r="D186" s="20"/>
      <c r="E186" s="20"/>
      <c r="F186" s="20"/>
      <c r="G186" s="20"/>
      <c r="H186" s="20"/>
      <c r="I186" s="20"/>
      <c r="J186" s="20"/>
      <c r="K186" s="20"/>
      <c r="L186" s="20"/>
      <c r="M186" s="20"/>
      <c r="N186" s="20"/>
      <c r="O186" s="20"/>
      <c r="P186" s="20"/>
      <c r="Q186" s="20"/>
      <c r="R186" s="20"/>
      <c r="S186" s="20"/>
      <c r="T186" s="20"/>
      <c r="U186" s="20"/>
      <c r="V186" s="20"/>
      <c r="W186" s="20"/>
      <c r="X186" s="20"/>
      <c r="Y186" s="20"/>
      <c r="Z186" s="20"/>
      <c r="AA186" s="20"/>
    </row>
    <row r="187" spans="1:27">
      <c r="A187" s="20"/>
      <c r="B187" s="20"/>
      <c r="C187" s="20"/>
      <c r="D187" s="20"/>
      <c r="E187" s="20"/>
      <c r="F187" s="20"/>
      <c r="G187" s="20"/>
      <c r="H187" s="20"/>
      <c r="I187" s="20"/>
      <c r="J187" s="20"/>
      <c r="K187" s="20"/>
      <c r="L187" s="20"/>
      <c r="M187" s="20"/>
      <c r="N187" s="20"/>
      <c r="O187" s="20"/>
      <c r="P187" s="20"/>
      <c r="Q187" s="20"/>
      <c r="R187" s="20"/>
      <c r="S187" s="20"/>
      <c r="T187" s="20"/>
      <c r="U187" s="20"/>
      <c r="V187" s="20"/>
      <c r="W187" s="20"/>
      <c r="X187" s="20"/>
      <c r="Y187" s="20"/>
      <c r="Z187" s="20"/>
      <c r="AA187" s="20"/>
    </row>
    <row r="188" spans="1:27">
      <c r="A188" s="20"/>
      <c r="B188" s="20"/>
      <c r="C188" s="20"/>
      <c r="D188" s="20"/>
      <c r="E188" s="20"/>
      <c r="F188" s="20"/>
      <c r="G188" s="20"/>
      <c r="H188" s="20"/>
      <c r="I188" s="20"/>
      <c r="J188" s="20"/>
      <c r="K188" s="20"/>
      <c r="L188" s="20"/>
      <c r="M188" s="20"/>
      <c r="N188" s="20"/>
      <c r="O188" s="20"/>
      <c r="P188" s="20"/>
      <c r="Q188" s="20"/>
      <c r="R188" s="20"/>
      <c r="S188" s="20"/>
      <c r="T188" s="20"/>
      <c r="U188" s="20"/>
      <c r="V188" s="20"/>
      <c r="W188" s="20"/>
      <c r="X188" s="20"/>
      <c r="Y188" s="20"/>
      <c r="Z188" s="20"/>
      <c r="AA188" s="20"/>
    </row>
    <row r="189" spans="1:27">
      <c r="A189" s="20"/>
      <c r="B189" s="20"/>
      <c r="C189" s="20"/>
      <c r="D189" s="20"/>
      <c r="E189" s="20"/>
      <c r="F189" s="20"/>
      <c r="G189" s="20"/>
      <c r="H189" s="20"/>
      <c r="I189" s="20"/>
      <c r="J189" s="20"/>
      <c r="K189" s="20"/>
      <c r="L189" s="20"/>
      <c r="M189" s="20"/>
      <c r="N189" s="20"/>
      <c r="O189" s="20"/>
      <c r="P189" s="20"/>
      <c r="Q189" s="20"/>
      <c r="R189" s="20"/>
      <c r="S189" s="20"/>
      <c r="T189" s="20"/>
      <c r="U189" s="20"/>
      <c r="V189" s="20"/>
      <c r="W189" s="20"/>
      <c r="X189" s="20"/>
      <c r="Y189" s="20"/>
      <c r="Z189" s="20"/>
      <c r="AA189" s="20"/>
    </row>
    <row r="190" spans="1:27">
      <c r="A190" s="20"/>
      <c r="B190" s="20"/>
      <c r="C190" s="20"/>
      <c r="D190" s="20"/>
      <c r="E190" s="20"/>
      <c r="F190" s="20"/>
      <c r="G190" s="20"/>
      <c r="H190" s="20"/>
      <c r="I190" s="20"/>
      <c r="J190" s="20"/>
      <c r="K190" s="20"/>
      <c r="L190" s="20"/>
      <c r="M190" s="20"/>
      <c r="N190" s="20"/>
      <c r="O190" s="20"/>
      <c r="P190" s="20"/>
      <c r="Q190" s="20"/>
      <c r="R190" s="20"/>
      <c r="S190" s="20"/>
      <c r="T190" s="20"/>
      <c r="U190" s="20"/>
      <c r="V190" s="20"/>
      <c r="W190" s="20"/>
      <c r="X190" s="20"/>
      <c r="Y190" s="20"/>
      <c r="Z190" s="20"/>
      <c r="AA190" s="20"/>
    </row>
    <row r="191" spans="1:27">
      <c r="A191" s="20"/>
      <c r="B191" s="20"/>
      <c r="C191" s="20"/>
      <c r="D191" s="20"/>
      <c r="E191" s="20"/>
      <c r="F191" s="20"/>
      <c r="G191" s="20"/>
      <c r="H191" s="20"/>
      <c r="I191" s="20"/>
      <c r="J191" s="20"/>
      <c r="K191" s="20"/>
      <c r="L191" s="20"/>
      <c r="M191" s="20"/>
      <c r="N191" s="20"/>
      <c r="O191" s="20"/>
      <c r="P191" s="20"/>
      <c r="Q191" s="20"/>
      <c r="R191" s="20"/>
      <c r="S191" s="20"/>
      <c r="T191" s="20"/>
      <c r="U191" s="20"/>
      <c r="V191" s="20"/>
      <c r="W191" s="20"/>
      <c r="X191" s="20"/>
      <c r="Y191" s="20"/>
      <c r="Z191" s="20"/>
      <c r="AA191" s="20"/>
    </row>
    <row r="192" spans="1:27">
      <c r="A192" s="20"/>
      <c r="B192" s="20"/>
      <c r="C192" s="20"/>
      <c r="D192" s="20"/>
      <c r="E192" s="20"/>
      <c r="F192" s="20"/>
      <c r="G192" s="20"/>
      <c r="H192" s="20"/>
      <c r="I192" s="20"/>
      <c r="J192" s="20"/>
      <c r="K192" s="20"/>
      <c r="L192" s="20"/>
      <c r="M192" s="20"/>
      <c r="N192" s="20"/>
      <c r="O192" s="20"/>
      <c r="P192" s="20"/>
      <c r="Q192" s="20"/>
      <c r="R192" s="20"/>
      <c r="S192" s="20"/>
      <c r="T192" s="20"/>
      <c r="U192" s="20"/>
      <c r="V192" s="20"/>
      <c r="W192" s="20"/>
      <c r="X192" s="20"/>
      <c r="Y192" s="20"/>
      <c r="Z192" s="20"/>
      <c r="AA192" s="20"/>
    </row>
    <row r="193" spans="1:27">
      <c r="A193" s="20"/>
      <c r="B193" s="20"/>
      <c r="C193" s="20"/>
      <c r="D193" s="20"/>
      <c r="E193" s="20"/>
      <c r="F193" s="20"/>
      <c r="G193" s="20"/>
      <c r="H193" s="20"/>
      <c r="I193" s="20"/>
      <c r="J193" s="20"/>
      <c r="K193" s="20"/>
      <c r="L193" s="20"/>
      <c r="M193" s="20"/>
      <c r="N193" s="20"/>
      <c r="O193" s="20"/>
      <c r="P193" s="20"/>
      <c r="Q193" s="20"/>
      <c r="R193" s="20"/>
      <c r="S193" s="20"/>
      <c r="T193" s="20"/>
      <c r="U193" s="20"/>
      <c r="V193" s="20"/>
      <c r="W193" s="20"/>
      <c r="X193" s="20"/>
      <c r="Y193" s="20"/>
      <c r="Z193" s="20"/>
      <c r="AA193" s="20"/>
    </row>
    <row r="194" spans="1:27">
      <c r="A194" s="20"/>
      <c r="B194" s="20"/>
      <c r="C194" s="20"/>
      <c r="D194" s="20"/>
      <c r="E194" s="20"/>
      <c r="F194" s="20"/>
      <c r="G194" s="20"/>
      <c r="H194" s="20"/>
      <c r="I194" s="20"/>
      <c r="J194" s="20"/>
      <c r="K194" s="20"/>
      <c r="L194" s="20"/>
      <c r="M194" s="20"/>
      <c r="N194" s="20"/>
      <c r="O194" s="20"/>
      <c r="P194" s="20"/>
      <c r="Q194" s="20"/>
      <c r="R194" s="20"/>
      <c r="S194" s="20"/>
      <c r="T194" s="20"/>
      <c r="U194" s="20"/>
      <c r="V194" s="20"/>
      <c r="W194" s="20"/>
      <c r="X194" s="20"/>
      <c r="Y194" s="20"/>
      <c r="Z194" s="20"/>
      <c r="AA194" s="20"/>
    </row>
    <row r="195" spans="1:27">
      <c r="A195" s="20"/>
      <c r="B195" s="20"/>
      <c r="C195" s="20"/>
      <c r="D195" s="20"/>
      <c r="E195" s="20"/>
      <c r="F195" s="20"/>
      <c r="G195" s="20"/>
      <c r="H195" s="20"/>
      <c r="I195" s="20"/>
      <c r="J195" s="20"/>
      <c r="K195" s="20"/>
      <c r="L195" s="20"/>
      <c r="M195" s="20"/>
      <c r="N195" s="20"/>
      <c r="O195" s="20"/>
      <c r="P195" s="20"/>
      <c r="Q195" s="20"/>
      <c r="R195" s="20"/>
      <c r="S195" s="20"/>
      <c r="T195" s="20"/>
      <c r="U195" s="20"/>
      <c r="V195" s="20"/>
      <c r="W195" s="20"/>
      <c r="X195" s="20"/>
      <c r="Y195" s="20"/>
      <c r="Z195" s="20"/>
      <c r="AA195" s="20"/>
    </row>
    <row r="196" spans="1:27">
      <c r="A196" s="20"/>
      <c r="B196" s="20"/>
      <c r="C196" s="20"/>
      <c r="D196" s="20"/>
      <c r="E196" s="20"/>
      <c r="F196" s="20"/>
      <c r="G196" s="20"/>
      <c r="H196" s="20"/>
      <c r="I196" s="20"/>
      <c r="J196" s="20"/>
      <c r="K196" s="20"/>
      <c r="L196" s="20"/>
      <c r="M196" s="20"/>
      <c r="N196" s="20"/>
      <c r="O196" s="20"/>
      <c r="P196" s="20"/>
      <c r="Q196" s="20"/>
      <c r="R196" s="20"/>
      <c r="S196" s="20"/>
      <c r="T196" s="20"/>
      <c r="U196" s="20"/>
      <c r="V196" s="20"/>
      <c r="W196" s="20"/>
      <c r="X196" s="20"/>
      <c r="Y196" s="20"/>
      <c r="Z196" s="20"/>
      <c r="AA196" s="20"/>
    </row>
    <row r="197" spans="1:27">
      <c r="A197" s="20"/>
      <c r="B197" s="20"/>
      <c r="C197" s="20"/>
      <c r="D197" s="20"/>
      <c r="E197" s="20"/>
      <c r="F197" s="20"/>
      <c r="G197" s="20"/>
      <c r="H197" s="20"/>
      <c r="I197" s="20"/>
      <c r="J197" s="20"/>
      <c r="K197" s="20"/>
      <c r="L197" s="20"/>
      <c r="M197" s="20"/>
      <c r="N197" s="20"/>
      <c r="O197" s="20"/>
      <c r="P197" s="20"/>
      <c r="Q197" s="20"/>
      <c r="R197" s="20"/>
      <c r="S197" s="20"/>
      <c r="T197" s="20"/>
      <c r="U197" s="20"/>
      <c r="V197" s="20"/>
      <c r="W197" s="20"/>
      <c r="X197" s="20"/>
      <c r="Y197" s="20"/>
      <c r="Z197" s="20"/>
      <c r="AA197" s="20"/>
    </row>
    <row r="198" spans="1:27">
      <c r="A198" s="20"/>
      <c r="B198" s="20"/>
      <c r="C198" s="20"/>
      <c r="D198" s="20"/>
      <c r="E198" s="20"/>
      <c r="F198" s="20"/>
      <c r="G198" s="20"/>
      <c r="H198" s="20"/>
      <c r="I198" s="20"/>
      <c r="J198" s="20"/>
      <c r="K198" s="20"/>
      <c r="L198" s="20"/>
      <c r="M198" s="20"/>
      <c r="N198" s="20"/>
      <c r="O198" s="20"/>
      <c r="P198" s="20"/>
      <c r="Q198" s="20"/>
      <c r="R198" s="20"/>
      <c r="S198" s="20"/>
      <c r="T198" s="20"/>
      <c r="U198" s="20"/>
      <c r="V198" s="20"/>
      <c r="W198" s="20"/>
      <c r="X198" s="20"/>
      <c r="Y198" s="20"/>
      <c r="Z198" s="20"/>
      <c r="AA198" s="20"/>
    </row>
    <row r="199" spans="1:27">
      <c r="A199" s="20"/>
      <c r="B199" s="20"/>
      <c r="C199" s="20"/>
      <c r="D199" s="20"/>
      <c r="E199" s="20"/>
      <c r="F199" s="20"/>
      <c r="G199" s="20"/>
      <c r="H199" s="20"/>
      <c r="I199" s="20"/>
      <c r="J199" s="20"/>
      <c r="K199" s="20"/>
      <c r="L199" s="20"/>
      <c r="M199" s="20"/>
      <c r="N199" s="20"/>
      <c r="O199" s="20"/>
      <c r="P199" s="20"/>
      <c r="Q199" s="20"/>
      <c r="R199" s="20"/>
      <c r="S199" s="20"/>
      <c r="T199" s="20"/>
      <c r="U199" s="20"/>
      <c r="V199" s="20"/>
      <c r="W199" s="20"/>
      <c r="X199" s="20"/>
      <c r="Y199" s="20"/>
      <c r="Z199" s="20"/>
      <c r="AA199" s="20"/>
    </row>
    <row r="200" spans="1:27">
      <c r="A200" s="20"/>
      <c r="B200" s="20"/>
      <c r="C200" s="20"/>
      <c r="D200" s="20"/>
      <c r="E200" s="20"/>
      <c r="F200" s="20"/>
      <c r="G200" s="20"/>
      <c r="H200" s="20"/>
      <c r="I200" s="20"/>
      <c r="J200" s="20"/>
      <c r="K200" s="20"/>
      <c r="L200" s="20"/>
      <c r="M200" s="20"/>
      <c r="N200" s="20"/>
      <c r="O200" s="20"/>
      <c r="P200" s="20"/>
      <c r="Q200" s="20"/>
      <c r="R200" s="20"/>
      <c r="S200" s="20"/>
      <c r="T200" s="20"/>
      <c r="U200" s="20"/>
      <c r="V200" s="20"/>
      <c r="W200" s="20"/>
      <c r="X200" s="20"/>
      <c r="Y200" s="20"/>
      <c r="Z200" s="20"/>
      <c r="AA200" s="20"/>
    </row>
    <row r="201" spans="1:27">
      <c r="A201" s="20"/>
      <c r="B201" s="20"/>
      <c r="C201" s="20"/>
      <c r="D201" s="20"/>
      <c r="E201" s="20"/>
      <c r="F201" s="20"/>
      <c r="G201" s="20"/>
      <c r="H201" s="20"/>
      <c r="I201" s="20"/>
      <c r="J201" s="20"/>
      <c r="K201" s="20"/>
      <c r="L201" s="20"/>
      <c r="M201" s="20"/>
      <c r="N201" s="20"/>
      <c r="O201" s="20"/>
      <c r="P201" s="20"/>
      <c r="Q201" s="20"/>
      <c r="R201" s="20"/>
      <c r="S201" s="20"/>
      <c r="T201" s="20"/>
      <c r="U201" s="20"/>
      <c r="V201" s="20"/>
      <c r="W201" s="20"/>
      <c r="X201" s="20"/>
      <c r="Y201" s="20"/>
      <c r="Z201" s="20"/>
      <c r="AA201" s="20"/>
    </row>
    <row r="202" spans="1:27">
      <c r="A202" s="20"/>
      <c r="B202" s="20"/>
      <c r="C202" s="20"/>
      <c r="D202" s="20"/>
      <c r="E202" s="20"/>
      <c r="F202" s="20"/>
      <c r="G202" s="20"/>
      <c r="H202" s="20"/>
      <c r="I202" s="20"/>
      <c r="J202" s="20"/>
      <c r="K202" s="20"/>
      <c r="L202" s="20"/>
      <c r="M202" s="20"/>
      <c r="N202" s="20"/>
      <c r="O202" s="20"/>
      <c r="P202" s="20"/>
      <c r="Q202" s="20"/>
      <c r="R202" s="20"/>
      <c r="S202" s="20"/>
      <c r="T202" s="20"/>
      <c r="U202" s="20"/>
      <c r="V202" s="20"/>
      <c r="W202" s="20"/>
      <c r="X202" s="20"/>
      <c r="Y202" s="20"/>
      <c r="Z202" s="20"/>
      <c r="AA202" s="20"/>
    </row>
    <row r="203" spans="1:27">
      <c r="A203" s="20"/>
      <c r="B203" s="20"/>
      <c r="C203" s="20"/>
      <c r="D203" s="20"/>
      <c r="E203" s="20"/>
      <c r="F203" s="20"/>
      <c r="G203" s="20"/>
      <c r="H203" s="20"/>
      <c r="I203" s="20"/>
      <c r="J203" s="20"/>
      <c r="K203" s="20"/>
      <c r="L203" s="20"/>
      <c r="M203" s="20"/>
      <c r="N203" s="20"/>
      <c r="O203" s="20"/>
      <c r="P203" s="20"/>
      <c r="Q203" s="20"/>
      <c r="R203" s="20"/>
      <c r="S203" s="20"/>
      <c r="T203" s="20"/>
      <c r="U203" s="20"/>
      <c r="V203" s="20"/>
      <c r="W203" s="20"/>
      <c r="X203" s="20"/>
      <c r="Y203" s="20"/>
      <c r="Z203" s="20"/>
      <c r="AA203" s="20"/>
    </row>
    <row r="204" spans="1:27">
      <c r="A204" s="20"/>
      <c r="B204" s="20"/>
      <c r="C204" s="20"/>
      <c r="D204" s="20"/>
      <c r="E204" s="20"/>
      <c r="F204" s="20"/>
      <c r="G204" s="20"/>
      <c r="H204" s="20"/>
      <c r="I204" s="20"/>
      <c r="J204" s="20"/>
      <c r="K204" s="20"/>
      <c r="L204" s="20"/>
      <c r="M204" s="20"/>
      <c r="N204" s="20"/>
      <c r="O204" s="20"/>
      <c r="P204" s="20"/>
      <c r="Q204" s="20"/>
      <c r="R204" s="20"/>
      <c r="S204" s="20"/>
      <c r="T204" s="20"/>
      <c r="U204" s="20"/>
      <c r="V204" s="20"/>
      <c r="W204" s="20"/>
      <c r="X204" s="20"/>
      <c r="Y204" s="20"/>
      <c r="Z204" s="20"/>
      <c r="AA204" s="20"/>
    </row>
    <row r="205" spans="1:27">
      <c r="A205" s="20"/>
      <c r="B205" s="20"/>
      <c r="C205" s="20"/>
      <c r="D205" s="20"/>
      <c r="E205" s="20"/>
      <c r="F205" s="20"/>
      <c r="G205" s="20"/>
      <c r="H205" s="20"/>
      <c r="I205" s="20"/>
      <c r="J205" s="20"/>
      <c r="K205" s="20"/>
      <c r="L205" s="20"/>
      <c r="M205" s="20"/>
      <c r="N205" s="20"/>
      <c r="O205" s="20"/>
      <c r="P205" s="20"/>
      <c r="Q205" s="20"/>
      <c r="R205" s="20"/>
      <c r="S205" s="20"/>
      <c r="T205" s="20"/>
      <c r="U205" s="20"/>
      <c r="V205" s="20"/>
      <c r="W205" s="20"/>
      <c r="X205" s="20"/>
      <c r="Y205" s="20"/>
      <c r="Z205" s="20"/>
      <c r="AA205" s="20"/>
    </row>
    <row r="206" spans="1:27">
      <c r="A206" s="20"/>
      <c r="B206" s="20"/>
      <c r="C206" s="20"/>
      <c r="D206" s="20"/>
      <c r="E206" s="20"/>
      <c r="F206" s="20"/>
      <c r="G206" s="20"/>
      <c r="H206" s="20"/>
      <c r="I206" s="20"/>
      <c r="J206" s="20"/>
      <c r="K206" s="20"/>
      <c r="L206" s="20"/>
      <c r="M206" s="20"/>
      <c r="N206" s="20"/>
      <c r="O206" s="20"/>
      <c r="P206" s="20"/>
      <c r="Q206" s="20"/>
      <c r="R206" s="20"/>
      <c r="S206" s="20"/>
      <c r="T206" s="20"/>
      <c r="U206" s="20"/>
      <c r="V206" s="20"/>
      <c r="W206" s="20"/>
      <c r="X206" s="20"/>
      <c r="Y206" s="20"/>
      <c r="Z206" s="20"/>
      <c r="AA206" s="20"/>
    </row>
    <row r="207" spans="1:27">
      <c r="A207" s="20"/>
      <c r="B207" s="20"/>
      <c r="C207" s="20"/>
      <c r="D207" s="20"/>
      <c r="E207" s="20"/>
      <c r="F207" s="20"/>
      <c r="G207" s="20"/>
      <c r="H207" s="20"/>
      <c r="I207" s="20"/>
      <c r="J207" s="20"/>
      <c r="K207" s="20"/>
      <c r="L207" s="20"/>
      <c r="M207" s="20"/>
      <c r="N207" s="20"/>
      <c r="O207" s="20"/>
      <c r="P207" s="20"/>
      <c r="Q207" s="20"/>
      <c r="R207" s="20"/>
      <c r="S207" s="20"/>
      <c r="T207" s="20"/>
      <c r="U207" s="20"/>
      <c r="V207" s="20"/>
      <c r="W207" s="20"/>
      <c r="X207" s="20"/>
      <c r="Y207" s="20"/>
      <c r="Z207" s="20"/>
      <c r="AA207" s="20"/>
    </row>
    <row r="208" spans="1:27">
      <c r="A208" s="20"/>
      <c r="B208" s="20"/>
      <c r="C208" s="20"/>
      <c r="D208" s="20"/>
      <c r="E208" s="20"/>
      <c r="F208" s="20"/>
      <c r="G208" s="20"/>
      <c r="H208" s="20"/>
      <c r="I208" s="20"/>
      <c r="J208" s="20"/>
      <c r="K208" s="20"/>
      <c r="L208" s="20"/>
      <c r="M208" s="20"/>
      <c r="N208" s="20"/>
      <c r="O208" s="20"/>
      <c r="P208" s="20"/>
      <c r="Q208" s="20"/>
      <c r="R208" s="20"/>
      <c r="S208" s="20"/>
      <c r="T208" s="20"/>
      <c r="U208" s="20"/>
      <c r="V208" s="20"/>
      <c r="W208" s="20"/>
      <c r="X208" s="20"/>
      <c r="Y208" s="20"/>
      <c r="Z208" s="20"/>
      <c r="AA208" s="20"/>
    </row>
    <row r="209" spans="1:27">
      <c r="A209" s="20"/>
      <c r="B209" s="20"/>
      <c r="C209" s="20"/>
      <c r="D209" s="20"/>
      <c r="E209" s="20"/>
      <c r="F209" s="20"/>
      <c r="G209" s="20"/>
      <c r="H209" s="20"/>
      <c r="I209" s="20"/>
      <c r="J209" s="20"/>
      <c r="K209" s="20"/>
      <c r="L209" s="20"/>
      <c r="M209" s="20"/>
      <c r="N209" s="20"/>
      <c r="O209" s="20"/>
      <c r="P209" s="20"/>
      <c r="Q209" s="20"/>
      <c r="R209" s="20"/>
      <c r="S209" s="20"/>
      <c r="T209" s="20"/>
      <c r="U209" s="20"/>
      <c r="V209" s="20"/>
      <c r="W209" s="20"/>
      <c r="X209" s="20"/>
      <c r="Y209" s="20"/>
      <c r="Z209" s="20"/>
      <c r="AA209" s="20"/>
    </row>
    <row r="210" spans="1:27">
      <c r="A210" s="20"/>
      <c r="B210" s="20"/>
      <c r="C210" s="20"/>
      <c r="D210" s="20"/>
      <c r="E210" s="20"/>
      <c r="F210" s="20"/>
      <c r="G210" s="20"/>
      <c r="H210" s="20"/>
      <c r="I210" s="20"/>
      <c r="J210" s="20"/>
      <c r="K210" s="20"/>
      <c r="L210" s="20"/>
      <c r="M210" s="20"/>
      <c r="N210" s="20"/>
      <c r="O210" s="20"/>
      <c r="P210" s="20"/>
      <c r="Q210" s="20"/>
      <c r="R210" s="20"/>
      <c r="S210" s="20"/>
      <c r="T210" s="20"/>
      <c r="U210" s="20"/>
      <c r="V210" s="20"/>
      <c r="W210" s="20"/>
      <c r="X210" s="20"/>
      <c r="Y210" s="20"/>
      <c r="Z210" s="20"/>
      <c r="AA210" s="20"/>
    </row>
    <row r="211" spans="1:27">
      <c r="A211" s="20"/>
      <c r="B211" s="20"/>
      <c r="C211" s="20"/>
      <c r="D211" s="20"/>
      <c r="E211" s="20"/>
      <c r="F211" s="20"/>
      <c r="G211" s="20"/>
      <c r="H211" s="20"/>
      <c r="I211" s="20"/>
      <c r="J211" s="20"/>
      <c r="K211" s="20"/>
      <c r="L211" s="20"/>
      <c r="M211" s="20"/>
      <c r="N211" s="20"/>
      <c r="O211" s="20"/>
      <c r="P211" s="20"/>
      <c r="Q211" s="20"/>
      <c r="R211" s="20"/>
      <c r="S211" s="20"/>
      <c r="T211" s="20"/>
      <c r="U211" s="20"/>
      <c r="V211" s="20"/>
      <c r="W211" s="20"/>
      <c r="X211" s="20"/>
      <c r="Y211" s="20"/>
      <c r="Z211" s="20"/>
      <c r="AA211" s="20"/>
    </row>
    <row r="212" spans="1:27">
      <c r="A212" s="20"/>
      <c r="B212" s="20"/>
      <c r="C212" s="20"/>
      <c r="D212" s="20"/>
      <c r="E212" s="20"/>
      <c r="F212" s="20"/>
      <c r="G212" s="20"/>
      <c r="H212" s="20"/>
      <c r="I212" s="20"/>
      <c r="J212" s="20"/>
      <c r="K212" s="20"/>
      <c r="L212" s="20"/>
      <c r="M212" s="20"/>
      <c r="N212" s="20"/>
      <c r="O212" s="20"/>
      <c r="P212" s="20"/>
      <c r="Q212" s="20"/>
      <c r="R212" s="20"/>
      <c r="S212" s="20"/>
      <c r="T212" s="20"/>
      <c r="U212" s="20"/>
      <c r="V212" s="20"/>
      <c r="W212" s="20"/>
      <c r="X212" s="20"/>
      <c r="Y212" s="20"/>
      <c r="Z212" s="20"/>
      <c r="AA212" s="20"/>
    </row>
    <row r="213" spans="1:27">
      <c r="A213" s="20"/>
      <c r="B213" s="20"/>
      <c r="C213" s="20"/>
      <c r="D213" s="20"/>
      <c r="E213" s="20"/>
      <c r="F213" s="20"/>
      <c r="G213" s="20"/>
      <c r="H213" s="20"/>
      <c r="I213" s="20"/>
      <c r="J213" s="20"/>
      <c r="K213" s="20"/>
      <c r="L213" s="20"/>
      <c r="M213" s="20"/>
      <c r="N213" s="20"/>
      <c r="O213" s="20"/>
      <c r="P213" s="20"/>
      <c r="Q213" s="20"/>
      <c r="R213" s="20"/>
      <c r="S213" s="20"/>
      <c r="T213" s="20"/>
      <c r="U213" s="20"/>
      <c r="V213" s="20"/>
      <c r="W213" s="20"/>
      <c r="X213" s="20"/>
      <c r="Y213" s="20"/>
      <c r="Z213" s="20"/>
      <c r="AA213" s="20"/>
    </row>
    <row r="214" spans="1:27">
      <c r="A214" s="20"/>
      <c r="B214" s="20"/>
      <c r="C214" s="20"/>
      <c r="D214" s="20"/>
      <c r="E214" s="20"/>
      <c r="F214" s="20"/>
      <c r="G214" s="20"/>
      <c r="H214" s="20"/>
      <c r="I214" s="20"/>
      <c r="J214" s="20"/>
      <c r="K214" s="20"/>
      <c r="L214" s="20"/>
      <c r="M214" s="20"/>
      <c r="N214" s="20"/>
      <c r="O214" s="20"/>
      <c r="P214" s="20"/>
      <c r="Q214" s="20"/>
      <c r="R214" s="20"/>
      <c r="S214" s="20"/>
      <c r="T214" s="20"/>
      <c r="U214" s="20"/>
      <c r="V214" s="20"/>
      <c r="W214" s="20"/>
      <c r="X214" s="20"/>
      <c r="Y214" s="20"/>
      <c r="Z214" s="20"/>
      <c r="AA214" s="20"/>
    </row>
    <row r="215" spans="1:27">
      <c r="A215" s="20"/>
      <c r="B215" s="20"/>
      <c r="C215" s="20"/>
      <c r="D215" s="20"/>
      <c r="E215" s="20"/>
      <c r="F215" s="20"/>
      <c r="G215" s="20"/>
      <c r="H215" s="20"/>
      <c r="I215" s="20"/>
      <c r="J215" s="20"/>
      <c r="K215" s="20"/>
      <c r="L215" s="20"/>
      <c r="M215" s="20"/>
      <c r="N215" s="20"/>
      <c r="O215" s="20"/>
      <c r="P215" s="20"/>
      <c r="Q215" s="20"/>
      <c r="R215" s="20"/>
      <c r="S215" s="20"/>
      <c r="T215" s="20"/>
      <c r="U215" s="20"/>
      <c r="V215" s="20"/>
      <c r="W215" s="20"/>
      <c r="X215" s="20"/>
      <c r="Y215" s="20"/>
      <c r="Z215" s="20"/>
      <c r="AA215" s="20"/>
    </row>
    <row r="216" spans="1:27">
      <c r="A216" s="20"/>
      <c r="B216" s="20"/>
      <c r="C216" s="20"/>
      <c r="D216" s="20"/>
      <c r="E216" s="20"/>
      <c r="F216" s="20"/>
      <c r="G216" s="20"/>
      <c r="H216" s="20"/>
      <c r="I216" s="20"/>
      <c r="J216" s="20"/>
      <c r="K216" s="20"/>
      <c r="L216" s="20"/>
      <c r="M216" s="20"/>
      <c r="N216" s="20"/>
      <c r="O216" s="20"/>
      <c r="P216" s="20"/>
      <c r="Q216" s="20"/>
      <c r="R216" s="20"/>
      <c r="S216" s="20"/>
      <c r="T216" s="20"/>
      <c r="U216" s="20"/>
      <c r="V216" s="20"/>
      <c r="W216" s="20"/>
      <c r="X216" s="20"/>
      <c r="Y216" s="20"/>
      <c r="Z216" s="20"/>
      <c r="AA216" s="20"/>
    </row>
    <row r="217" spans="1:27">
      <c r="A217" s="20"/>
      <c r="B217" s="20"/>
      <c r="C217" s="20"/>
      <c r="D217" s="20"/>
      <c r="E217" s="20"/>
      <c r="F217" s="20"/>
      <c r="G217" s="20"/>
      <c r="H217" s="20"/>
      <c r="I217" s="20"/>
      <c r="J217" s="20"/>
      <c r="K217" s="20"/>
      <c r="L217" s="20"/>
      <c r="M217" s="20"/>
      <c r="N217" s="20"/>
      <c r="O217" s="20"/>
      <c r="P217" s="20"/>
      <c r="Q217" s="20"/>
      <c r="R217" s="20"/>
      <c r="S217" s="20"/>
      <c r="T217" s="20"/>
      <c r="U217" s="20"/>
      <c r="V217" s="20"/>
      <c r="W217" s="20"/>
      <c r="X217" s="20"/>
      <c r="Y217" s="20"/>
      <c r="Z217" s="20"/>
      <c r="AA217" s="20"/>
    </row>
    <row r="218" spans="1:27">
      <c r="A218" s="20"/>
      <c r="B218" s="20"/>
      <c r="C218" s="20"/>
      <c r="D218" s="20"/>
      <c r="E218" s="20"/>
      <c r="F218" s="20"/>
      <c r="G218" s="20"/>
      <c r="H218" s="20"/>
      <c r="I218" s="20"/>
      <c r="J218" s="20"/>
      <c r="K218" s="20"/>
      <c r="L218" s="20"/>
      <c r="M218" s="20"/>
      <c r="N218" s="20"/>
      <c r="O218" s="20"/>
      <c r="P218" s="20"/>
      <c r="Q218" s="20"/>
      <c r="R218" s="20"/>
      <c r="S218" s="20"/>
      <c r="T218" s="20"/>
      <c r="U218" s="20"/>
      <c r="V218" s="20"/>
      <c r="W218" s="20"/>
      <c r="X218" s="20"/>
      <c r="Y218" s="20"/>
      <c r="Z218" s="20"/>
      <c r="AA218" s="20"/>
    </row>
    <row r="219" spans="1:27">
      <c r="A219" s="20"/>
      <c r="B219" s="20"/>
      <c r="C219" s="20"/>
      <c r="D219" s="20"/>
      <c r="E219" s="20"/>
      <c r="F219" s="20"/>
      <c r="G219" s="20"/>
      <c r="H219" s="20"/>
      <c r="I219" s="20"/>
      <c r="J219" s="20"/>
      <c r="K219" s="20"/>
      <c r="L219" s="20"/>
      <c r="M219" s="20"/>
      <c r="N219" s="20"/>
      <c r="O219" s="20"/>
      <c r="P219" s="20"/>
      <c r="Q219" s="20"/>
      <c r="R219" s="20"/>
      <c r="S219" s="20"/>
      <c r="T219" s="20"/>
      <c r="U219" s="20"/>
      <c r="V219" s="20"/>
      <c r="W219" s="20"/>
      <c r="X219" s="20"/>
      <c r="Y219" s="20"/>
      <c r="Z219" s="20"/>
      <c r="AA219" s="20"/>
    </row>
    <row r="220" spans="1:27">
      <c r="A220" s="20"/>
      <c r="B220" s="20"/>
      <c r="C220" s="20"/>
      <c r="D220" s="20"/>
      <c r="E220" s="20"/>
      <c r="F220" s="20"/>
      <c r="G220" s="20"/>
      <c r="H220" s="20"/>
      <c r="I220" s="20"/>
      <c r="J220" s="20"/>
      <c r="K220" s="20"/>
      <c r="L220" s="20"/>
      <c r="M220" s="20"/>
      <c r="N220" s="20"/>
      <c r="O220" s="20"/>
      <c r="P220" s="20"/>
      <c r="Q220" s="20"/>
      <c r="R220" s="20"/>
      <c r="S220" s="20"/>
      <c r="T220" s="20"/>
      <c r="U220" s="20"/>
      <c r="V220" s="20"/>
      <c r="W220" s="20"/>
      <c r="X220" s="20"/>
      <c r="Y220" s="20"/>
      <c r="Z220" s="20"/>
      <c r="AA220" s="20"/>
    </row>
    <row r="221" spans="1:27">
      <c r="A221" s="20"/>
      <c r="B221" s="20"/>
      <c r="C221" s="20"/>
      <c r="D221" s="20"/>
      <c r="E221" s="20"/>
      <c r="F221" s="20"/>
      <c r="G221" s="20"/>
      <c r="H221" s="20"/>
      <c r="I221" s="20"/>
      <c r="J221" s="20"/>
      <c r="K221" s="20"/>
      <c r="L221" s="20"/>
      <c r="M221" s="20"/>
      <c r="N221" s="20"/>
      <c r="O221" s="20"/>
      <c r="P221" s="20"/>
      <c r="Q221" s="20"/>
      <c r="R221" s="20"/>
      <c r="S221" s="20"/>
      <c r="T221" s="20"/>
      <c r="U221" s="20"/>
      <c r="V221" s="20"/>
      <c r="W221" s="20"/>
      <c r="X221" s="20"/>
      <c r="Y221" s="20"/>
      <c r="Z221" s="20"/>
      <c r="AA221" s="20"/>
    </row>
    <row r="222" spans="1:27">
      <c r="A222" s="20"/>
      <c r="B222" s="20"/>
      <c r="C222" s="20"/>
      <c r="D222" s="20"/>
      <c r="E222" s="20"/>
      <c r="F222" s="20"/>
      <c r="G222" s="20"/>
      <c r="H222" s="20"/>
      <c r="I222" s="20"/>
      <c r="J222" s="20"/>
      <c r="K222" s="20"/>
      <c r="L222" s="20"/>
      <c r="M222" s="20"/>
      <c r="N222" s="20"/>
      <c r="O222" s="20"/>
      <c r="P222" s="20"/>
      <c r="Q222" s="20"/>
      <c r="R222" s="20"/>
      <c r="S222" s="20"/>
      <c r="T222" s="20"/>
      <c r="U222" s="20"/>
      <c r="V222" s="20"/>
      <c r="W222" s="20"/>
      <c r="X222" s="20"/>
      <c r="Y222" s="20"/>
      <c r="Z222" s="20"/>
      <c r="AA222" s="20"/>
    </row>
    <row r="223" spans="1:27">
      <c r="A223" s="20"/>
      <c r="B223" s="20"/>
      <c r="C223" s="20"/>
      <c r="D223" s="20"/>
      <c r="E223" s="20"/>
      <c r="F223" s="20"/>
      <c r="G223" s="20"/>
      <c r="H223" s="20"/>
      <c r="I223" s="20"/>
      <c r="J223" s="20"/>
      <c r="K223" s="20"/>
      <c r="L223" s="20"/>
      <c r="M223" s="20"/>
      <c r="N223" s="20"/>
      <c r="O223" s="20"/>
      <c r="P223" s="20"/>
      <c r="Q223" s="20"/>
      <c r="R223" s="20"/>
      <c r="S223" s="20"/>
      <c r="T223" s="20"/>
      <c r="U223" s="20"/>
      <c r="V223" s="20"/>
      <c r="W223" s="20"/>
      <c r="X223" s="20"/>
      <c r="Y223" s="20"/>
      <c r="Z223" s="20"/>
      <c r="AA223" s="20"/>
    </row>
    <row r="224" spans="1:27">
      <c r="A224" s="20"/>
      <c r="B224" s="20"/>
      <c r="C224" s="20"/>
      <c r="D224" s="20"/>
      <c r="E224" s="20"/>
      <c r="F224" s="20"/>
      <c r="G224" s="20"/>
      <c r="H224" s="20"/>
      <c r="I224" s="20"/>
      <c r="J224" s="20"/>
      <c r="K224" s="20"/>
      <c r="L224" s="20"/>
      <c r="M224" s="20"/>
      <c r="N224" s="20"/>
      <c r="O224" s="20"/>
      <c r="P224" s="20"/>
      <c r="Q224" s="20"/>
      <c r="R224" s="20"/>
      <c r="S224" s="20"/>
      <c r="T224" s="20"/>
      <c r="U224" s="20"/>
      <c r="V224" s="20"/>
      <c r="W224" s="20"/>
      <c r="X224" s="20"/>
      <c r="Y224" s="20"/>
      <c r="Z224" s="20"/>
      <c r="AA224" s="20"/>
    </row>
    <row r="225" spans="1:27">
      <c r="A225" s="20"/>
      <c r="B225" s="20"/>
      <c r="C225" s="20"/>
      <c r="D225" s="20"/>
      <c r="E225" s="20"/>
      <c r="F225" s="20"/>
      <c r="G225" s="20"/>
      <c r="H225" s="20"/>
      <c r="I225" s="20"/>
      <c r="J225" s="20"/>
      <c r="K225" s="20"/>
      <c r="L225" s="20"/>
      <c r="M225" s="20"/>
      <c r="N225" s="20"/>
      <c r="O225" s="20"/>
      <c r="P225" s="20"/>
      <c r="Q225" s="20"/>
      <c r="R225" s="20"/>
      <c r="S225" s="20"/>
      <c r="T225" s="20"/>
      <c r="U225" s="20"/>
      <c r="V225" s="20"/>
      <c r="W225" s="20"/>
      <c r="X225" s="20"/>
      <c r="Y225" s="20"/>
      <c r="Z225" s="20"/>
      <c r="AA225" s="20"/>
    </row>
    <row r="226" spans="1:27">
      <c r="A226" s="20"/>
      <c r="B226" s="20"/>
      <c r="C226" s="20"/>
      <c r="D226" s="20"/>
      <c r="E226" s="20"/>
      <c r="F226" s="20"/>
      <c r="G226" s="20"/>
      <c r="H226" s="20"/>
      <c r="I226" s="20"/>
      <c r="J226" s="20"/>
      <c r="K226" s="20"/>
      <c r="L226" s="20"/>
      <c r="M226" s="20"/>
      <c r="N226" s="20"/>
      <c r="O226" s="20"/>
      <c r="P226" s="20"/>
      <c r="Q226" s="20"/>
      <c r="R226" s="20"/>
      <c r="S226" s="20"/>
      <c r="T226" s="20"/>
      <c r="U226" s="20"/>
      <c r="V226" s="20"/>
      <c r="W226" s="20"/>
      <c r="X226" s="20"/>
      <c r="Y226" s="20"/>
      <c r="Z226" s="20"/>
      <c r="AA226" s="20"/>
    </row>
    <row r="227" spans="1:27">
      <c r="A227" s="20"/>
      <c r="B227" s="20"/>
      <c r="C227" s="20"/>
      <c r="D227" s="20"/>
      <c r="E227" s="20"/>
      <c r="F227" s="20"/>
      <c r="G227" s="20"/>
      <c r="H227" s="20"/>
      <c r="I227" s="20"/>
      <c r="J227" s="20"/>
      <c r="K227" s="20"/>
      <c r="L227" s="20"/>
      <c r="M227" s="20"/>
      <c r="N227" s="20"/>
      <c r="O227" s="20"/>
      <c r="P227" s="20"/>
      <c r="Q227" s="20"/>
      <c r="R227" s="20"/>
      <c r="S227" s="20"/>
      <c r="T227" s="20"/>
      <c r="U227" s="20"/>
      <c r="V227" s="20"/>
      <c r="W227" s="20"/>
      <c r="X227" s="20"/>
      <c r="Y227" s="20"/>
      <c r="Z227" s="20"/>
      <c r="AA227" s="20"/>
    </row>
    <row r="228" spans="1:27">
      <c r="A228" s="20"/>
      <c r="B228" s="20"/>
      <c r="C228" s="20"/>
      <c r="D228" s="20"/>
      <c r="E228" s="20"/>
      <c r="F228" s="20"/>
      <c r="G228" s="20"/>
      <c r="H228" s="20"/>
      <c r="I228" s="20"/>
      <c r="J228" s="20"/>
      <c r="K228" s="20"/>
      <c r="L228" s="20"/>
      <c r="M228" s="20"/>
      <c r="N228" s="20"/>
      <c r="O228" s="20"/>
      <c r="P228" s="20"/>
      <c r="Q228" s="20"/>
      <c r="R228" s="20"/>
      <c r="S228" s="20"/>
      <c r="T228" s="20"/>
      <c r="U228" s="20"/>
      <c r="V228" s="20"/>
      <c r="W228" s="20"/>
      <c r="X228" s="20"/>
      <c r="Y228" s="20"/>
      <c r="Z228" s="20"/>
      <c r="AA228" s="20"/>
    </row>
    <row r="229" spans="1:27">
      <c r="A229" s="20"/>
      <c r="B229" s="20"/>
      <c r="C229" s="20"/>
      <c r="D229" s="20"/>
      <c r="E229" s="20"/>
      <c r="F229" s="20"/>
      <c r="G229" s="20"/>
      <c r="H229" s="20"/>
      <c r="I229" s="20"/>
      <c r="J229" s="20"/>
      <c r="K229" s="20"/>
      <c r="L229" s="20"/>
      <c r="M229" s="20"/>
      <c r="N229" s="20"/>
      <c r="O229" s="20"/>
      <c r="P229" s="20"/>
      <c r="Q229" s="20"/>
      <c r="R229" s="20"/>
      <c r="S229" s="20"/>
      <c r="T229" s="20"/>
      <c r="U229" s="20"/>
      <c r="V229" s="20"/>
      <c r="W229" s="20"/>
      <c r="X229" s="20"/>
      <c r="Y229" s="20"/>
      <c r="Z229" s="20"/>
      <c r="AA229" s="20"/>
    </row>
    <row r="230" spans="1:27">
      <c r="A230" s="20"/>
      <c r="B230" s="20"/>
      <c r="C230" s="20"/>
      <c r="D230" s="20"/>
      <c r="E230" s="20"/>
      <c r="F230" s="20"/>
      <c r="G230" s="20"/>
      <c r="H230" s="20"/>
      <c r="I230" s="20"/>
      <c r="J230" s="20"/>
      <c r="K230" s="20"/>
      <c r="L230" s="20"/>
      <c r="M230" s="20"/>
      <c r="N230" s="20"/>
      <c r="O230" s="20"/>
      <c r="P230" s="20"/>
      <c r="Q230" s="20"/>
      <c r="R230" s="20"/>
      <c r="S230" s="20"/>
      <c r="T230" s="20"/>
      <c r="U230" s="20"/>
      <c r="V230" s="20"/>
      <c r="W230" s="20"/>
      <c r="X230" s="20"/>
      <c r="Y230" s="20"/>
      <c r="Z230" s="20"/>
      <c r="AA230" s="20"/>
    </row>
    <row r="231" spans="1:27">
      <c r="A231" s="20"/>
      <c r="B231" s="20"/>
      <c r="C231" s="20"/>
      <c r="D231" s="20"/>
      <c r="E231" s="20"/>
      <c r="F231" s="20"/>
      <c r="G231" s="20"/>
      <c r="H231" s="20"/>
      <c r="I231" s="20"/>
      <c r="J231" s="20"/>
      <c r="K231" s="20"/>
      <c r="L231" s="20"/>
      <c r="M231" s="20"/>
      <c r="N231" s="20"/>
      <c r="O231" s="20"/>
      <c r="P231" s="20"/>
      <c r="Q231" s="20"/>
      <c r="R231" s="20"/>
      <c r="S231" s="20"/>
      <c r="T231" s="20"/>
      <c r="U231" s="20"/>
      <c r="V231" s="20"/>
      <c r="W231" s="20"/>
      <c r="X231" s="20"/>
      <c r="Y231" s="20"/>
      <c r="Z231" s="20"/>
      <c r="AA231" s="20"/>
    </row>
    <row r="232" spans="1:27">
      <c r="A232" s="20"/>
      <c r="B232" s="20"/>
      <c r="C232" s="20"/>
      <c r="D232" s="20"/>
      <c r="E232" s="20"/>
      <c r="F232" s="20"/>
      <c r="G232" s="20"/>
      <c r="H232" s="20"/>
      <c r="I232" s="20"/>
      <c r="J232" s="20"/>
      <c r="K232" s="20"/>
      <c r="L232" s="20"/>
      <c r="M232" s="20"/>
      <c r="N232" s="20"/>
      <c r="O232" s="20"/>
      <c r="P232" s="20"/>
      <c r="Q232" s="20"/>
      <c r="R232" s="20"/>
      <c r="S232" s="20"/>
      <c r="T232" s="20"/>
      <c r="U232" s="20"/>
      <c r="V232" s="20"/>
      <c r="W232" s="20"/>
      <c r="X232" s="20"/>
      <c r="Y232" s="20"/>
      <c r="Z232" s="20"/>
      <c r="AA232" s="20"/>
    </row>
    <row r="233" spans="1:27">
      <c r="A233" s="20"/>
      <c r="B233" s="20"/>
      <c r="C233" s="20"/>
      <c r="D233" s="20"/>
      <c r="E233" s="20"/>
      <c r="F233" s="20"/>
      <c r="G233" s="20"/>
      <c r="H233" s="20"/>
      <c r="I233" s="20"/>
      <c r="J233" s="20"/>
      <c r="K233" s="20"/>
      <c r="L233" s="20"/>
      <c r="M233" s="20"/>
      <c r="N233" s="20"/>
      <c r="O233" s="20"/>
      <c r="P233" s="20"/>
      <c r="Q233" s="20"/>
      <c r="R233" s="20"/>
      <c r="S233" s="20"/>
      <c r="T233" s="20"/>
      <c r="U233" s="20"/>
      <c r="V233" s="20"/>
      <c r="W233" s="20"/>
      <c r="X233" s="20"/>
      <c r="Y233" s="20"/>
      <c r="Z233" s="20"/>
      <c r="AA233" s="20"/>
    </row>
    <row r="234" spans="1:27">
      <c r="A234" s="20"/>
      <c r="B234" s="20"/>
      <c r="C234" s="20"/>
      <c r="D234" s="20"/>
      <c r="E234" s="20"/>
      <c r="F234" s="20"/>
      <c r="G234" s="20"/>
      <c r="H234" s="20"/>
      <c r="I234" s="20"/>
      <c r="J234" s="20"/>
      <c r="K234" s="20"/>
      <c r="L234" s="20"/>
      <c r="M234" s="20"/>
      <c r="N234" s="20"/>
      <c r="O234" s="20"/>
      <c r="P234" s="20"/>
      <c r="Q234" s="20"/>
      <c r="R234" s="20"/>
      <c r="S234" s="20"/>
      <c r="T234" s="20"/>
      <c r="U234" s="20"/>
      <c r="V234" s="20"/>
      <c r="W234" s="20"/>
      <c r="X234" s="20"/>
      <c r="Y234" s="20"/>
      <c r="Z234" s="20"/>
      <c r="AA234" s="20"/>
    </row>
    <row r="235" spans="1:27">
      <c r="A235" s="20"/>
      <c r="B235" s="20"/>
      <c r="C235" s="20"/>
      <c r="D235" s="20"/>
      <c r="E235" s="20"/>
      <c r="F235" s="20"/>
      <c r="G235" s="20"/>
      <c r="H235" s="20"/>
      <c r="I235" s="20"/>
      <c r="J235" s="20"/>
      <c r="K235" s="20"/>
      <c r="L235" s="20"/>
      <c r="M235" s="20"/>
      <c r="N235" s="20"/>
      <c r="O235" s="20"/>
      <c r="P235" s="20"/>
      <c r="Q235" s="20"/>
      <c r="R235" s="20"/>
      <c r="S235" s="20"/>
      <c r="T235" s="20"/>
      <c r="U235" s="20"/>
      <c r="V235" s="20"/>
      <c r="W235" s="20"/>
      <c r="X235" s="20"/>
      <c r="Y235" s="20"/>
      <c r="Z235" s="20"/>
      <c r="AA235" s="20"/>
    </row>
    <row r="236" spans="1:27">
      <c r="A236" s="20"/>
      <c r="B236" s="20"/>
      <c r="C236" s="20"/>
      <c r="D236" s="20"/>
      <c r="E236" s="20"/>
      <c r="F236" s="20"/>
      <c r="G236" s="20"/>
      <c r="H236" s="20"/>
      <c r="I236" s="20"/>
      <c r="J236" s="20"/>
      <c r="K236" s="20"/>
      <c r="L236" s="20"/>
      <c r="M236" s="20"/>
      <c r="N236" s="20"/>
      <c r="O236" s="20"/>
      <c r="P236" s="20"/>
      <c r="Q236" s="20"/>
      <c r="R236" s="20"/>
      <c r="S236" s="20"/>
      <c r="T236" s="20"/>
      <c r="U236" s="20"/>
      <c r="V236" s="20"/>
      <c r="W236" s="20"/>
      <c r="X236" s="20"/>
      <c r="Y236" s="20"/>
      <c r="Z236" s="20"/>
      <c r="AA236" s="20"/>
    </row>
    <row r="237" spans="1:27">
      <c r="A237" s="20"/>
      <c r="B237" s="20"/>
      <c r="C237" s="20"/>
      <c r="D237" s="20"/>
      <c r="E237" s="20"/>
      <c r="F237" s="20"/>
      <c r="G237" s="20"/>
      <c r="H237" s="20"/>
      <c r="I237" s="20"/>
      <c r="J237" s="20"/>
      <c r="K237" s="20"/>
      <c r="L237" s="20"/>
      <c r="M237" s="20"/>
      <c r="N237" s="20"/>
      <c r="O237" s="20"/>
      <c r="P237" s="20"/>
      <c r="Q237" s="20"/>
      <c r="R237" s="20"/>
      <c r="S237" s="20"/>
      <c r="T237" s="20"/>
      <c r="U237" s="20"/>
      <c r="V237" s="20"/>
      <c r="W237" s="20"/>
      <c r="X237" s="20"/>
      <c r="Y237" s="20"/>
      <c r="Z237" s="20"/>
      <c r="AA237" s="20"/>
    </row>
    <row r="238" spans="1:27">
      <c r="A238" s="20"/>
      <c r="B238" s="20"/>
      <c r="C238" s="20"/>
      <c r="D238" s="20"/>
      <c r="E238" s="20"/>
      <c r="F238" s="20"/>
      <c r="G238" s="20"/>
      <c r="H238" s="20"/>
      <c r="I238" s="20"/>
      <c r="J238" s="20"/>
      <c r="K238" s="20"/>
      <c r="L238" s="20"/>
      <c r="M238" s="20"/>
      <c r="N238" s="20"/>
      <c r="O238" s="20"/>
      <c r="P238" s="20"/>
      <c r="Q238" s="20"/>
      <c r="R238" s="20"/>
      <c r="S238" s="20"/>
      <c r="T238" s="20"/>
      <c r="U238" s="20"/>
      <c r="V238" s="20"/>
      <c r="W238" s="20"/>
      <c r="X238" s="20"/>
      <c r="Y238" s="20"/>
      <c r="Z238" s="20"/>
      <c r="AA238" s="20"/>
    </row>
    <row r="239" spans="1:27">
      <c r="A239" s="20"/>
      <c r="B239" s="20"/>
      <c r="C239" s="20"/>
      <c r="D239" s="20"/>
      <c r="E239" s="20"/>
      <c r="F239" s="20"/>
      <c r="G239" s="20"/>
      <c r="H239" s="20"/>
      <c r="I239" s="20"/>
      <c r="J239" s="20"/>
      <c r="K239" s="20"/>
      <c r="L239" s="20"/>
      <c r="M239" s="20"/>
      <c r="N239" s="20"/>
      <c r="O239" s="20"/>
      <c r="P239" s="20"/>
      <c r="Q239" s="20"/>
      <c r="R239" s="20"/>
      <c r="S239" s="20"/>
      <c r="T239" s="20"/>
      <c r="U239" s="20"/>
      <c r="V239" s="20"/>
      <c r="W239" s="20"/>
      <c r="X239" s="20"/>
      <c r="Y239" s="20"/>
      <c r="Z239" s="20"/>
      <c r="AA239" s="20"/>
    </row>
    <row r="240" spans="1:27">
      <c r="A240" s="20"/>
      <c r="B240" s="20"/>
      <c r="C240" s="20"/>
      <c r="D240" s="20"/>
      <c r="E240" s="20"/>
      <c r="F240" s="20"/>
      <c r="G240" s="20"/>
      <c r="H240" s="20"/>
      <c r="I240" s="20"/>
      <c r="J240" s="20"/>
      <c r="K240" s="20"/>
      <c r="L240" s="20"/>
      <c r="M240" s="20"/>
      <c r="N240" s="20"/>
      <c r="O240" s="20"/>
      <c r="P240" s="20"/>
      <c r="Q240" s="20"/>
      <c r="R240" s="20"/>
      <c r="S240" s="20"/>
      <c r="T240" s="20"/>
      <c r="U240" s="20"/>
      <c r="V240" s="20"/>
      <c r="W240" s="20"/>
      <c r="X240" s="20"/>
      <c r="Y240" s="20"/>
      <c r="Z240" s="20"/>
      <c r="AA240" s="20"/>
    </row>
    <row r="241" spans="1:27">
      <c r="A241" s="20"/>
      <c r="B241" s="20"/>
      <c r="C241" s="20"/>
      <c r="D241" s="20"/>
      <c r="E241" s="20"/>
      <c r="F241" s="20"/>
      <c r="G241" s="20"/>
      <c r="H241" s="20"/>
      <c r="I241" s="20"/>
      <c r="J241" s="20"/>
      <c r="K241" s="20"/>
      <c r="L241" s="20"/>
      <c r="M241" s="20"/>
      <c r="N241" s="20"/>
      <c r="O241" s="20"/>
      <c r="P241" s="20"/>
      <c r="Q241" s="20"/>
      <c r="R241" s="20"/>
      <c r="S241" s="20"/>
      <c r="T241" s="20"/>
      <c r="U241" s="20"/>
      <c r="V241" s="20"/>
      <c r="W241" s="20"/>
      <c r="X241" s="20"/>
      <c r="Y241" s="20"/>
      <c r="Z241" s="20"/>
      <c r="AA241" s="20"/>
    </row>
    <row r="242" spans="1:27">
      <c r="A242" s="20"/>
      <c r="B242" s="20"/>
      <c r="C242" s="20"/>
      <c r="D242" s="20"/>
      <c r="E242" s="20"/>
      <c r="F242" s="20"/>
      <c r="G242" s="20"/>
      <c r="H242" s="20"/>
      <c r="I242" s="20"/>
      <c r="J242" s="20"/>
      <c r="K242" s="20"/>
      <c r="L242" s="20"/>
      <c r="M242" s="20"/>
      <c r="N242" s="20"/>
      <c r="O242" s="20"/>
      <c r="P242" s="20"/>
      <c r="Q242" s="20"/>
      <c r="R242" s="20"/>
      <c r="S242" s="20"/>
      <c r="T242" s="20"/>
      <c r="U242" s="20"/>
      <c r="V242" s="20"/>
      <c r="W242" s="20"/>
      <c r="X242" s="20"/>
      <c r="Y242" s="20"/>
      <c r="Z242" s="20"/>
      <c r="AA242" s="20"/>
    </row>
    <row r="243" spans="1:27">
      <c r="A243" s="20"/>
      <c r="B243" s="20"/>
      <c r="C243" s="20"/>
      <c r="D243" s="20"/>
      <c r="E243" s="20"/>
      <c r="F243" s="20"/>
      <c r="G243" s="20"/>
      <c r="H243" s="20"/>
      <c r="I243" s="20"/>
      <c r="J243" s="20"/>
      <c r="K243" s="20"/>
      <c r="L243" s="20"/>
      <c r="M243" s="20"/>
      <c r="N243" s="20"/>
      <c r="O243" s="20"/>
      <c r="P243" s="20"/>
      <c r="Q243" s="20"/>
      <c r="R243" s="20"/>
      <c r="S243" s="20"/>
      <c r="T243" s="20"/>
      <c r="U243" s="20"/>
      <c r="V243" s="20"/>
      <c r="W243" s="20"/>
      <c r="X243" s="20"/>
      <c r="Y243" s="20"/>
      <c r="Z243" s="20"/>
      <c r="AA243" s="20"/>
    </row>
    <row r="244" spans="1:27">
      <c r="A244" s="20"/>
      <c r="B244" s="20"/>
      <c r="C244" s="20"/>
      <c r="D244" s="20"/>
      <c r="E244" s="20"/>
      <c r="F244" s="20"/>
      <c r="G244" s="20"/>
      <c r="H244" s="20"/>
      <c r="I244" s="20"/>
      <c r="J244" s="20"/>
      <c r="K244" s="20"/>
      <c r="L244" s="20"/>
      <c r="M244" s="20"/>
      <c r="N244" s="20"/>
      <c r="O244" s="20"/>
      <c r="P244" s="20"/>
      <c r="Q244" s="20"/>
      <c r="R244" s="20"/>
      <c r="S244" s="20"/>
      <c r="T244" s="20"/>
      <c r="U244" s="20"/>
      <c r="V244" s="20"/>
      <c r="W244" s="20"/>
      <c r="X244" s="20"/>
      <c r="Y244" s="20"/>
      <c r="Z244" s="20"/>
      <c r="AA244" s="20"/>
    </row>
    <row r="245" spans="1:27">
      <c r="A245" s="20"/>
      <c r="B245" s="20"/>
      <c r="C245" s="20"/>
      <c r="D245" s="20"/>
      <c r="E245" s="20"/>
      <c r="F245" s="20"/>
      <c r="G245" s="20"/>
      <c r="H245" s="20"/>
      <c r="I245" s="20"/>
      <c r="J245" s="20"/>
      <c r="K245" s="20"/>
      <c r="L245" s="20"/>
      <c r="M245" s="20"/>
      <c r="N245" s="20"/>
      <c r="O245" s="20"/>
      <c r="P245" s="20"/>
      <c r="Q245" s="20"/>
      <c r="R245" s="20"/>
      <c r="S245" s="20"/>
      <c r="T245" s="20"/>
      <c r="U245" s="20"/>
      <c r="V245" s="20"/>
      <c r="W245" s="20"/>
      <c r="X245" s="20"/>
      <c r="Y245" s="20"/>
      <c r="Z245" s="20"/>
      <c r="AA245" s="20"/>
    </row>
    <row r="246" spans="1:27">
      <c r="A246" s="20"/>
      <c r="B246" s="20"/>
      <c r="C246" s="20"/>
      <c r="D246" s="20"/>
      <c r="E246" s="20"/>
      <c r="F246" s="20"/>
      <c r="G246" s="20"/>
      <c r="H246" s="20"/>
      <c r="I246" s="20"/>
      <c r="J246" s="20"/>
      <c r="K246" s="20"/>
      <c r="L246" s="20"/>
      <c r="M246" s="20"/>
      <c r="N246" s="20"/>
      <c r="O246" s="20"/>
      <c r="P246" s="20"/>
      <c r="Q246" s="20"/>
      <c r="R246" s="20"/>
      <c r="S246" s="20"/>
      <c r="T246" s="20"/>
      <c r="U246" s="20"/>
      <c r="V246" s="20"/>
      <c r="W246" s="20"/>
      <c r="X246" s="20"/>
      <c r="Y246" s="20"/>
      <c r="Z246" s="20"/>
      <c r="AA246" s="20"/>
    </row>
    <row r="247" spans="1:27">
      <c r="A247" s="20"/>
      <c r="B247" s="20"/>
      <c r="C247" s="20"/>
      <c r="D247" s="20"/>
      <c r="E247" s="20"/>
      <c r="F247" s="20"/>
      <c r="G247" s="20"/>
      <c r="H247" s="20"/>
      <c r="I247" s="20"/>
      <c r="J247" s="20"/>
      <c r="K247" s="20"/>
      <c r="L247" s="20"/>
      <c r="M247" s="20"/>
      <c r="N247" s="20"/>
      <c r="O247" s="20"/>
      <c r="P247" s="20"/>
      <c r="Q247" s="20"/>
      <c r="R247" s="20"/>
      <c r="S247" s="20"/>
      <c r="T247" s="20"/>
      <c r="U247" s="20"/>
      <c r="V247" s="20"/>
      <c r="W247" s="20"/>
      <c r="X247" s="20"/>
      <c r="Y247" s="20"/>
      <c r="Z247" s="20"/>
      <c r="AA247" s="20"/>
    </row>
    <row r="248" spans="1:27">
      <c r="A248" s="20"/>
      <c r="B248" s="20"/>
      <c r="C248" s="20"/>
      <c r="D248" s="20"/>
      <c r="E248" s="20"/>
      <c r="F248" s="20"/>
      <c r="G248" s="20"/>
      <c r="H248" s="20"/>
      <c r="I248" s="20"/>
      <c r="J248" s="20"/>
      <c r="K248" s="20"/>
      <c r="L248" s="20"/>
      <c r="M248" s="20"/>
      <c r="N248" s="20"/>
      <c r="O248" s="20"/>
      <c r="P248" s="20"/>
      <c r="Q248" s="20"/>
      <c r="R248" s="20"/>
      <c r="S248" s="20"/>
      <c r="T248" s="20"/>
      <c r="U248" s="20"/>
      <c r="V248" s="20"/>
      <c r="W248" s="20"/>
      <c r="X248" s="20"/>
      <c r="Y248" s="20"/>
      <c r="Z248" s="20"/>
      <c r="AA248" s="20"/>
    </row>
    <row r="249" spans="1:27">
      <c r="A249" s="20"/>
      <c r="B249" s="20"/>
      <c r="C249" s="20"/>
      <c r="D249" s="20"/>
      <c r="E249" s="20"/>
      <c r="F249" s="20"/>
      <c r="G249" s="20"/>
      <c r="H249" s="20"/>
      <c r="I249" s="20"/>
      <c r="J249" s="20"/>
      <c r="K249" s="20"/>
      <c r="L249" s="20"/>
      <c r="M249" s="20"/>
      <c r="N249" s="20"/>
      <c r="O249" s="20"/>
      <c r="P249" s="20"/>
      <c r="Q249" s="20"/>
      <c r="R249" s="20"/>
      <c r="S249" s="20"/>
      <c r="T249" s="20"/>
      <c r="U249" s="20"/>
      <c r="V249" s="20"/>
      <c r="W249" s="20"/>
      <c r="X249" s="20"/>
      <c r="Y249" s="20"/>
      <c r="Z249" s="20"/>
      <c r="AA249" s="20"/>
    </row>
    <row r="250" spans="1:27">
      <c r="A250" s="20"/>
      <c r="B250" s="20"/>
      <c r="C250" s="20"/>
      <c r="D250" s="20"/>
      <c r="E250" s="20"/>
      <c r="F250" s="20"/>
      <c r="G250" s="20"/>
      <c r="H250" s="20"/>
      <c r="I250" s="20"/>
      <c r="J250" s="20"/>
      <c r="K250" s="20"/>
      <c r="L250" s="20"/>
      <c r="M250" s="20"/>
      <c r="N250" s="20"/>
      <c r="O250" s="20"/>
      <c r="P250" s="20"/>
      <c r="Q250" s="20"/>
      <c r="R250" s="20"/>
      <c r="S250" s="20"/>
      <c r="T250" s="20"/>
      <c r="U250" s="20"/>
      <c r="V250" s="20"/>
      <c r="W250" s="20"/>
      <c r="X250" s="20"/>
      <c r="Y250" s="20"/>
      <c r="Z250" s="20"/>
      <c r="AA250" s="20"/>
    </row>
    <row r="251" spans="1:27">
      <c r="A251" s="20"/>
      <c r="B251" s="20"/>
      <c r="C251" s="20"/>
      <c r="D251" s="20"/>
      <c r="E251" s="20"/>
      <c r="F251" s="20"/>
      <c r="G251" s="20"/>
      <c r="H251" s="20"/>
      <c r="I251" s="20"/>
      <c r="J251" s="20"/>
      <c r="K251" s="20"/>
      <c r="L251" s="20"/>
      <c r="M251" s="20"/>
      <c r="N251" s="20"/>
      <c r="O251" s="20"/>
      <c r="P251" s="20"/>
      <c r="Q251" s="20"/>
      <c r="R251" s="20"/>
      <c r="S251" s="20"/>
      <c r="T251" s="20"/>
      <c r="U251" s="20"/>
      <c r="V251" s="20"/>
      <c r="W251" s="20"/>
      <c r="X251" s="20"/>
      <c r="Y251" s="20"/>
      <c r="Z251" s="20"/>
      <c r="AA251" s="20"/>
    </row>
    <row r="252" spans="1:27">
      <c r="A252" s="20"/>
      <c r="B252" s="20"/>
      <c r="C252" s="20"/>
      <c r="D252" s="20"/>
      <c r="E252" s="20"/>
      <c r="F252" s="20"/>
      <c r="G252" s="20"/>
      <c r="H252" s="20"/>
      <c r="I252" s="20"/>
      <c r="J252" s="20"/>
      <c r="K252" s="20"/>
      <c r="L252" s="20"/>
      <c r="M252" s="20"/>
      <c r="N252" s="20"/>
      <c r="O252" s="20"/>
      <c r="P252" s="20"/>
      <c r="Q252" s="20"/>
      <c r="R252" s="20"/>
      <c r="S252" s="20"/>
      <c r="T252" s="20"/>
      <c r="U252" s="20"/>
      <c r="V252" s="20"/>
      <c r="W252" s="20"/>
      <c r="X252" s="20"/>
      <c r="Y252" s="20"/>
      <c r="Z252" s="20"/>
      <c r="AA252" s="20"/>
    </row>
    <row r="253" spans="1:27">
      <c r="A253" s="20"/>
      <c r="B253" s="20"/>
      <c r="C253" s="20"/>
      <c r="D253" s="20"/>
      <c r="E253" s="20"/>
      <c r="F253" s="20"/>
      <c r="G253" s="20"/>
      <c r="H253" s="20"/>
      <c r="I253" s="20"/>
      <c r="J253" s="20"/>
      <c r="K253" s="20"/>
      <c r="L253" s="20"/>
      <c r="M253" s="20"/>
      <c r="N253" s="20"/>
      <c r="O253" s="20"/>
      <c r="P253" s="20"/>
      <c r="Q253" s="20"/>
      <c r="R253" s="20"/>
      <c r="S253" s="20"/>
      <c r="T253" s="20"/>
      <c r="U253" s="20"/>
      <c r="V253" s="20"/>
      <c r="W253" s="20"/>
      <c r="X253" s="20"/>
      <c r="Y253" s="20"/>
      <c r="Z253" s="20"/>
      <c r="AA253" s="20"/>
    </row>
    <row r="254" spans="1:27">
      <c r="A254" s="20"/>
      <c r="B254" s="20"/>
      <c r="C254" s="20"/>
      <c r="D254" s="20"/>
      <c r="E254" s="20"/>
      <c r="F254" s="20"/>
      <c r="G254" s="20"/>
      <c r="H254" s="20"/>
      <c r="I254" s="20"/>
      <c r="J254" s="20"/>
      <c r="K254" s="20"/>
      <c r="L254" s="20"/>
      <c r="M254" s="20"/>
      <c r="N254" s="20"/>
      <c r="O254" s="20"/>
      <c r="P254" s="20"/>
      <c r="Q254" s="20"/>
      <c r="R254" s="20"/>
      <c r="S254" s="20"/>
      <c r="T254" s="20"/>
      <c r="U254" s="20"/>
      <c r="V254" s="20"/>
      <c r="W254" s="20"/>
      <c r="X254" s="20"/>
      <c r="Y254" s="20"/>
      <c r="Z254" s="20"/>
      <c r="AA254" s="20"/>
    </row>
    <row r="255" spans="1:27">
      <c r="A255" s="20"/>
      <c r="B255" s="20"/>
      <c r="C255" s="20"/>
      <c r="D255" s="20"/>
      <c r="E255" s="20"/>
      <c r="F255" s="20"/>
      <c r="G255" s="20"/>
      <c r="H255" s="20"/>
      <c r="I255" s="20"/>
      <c r="J255" s="20"/>
      <c r="K255" s="20"/>
      <c r="L255" s="20"/>
      <c r="M255" s="20"/>
      <c r="N255" s="20"/>
      <c r="O255" s="20"/>
      <c r="P255" s="20"/>
      <c r="Q255" s="20"/>
      <c r="R255" s="20"/>
      <c r="S255" s="20"/>
      <c r="T255" s="20"/>
      <c r="U255" s="20"/>
      <c r="V255" s="20"/>
      <c r="W255" s="20"/>
      <c r="X255" s="20"/>
      <c r="Y255" s="20"/>
      <c r="Z255" s="20"/>
      <c r="AA255" s="20"/>
    </row>
    <row r="256" spans="1:27">
      <c r="A256" s="20"/>
      <c r="B256" s="20"/>
      <c r="C256" s="20"/>
      <c r="D256" s="20"/>
      <c r="E256" s="20"/>
      <c r="F256" s="20"/>
      <c r="G256" s="20"/>
      <c r="H256" s="20"/>
      <c r="I256" s="20"/>
      <c r="J256" s="20"/>
      <c r="K256" s="20"/>
      <c r="L256" s="20"/>
      <c r="M256" s="20"/>
      <c r="N256" s="20"/>
      <c r="O256" s="20"/>
      <c r="P256" s="20"/>
      <c r="Q256" s="20"/>
      <c r="R256" s="20"/>
      <c r="S256" s="20"/>
      <c r="T256" s="20"/>
      <c r="U256" s="20"/>
      <c r="V256" s="20"/>
      <c r="W256" s="20"/>
      <c r="X256" s="20"/>
      <c r="Y256" s="20"/>
      <c r="Z256" s="20"/>
      <c r="AA256" s="20"/>
    </row>
    <row r="257" spans="1:27">
      <c r="A257" s="20"/>
      <c r="B257" s="20"/>
      <c r="C257" s="20"/>
      <c r="D257" s="20"/>
      <c r="E257" s="20"/>
      <c r="F257" s="20"/>
      <c r="G257" s="20"/>
      <c r="H257" s="20"/>
      <c r="I257" s="20"/>
      <c r="J257" s="20"/>
      <c r="K257" s="20"/>
      <c r="L257" s="20"/>
      <c r="M257" s="20"/>
      <c r="N257" s="20"/>
      <c r="O257" s="20"/>
      <c r="P257" s="20"/>
      <c r="Q257" s="20"/>
      <c r="R257" s="20"/>
      <c r="S257" s="20"/>
      <c r="T257" s="20"/>
      <c r="U257" s="20"/>
      <c r="V257" s="20"/>
      <c r="W257" s="20"/>
      <c r="X257" s="20"/>
      <c r="Y257" s="20"/>
      <c r="Z257" s="20"/>
      <c r="AA257" s="20"/>
    </row>
    <row r="258" spans="1:27">
      <c r="A258" s="20"/>
      <c r="B258" s="20"/>
      <c r="C258" s="20"/>
      <c r="D258" s="20"/>
      <c r="E258" s="20"/>
      <c r="F258" s="20"/>
      <c r="G258" s="20"/>
      <c r="H258" s="20"/>
      <c r="I258" s="20"/>
      <c r="J258" s="20"/>
      <c r="K258" s="20"/>
      <c r="L258" s="20"/>
      <c r="M258" s="20"/>
      <c r="N258" s="20"/>
      <c r="O258" s="20"/>
      <c r="P258" s="20"/>
      <c r="Q258" s="20"/>
      <c r="R258" s="20"/>
      <c r="S258" s="20"/>
      <c r="T258" s="20"/>
      <c r="U258" s="20"/>
      <c r="V258" s="20"/>
      <c r="W258" s="20"/>
      <c r="X258" s="20"/>
      <c r="Y258" s="20"/>
      <c r="Z258" s="20"/>
      <c r="AA258" s="20"/>
    </row>
    <row r="259" spans="1:27">
      <c r="A259" s="20"/>
      <c r="B259" s="20"/>
      <c r="C259" s="20"/>
      <c r="D259" s="20"/>
      <c r="E259" s="20"/>
      <c r="F259" s="20"/>
      <c r="G259" s="20"/>
      <c r="H259" s="20"/>
      <c r="I259" s="20"/>
      <c r="J259" s="20"/>
      <c r="K259" s="20"/>
      <c r="L259" s="20"/>
      <c r="M259" s="20"/>
      <c r="N259" s="20"/>
      <c r="O259" s="20"/>
      <c r="P259" s="20"/>
      <c r="Q259" s="20"/>
      <c r="R259" s="20"/>
      <c r="S259" s="20"/>
      <c r="T259" s="20"/>
      <c r="U259" s="20"/>
      <c r="V259" s="20"/>
      <c r="W259" s="20"/>
      <c r="X259" s="20"/>
      <c r="Y259" s="20"/>
      <c r="Z259" s="20"/>
      <c r="AA259" s="20"/>
    </row>
    <row r="260" spans="1:27">
      <c r="A260" s="20"/>
      <c r="B260" s="20"/>
      <c r="C260" s="20"/>
      <c r="D260" s="20"/>
      <c r="E260" s="20"/>
      <c r="F260" s="20"/>
      <c r="G260" s="20"/>
      <c r="H260" s="20"/>
      <c r="I260" s="20"/>
      <c r="J260" s="20"/>
      <c r="K260" s="20"/>
      <c r="L260" s="20"/>
      <c r="M260" s="20"/>
      <c r="N260" s="20"/>
      <c r="O260" s="20"/>
      <c r="P260" s="20"/>
      <c r="Q260" s="20"/>
      <c r="R260" s="20"/>
      <c r="S260" s="20"/>
      <c r="T260" s="20"/>
      <c r="U260" s="20"/>
      <c r="V260" s="20"/>
      <c r="W260" s="20"/>
      <c r="X260" s="20"/>
      <c r="Y260" s="20"/>
      <c r="Z260" s="20"/>
      <c r="AA260" s="20"/>
    </row>
    <row r="261" spans="1:27">
      <c r="A261" s="20"/>
      <c r="B261" s="20"/>
      <c r="C261" s="20"/>
      <c r="D261" s="20"/>
      <c r="E261" s="20"/>
      <c r="F261" s="20"/>
      <c r="G261" s="20"/>
      <c r="H261" s="20"/>
      <c r="I261" s="20"/>
      <c r="J261" s="20"/>
      <c r="K261" s="20"/>
      <c r="L261" s="20"/>
      <c r="M261" s="20"/>
      <c r="N261" s="20"/>
      <c r="O261" s="20"/>
      <c r="P261" s="20"/>
      <c r="Q261" s="20"/>
      <c r="R261" s="20"/>
      <c r="S261" s="20"/>
      <c r="T261" s="20"/>
      <c r="U261" s="20"/>
      <c r="V261" s="20"/>
      <c r="W261" s="20"/>
      <c r="X261" s="20"/>
      <c r="Y261" s="20"/>
      <c r="Z261" s="20"/>
      <c r="AA261" s="20"/>
    </row>
    <row r="262" spans="1:27">
      <c r="A262" s="20"/>
      <c r="B262" s="20"/>
      <c r="C262" s="20"/>
      <c r="D262" s="20"/>
      <c r="E262" s="20"/>
      <c r="F262" s="20"/>
      <c r="G262" s="20"/>
      <c r="H262" s="20"/>
      <c r="I262" s="20"/>
      <c r="J262" s="20"/>
      <c r="K262" s="20"/>
      <c r="L262" s="20"/>
      <c r="M262" s="20"/>
      <c r="N262" s="20"/>
      <c r="O262" s="20"/>
      <c r="P262" s="20"/>
      <c r="Q262" s="20"/>
      <c r="R262" s="20"/>
      <c r="S262" s="20"/>
      <c r="T262" s="20"/>
      <c r="U262" s="20"/>
      <c r="V262" s="20"/>
      <c r="W262" s="20"/>
      <c r="X262" s="20"/>
      <c r="Y262" s="20"/>
      <c r="Z262" s="20"/>
      <c r="AA262" s="20"/>
    </row>
    <row r="263" spans="1:27">
      <c r="A263" s="20"/>
      <c r="B263" s="20"/>
      <c r="C263" s="20"/>
      <c r="D263" s="20"/>
      <c r="E263" s="20"/>
      <c r="F263" s="20"/>
      <c r="G263" s="20"/>
      <c r="H263" s="20"/>
      <c r="I263" s="20"/>
      <c r="J263" s="20"/>
      <c r="K263" s="20"/>
      <c r="L263" s="20"/>
      <c r="M263" s="20"/>
      <c r="N263" s="20"/>
      <c r="O263" s="20"/>
      <c r="P263" s="20"/>
      <c r="Q263" s="20"/>
      <c r="R263" s="20"/>
      <c r="S263" s="20"/>
      <c r="T263" s="20"/>
      <c r="U263" s="20"/>
      <c r="V263" s="20"/>
      <c r="W263" s="20"/>
      <c r="X263" s="20"/>
      <c r="Y263" s="20"/>
      <c r="Z263" s="20"/>
      <c r="AA263" s="20"/>
    </row>
    <row r="264" spans="1:27">
      <c r="A264" s="20"/>
      <c r="B264" s="20"/>
      <c r="C264" s="20"/>
      <c r="D264" s="20"/>
      <c r="E264" s="20"/>
      <c r="F264" s="20"/>
      <c r="G264" s="20"/>
      <c r="H264" s="20"/>
      <c r="I264" s="20"/>
      <c r="J264" s="20"/>
      <c r="K264" s="20"/>
      <c r="L264" s="20"/>
      <c r="M264" s="20"/>
      <c r="N264" s="20"/>
      <c r="O264" s="20"/>
      <c r="P264" s="20"/>
      <c r="Q264" s="20"/>
      <c r="R264" s="20"/>
      <c r="S264" s="20"/>
      <c r="T264" s="20"/>
      <c r="U264" s="20"/>
      <c r="V264" s="20"/>
      <c r="W264" s="20"/>
      <c r="X264" s="20"/>
      <c r="Y264" s="20"/>
      <c r="Z264" s="20"/>
      <c r="AA264" s="20"/>
    </row>
    <row r="265" spans="1:27">
      <c r="A265" s="20"/>
      <c r="B265" s="20"/>
      <c r="C265" s="20"/>
      <c r="D265" s="20"/>
      <c r="E265" s="20"/>
      <c r="F265" s="20"/>
      <c r="G265" s="20"/>
      <c r="H265" s="20"/>
      <c r="I265" s="20"/>
      <c r="J265" s="20"/>
      <c r="K265" s="20"/>
      <c r="L265" s="20"/>
      <c r="M265" s="20"/>
      <c r="N265" s="20"/>
      <c r="O265" s="20"/>
      <c r="P265" s="20"/>
      <c r="Q265" s="20"/>
      <c r="R265" s="20"/>
      <c r="S265" s="20"/>
      <c r="T265" s="20"/>
      <c r="U265" s="20"/>
      <c r="V265" s="20"/>
      <c r="W265" s="20"/>
      <c r="X265" s="20"/>
      <c r="Y265" s="20"/>
      <c r="Z265" s="20"/>
      <c r="AA265" s="20"/>
    </row>
  </sheetData>
  <sheetProtection algorithmName="SHA-512" hashValue="GnfTA7tuhLu1p9fb9OtdkEwzuSRYeniRak3g6jmj6vrHumth2AReq9vBoUTaGt4nY4k8dKGFS8aH/qq2eA/Zew==" saltValue="2K4ri1r+tSPE2SWl0yvbjw==" spinCount="100000" sheet="1" selectLockedCells="1"/>
  <mergeCells count="9">
    <mergeCell ref="P51:Q51"/>
    <mergeCell ref="E3:K4"/>
    <mergeCell ref="K25:N25"/>
    <mergeCell ref="K33:N33"/>
    <mergeCell ref="K48:N48"/>
    <mergeCell ref="D6:F6"/>
    <mergeCell ref="D8:F8"/>
    <mergeCell ref="K13:N13"/>
    <mergeCell ref="M6:N6"/>
  </mergeCells>
  <phoneticPr fontId="2" type="noConversion"/>
  <conditionalFormatting sqref="D6:F6">
    <cfRule type="containsText" dxfId="109" priority="12" stopIfTrue="1" operator="containsText" text="0">
      <formula>NOT(ISERROR(SEARCH("0",D6)))</formula>
    </cfRule>
    <cfRule type="containsText" priority="13" stopIfTrue="1" operator="containsText" text="0">
      <formula>NOT(ISERROR(SEARCH("0",D6)))</formula>
    </cfRule>
  </conditionalFormatting>
  <conditionalFormatting sqref="D8:F8">
    <cfRule type="containsText" dxfId="108" priority="10" stopIfTrue="1" operator="containsText" text="0">
      <formula>NOT(ISERROR(SEARCH("0",D8)))</formula>
    </cfRule>
    <cfRule type="containsText" priority="11" stopIfTrue="1" operator="containsText" text="0">
      <formula>NOT(ISERROR(SEARCH("0",D8)))</formula>
    </cfRule>
  </conditionalFormatting>
  <conditionalFormatting sqref="J6">
    <cfRule type="containsText" dxfId="107" priority="9" stopIfTrue="1" operator="containsText" text="0">
      <formula>NOT(ISERROR(SEARCH("0",J6)))</formula>
    </cfRule>
  </conditionalFormatting>
  <conditionalFormatting sqref="K13:N13 K15 M15 M17 K25:N25 K33:N33 K35 M35 M37 K48:N48 K50 M50 M52">
    <cfRule type="cellIs" dxfId="106" priority="14" stopIfTrue="1" operator="equal">
      <formula>0</formula>
    </cfRule>
  </conditionalFormatting>
  <conditionalFormatting sqref="N6:O6">
    <cfRule type="containsText" dxfId="105" priority="7" stopIfTrue="1" operator="containsText" text="0">
      <formula>NOT(ISERROR(SEARCH("0",N6)))</formula>
    </cfRule>
  </conditionalFormatting>
  <conditionalFormatting sqref="N8:O8">
    <cfRule type="containsText" dxfId="104" priority="6" stopIfTrue="1" operator="containsText" text="0">
      <formula>NOT(ISERROR(SEARCH("0",N8)))</formula>
    </cfRule>
  </conditionalFormatting>
  <conditionalFormatting sqref="A39:AA40 T31:AA38 A51:AA265 S41:AA50 A1:AA12 A13:N13 P13:AA13 A31:P32 A34:P38 A33:N33 P33 A14:AA30 A41:P50">
    <cfRule type="expression" dxfId="103" priority="5" stopIfTrue="1">
      <formula>AND(A1&lt;&gt;"",OR(A1=0,A1="0"))</formula>
    </cfRule>
  </conditionalFormatting>
  <hyperlinks>
    <hyperlink ref="P37" location="'Guía de trabajo'!A18" display="'Guía de trabajo'!A18" xr:uid="{00000000-0004-0000-0400-000000000000}"/>
    <hyperlink ref="P19" location="'Guía de trabajo'!A18" display="'Guía de trabajo'!A18" xr:uid="{00000000-0004-0000-0400-000001000000}"/>
    <hyperlink ref="P61" location="'Guía de trabajo'!A29" display="'Guía de trabajo'!A29" xr:uid="{00000000-0004-0000-0400-000002000000}"/>
  </hyperlinks>
  <pageMargins left="0.82677165354330717" right="0.78740157480314965" top="0.94488188976377963" bottom="0.55118110236220474" header="0.43307086614173229" footer="0"/>
  <pageSetup paperSize="9" scale="95" orientation="portrait" blackAndWhite="1" horizontalDpi="4294967292" verticalDpi="4294967292" r:id="rId1"/>
  <headerFooter alignWithMargins="0">
    <oddHeader xml:space="preserve">&amp;LPREFECTURA NAVAL ARGENTINA
</oddHeader>
  </headerFooter>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5"/>
  <dimension ref="A1:AA229"/>
  <sheetViews>
    <sheetView topLeftCell="A6" zoomScale="115" zoomScaleNormal="115" zoomScaleSheetLayoutView="100" workbookViewId="0">
      <selection activeCell="L20" sqref="L20:M20"/>
    </sheetView>
  </sheetViews>
  <sheetFormatPr baseColWidth="10" defaultRowHeight="13.2"/>
  <cols>
    <col min="1" max="3" width="5.6640625" customWidth="1"/>
    <col min="4" max="4" width="4.88671875" customWidth="1"/>
    <col min="5" max="6" width="5.6640625" customWidth="1"/>
    <col min="7" max="7" width="5.33203125" customWidth="1"/>
    <col min="8" max="8" width="5.6640625" customWidth="1"/>
    <col min="9" max="9" width="7" customWidth="1"/>
    <col min="10" max="12" width="5.6640625" customWidth="1"/>
    <col min="13" max="13" width="6" customWidth="1"/>
    <col min="14" max="15" width="5.6640625" customWidth="1"/>
    <col min="16" max="16" width="6.6640625" customWidth="1"/>
  </cols>
  <sheetData>
    <row r="1" spans="1:27" ht="13.8" thickBot="1">
      <c r="A1" s="3"/>
      <c r="B1" s="3"/>
      <c r="C1" s="3"/>
      <c r="D1" s="3"/>
      <c r="E1" s="3"/>
      <c r="F1" s="3"/>
      <c r="G1" s="3"/>
      <c r="H1" s="3"/>
      <c r="I1" s="3"/>
      <c r="J1" s="3"/>
      <c r="K1" s="3"/>
      <c r="L1" s="3"/>
      <c r="M1" s="3"/>
      <c r="N1" s="3"/>
      <c r="O1" s="3"/>
      <c r="P1" s="20"/>
      <c r="Q1" s="20"/>
      <c r="R1" s="20"/>
      <c r="S1" s="20"/>
      <c r="T1" s="20"/>
      <c r="U1" s="20"/>
      <c r="V1" s="20"/>
      <c r="W1" s="20"/>
      <c r="X1" s="20"/>
      <c r="Y1" s="20"/>
      <c r="Z1" s="20"/>
      <c r="AA1" s="20"/>
    </row>
    <row r="2" spans="1:27" ht="13.8" thickTop="1">
      <c r="A2" s="192"/>
      <c r="B2" s="191"/>
      <c r="C2" s="191"/>
      <c r="D2" s="191"/>
      <c r="E2" s="191"/>
      <c r="F2" s="191"/>
      <c r="G2" s="191"/>
      <c r="H2" s="191"/>
      <c r="I2" s="191"/>
      <c r="J2" s="191"/>
      <c r="K2" s="191"/>
      <c r="L2" s="191"/>
      <c r="M2" s="191"/>
      <c r="N2" s="191"/>
      <c r="O2" s="200"/>
      <c r="P2" s="20"/>
      <c r="Q2" s="20"/>
      <c r="R2" s="20"/>
      <c r="S2" s="20"/>
      <c r="T2" s="20"/>
      <c r="U2" s="20"/>
      <c r="V2" s="20"/>
      <c r="W2" s="20"/>
      <c r="X2" s="20"/>
      <c r="Y2" s="20"/>
      <c r="Z2" s="20"/>
      <c r="AA2" s="20"/>
    </row>
    <row r="3" spans="1:27">
      <c r="A3" s="193"/>
      <c r="B3" s="168"/>
      <c r="C3" s="168"/>
      <c r="D3" s="168"/>
      <c r="E3" s="168"/>
      <c r="F3" s="307" t="s">
        <v>128</v>
      </c>
      <c r="G3" s="308"/>
      <c r="H3" s="308"/>
      <c r="I3" s="308"/>
      <c r="J3" s="308"/>
      <c r="K3" s="308"/>
      <c r="L3" s="168"/>
      <c r="M3" s="168"/>
      <c r="N3" s="168"/>
      <c r="O3" s="201"/>
      <c r="P3" s="20"/>
      <c r="Q3" s="20"/>
      <c r="R3" s="20"/>
      <c r="S3" s="20"/>
      <c r="T3" s="20"/>
      <c r="U3" s="20"/>
      <c r="V3" s="20"/>
      <c r="W3" s="20"/>
      <c r="X3" s="20"/>
      <c r="Y3" s="20"/>
      <c r="Z3" s="20"/>
      <c r="AA3" s="20"/>
    </row>
    <row r="4" spans="1:27">
      <c r="A4" s="194"/>
      <c r="B4" s="168"/>
      <c r="C4" s="168"/>
      <c r="D4" s="168"/>
      <c r="E4" s="168"/>
      <c r="F4" s="309"/>
      <c r="G4" s="309"/>
      <c r="H4" s="309"/>
      <c r="I4" s="309"/>
      <c r="J4" s="309"/>
      <c r="K4" s="309"/>
      <c r="L4" s="168"/>
      <c r="M4" s="168"/>
      <c r="N4" s="168"/>
      <c r="O4" s="201"/>
      <c r="P4" s="20"/>
      <c r="Q4" s="20"/>
      <c r="R4" s="20"/>
      <c r="S4" s="20"/>
      <c r="T4" s="20"/>
      <c r="U4" s="20"/>
      <c r="V4" s="20"/>
      <c r="W4" s="20"/>
      <c r="X4" s="20"/>
      <c r="Y4" s="20"/>
      <c r="Z4" s="20"/>
      <c r="AA4" s="20"/>
    </row>
    <row r="5" spans="1:27">
      <c r="A5" s="193"/>
      <c r="B5" s="168"/>
      <c r="C5" s="168"/>
      <c r="D5" s="168"/>
      <c r="E5" s="168"/>
      <c r="F5" s="168"/>
      <c r="G5" s="168"/>
      <c r="H5" s="168"/>
      <c r="I5" s="168"/>
      <c r="J5" s="168"/>
      <c r="K5" s="168"/>
      <c r="L5" s="168"/>
      <c r="M5" s="168"/>
      <c r="N5" s="168"/>
      <c r="O5" s="201"/>
      <c r="P5" s="20"/>
      <c r="Q5" s="20"/>
      <c r="R5" s="20"/>
      <c r="S5" s="20"/>
      <c r="T5" s="20"/>
      <c r="U5" s="20"/>
      <c r="V5" s="20"/>
      <c r="W5" s="20"/>
      <c r="X5" s="20"/>
      <c r="Y5" s="20"/>
      <c r="Z5" s="20"/>
      <c r="AA5" s="20"/>
    </row>
    <row r="6" spans="1:27">
      <c r="A6" s="213" t="s">
        <v>0</v>
      </c>
      <c r="B6" s="206"/>
      <c r="C6" s="206"/>
      <c r="D6" s="310">
        <f>Datum!D7</f>
        <v>0</v>
      </c>
      <c r="E6" s="310"/>
      <c r="F6" s="310"/>
      <c r="G6" s="206"/>
      <c r="H6" s="206" t="s">
        <v>1</v>
      </c>
      <c r="I6" s="206"/>
      <c r="J6" s="1">
        <f>Datum!J7</f>
        <v>0</v>
      </c>
      <c r="K6" s="206"/>
      <c r="L6" s="206" t="s">
        <v>2</v>
      </c>
      <c r="M6" s="311">
        <f>Datum!N7</f>
        <v>0</v>
      </c>
      <c r="N6" s="312"/>
      <c r="O6" s="201"/>
      <c r="P6" s="20"/>
      <c r="Q6" s="20"/>
      <c r="R6" s="20"/>
      <c r="S6" s="20"/>
      <c r="T6" s="20"/>
      <c r="U6" s="20"/>
      <c r="V6" s="20"/>
      <c r="W6" s="20"/>
      <c r="X6" s="20"/>
      <c r="Y6" s="20"/>
      <c r="Z6" s="20"/>
      <c r="AA6" s="20"/>
    </row>
    <row r="7" spans="1:27">
      <c r="A7" s="193"/>
      <c r="B7" s="168"/>
      <c r="C7" s="168"/>
      <c r="D7" s="168"/>
      <c r="E7" s="168"/>
      <c r="F7" s="168"/>
      <c r="G7" s="168"/>
      <c r="H7" s="168"/>
      <c r="I7" s="168"/>
      <c r="J7" s="168"/>
      <c r="K7" s="168"/>
      <c r="L7" s="168"/>
      <c r="M7" s="168"/>
      <c r="N7" s="168"/>
      <c r="O7" s="201"/>
      <c r="P7" s="20"/>
      <c r="Q7" s="20"/>
      <c r="R7" s="20"/>
      <c r="S7" s="20"/>
      <c r="T7" s="20"/>
      <c r="U7" s="20"/>
      <c r="V7" s="20"/>
      <c r="W7" s="20"/>
      <c r="X7" s="20"/>
      <c r="Y7" s="20"/>
      <c r="Z7" s="20"/>
      <c r="AA7" s="20"/>
    </row>
    <row r="8" spans="1:27">
      <c r="A8" s="213" t="s">
        <v>3</v>
      </c>
      <c r="B8" s="206"/>
      <c r="C8" s="206"/>
      <c r="D8" s="310">
        <f>Datum!D9</f>
        <v>0</v>
      </c>
      <c r="E8" s="310"/>
      <c r="F8" s="310"/>
      <c r="G8" s="206"/>
      <c r="H8" s="206" t="s">
        <v>4</v>
      </c>
      <c r="I8" s="206"/>
      <c r="J8" s="1">
        <f>Datum!J9</f>
        <v>0</v>
      </c>
      <c r="K8" s="206" t="s">
        <v>5</v>
      </c>
      <c r="L8" s="168"/>
      <c r="M8" s="206"/>
      <c r="N8" s="5">
        <f>Datum!P9</f>
        <v>0</v>
      </c>
      <c r="O8" s="201"/>
      <c r="P8" s="20"/>
      <c r="Q8" s="20"/>
      <c r="R8" s="20"/>
      <c r="S8" s="20"/>
      <c r="T8" s="20"/>
      <c r="U8" s="20"/>
      <c r="V8" s="20"/>
      <c r="W8" s="20"/>
      <c r="X8" s="20"/>
      <c r="Y8" s="20"/>
      <c r="Z8" s="20"/>
      <c r="AA8" s="20"/>
    </row>
    <row r="9" spans="1:27" ht="13.8" thickBot="1">
      <c r="A9" s="193"/>
      <c r="B9" s="168"/>
      <c r="C9" s="168"/>
      <c r="D9" s="168"/>
      <c r="E9" s="168"/>
      <c r="F9" s="168"/>
      <c r="G9" s="168"/>
      <c r="H9" s="168"/>
      <c r="I9" s="168"/>
      <c r="J9" s="168"/>
      <c r="K9" s="168"/>
      <c r="L9" s="168"/>
      <c r="M9" s="168"/>
      <c r="N9" s="168"/>
      <c r="O9" s="201"/>
      <c r="P9" s="20"/>
      <c r="Q9" s="20"/>
      <c r="R9" s="20"/>
      <c r="S9" s="20"/>
      <c r="T9" s="20"/>
      <c r="U9" s="20"/>
      <c r="V9" s="20"/>
      <c r="W9" s="20"/>
      <c r="X9" s="20"/>
      <c r="Y9" s="20"/>
      <c r="Z9" s="20"/>
      <c r="AA9" s="20"/>
    </row>
    <row r="10" spans="1:27" ht="13.8" thickBot="1">
      <c r="A10" s="186" t="s">
        <v>114</v>
      </c>
      <c r="B10" s="189"/>
      <c r="C10" s="187"/>
      <c r="D10" s="187"/>
      <c r="E10" s="187"/>
      <c r="F10" s="187"/>
      <c r="G10" s="187"/>
      <c r="H10" s="188"/>
      <c r="I10" s="168"/>
      <c r="J10" s="168"/>
      <c r="K10" s="168"/>
      <c r="L10" s="168"/>
      <c r="M10" s="168"/>
      <c r="N10" s="168"/>
      <c r="O10" s="201"/>
      <c r="P10" s="20"/>
      <c r="Q10" s="20"/>
      <c r="R10" s="20"/>
      <c r="S10" s="20"/>
      <c r="T10" s="20"/>
      <c r="U10" s="20"/>
      <c r="V10" s="20"/>
      <c r="W10" s="20"/>
      <c r="X10" s="20"/>
      <c r="Y10" s="20"/>
      <c r="Z10" s="20"/>
      <c r="AA10" s="20"/>
    </row>
    <row r="11" spans="1:27">
      <c r="A11" s="193"/>
      <c r="B11" s="168"/>
      <c r="C11" s="168"/>
      <c r="D11" s="168"/>
      <c r="E11" s="168"/>
      <c r="F11" s="168"/>
      <c r="G11" s="168"/>
      <c r="H11" s="168"/>
      <c r="I11" s="168"/>
      <c r="J11" s="168"/>
      <c r="K11" s="168"/>
      <c r="L11" s="168"/>
      <c r="M11" s="168"/>
      <c r="N11" s="168"/>
      <c r="O11" s="201"/>
      <c r="P11" s="20"/>
      <c r="Q11" s="20"/>
      <c r="R11" s="20"/>
      <c r="S11" s="20"/>
      <c r="T11" s="20"/>
      <c r="U11" s="20"/>
      <c r="V11" s="20"/>
      <c r="W11" s="20"/>
      <c r="X11" s="20"/>
      <c r="Y11" s="20"/>
      <c r="Z11" s="20"/>
      <c r="AA11" s="20"/>
    </row>
    <row r="12" spans="1:27">
      <c r="A12" s="193"/>
      <c r="B12" s="172">
        <v>1</v>
      </c>
      <c r="C12" s="206" t="s">
        <v>129</v>
      </c>
      <c r="D12" s="206"/>
      <c r="E12" s="206"/>
      <c r="F12" s="206"/>
      <c r="G12" s="206"/>
      <c r="H12" s="206"/>
      <c r="I12" s="206"/>
      <c r="J12" s="206"/>
      <c r="K12" s="145">
        <f>VMS!J38</f>
        <v>0</v>
      </c>
      <c r="L12" s="177" t="s">
        <v>29</v>
      </c>
      <c r="M12" s="149">
        <f>VMS!M38</f>
        <v>0</v>
      </c>
      <c r="N12" s="206" t="s">
        <v>30</v>
      </c>
      <c r="O12" s="201"/>
      <c r="P12" s="20"/>
      <c r="Q12" s="20"/>
      <c r="R12" s="20"/>
      <c r="S12" s="20"/>
      <c r="T12" s="20"/>
      <c r="U12" s="20"/>
      <c r="V12" s="20"/>
      <c r="W12" s="20"/>
      <c r="X12" s="20"/>
      <c r="Y12" s="20"/>
      <c r="Z12" s="20"/>
      <c r="AA12" s="20"/>
    </row>
    <row r="13" spans="1:27">
      <c r="A13" s="193"/>
      <c r="B13" s="168"/>
      <c r="C13" s="206" t="s">
        <v>130</v>
      </c>
      <c r="D13" s="206"/>
      <c r="E13" s="206"/>
      <c r="F13" s="206"/>
      <c r="G13" s="206"/>
      <c r="H13" s="206"/>
      <c r="I13" s="206"/>
      <c r="J13" s="206"/>
      <c r="K13" s="206"/>
      <c r="L13" s="206"/>
      <c r="M13" s="168"/>
      <c r="N13" s="177"/>
      <c r="O13" s="201"/>
      <c r="P13" s="20"/>
      <c r="Q13" s="20"/>
      <c r="R13" s="20"/>
      <c r="S13" s="20"/>
      <c r="T13" s="20"/>
      <c r="U13" s="20"/>
      <c r="V13" s="20"/>
      <c r="W13" s="20"/>
      <c r="X13" s="20"/>
      <c r="Y13" s="20"/>
      <c r="Z13" s="20"/>
      <c r="AA13" s="20"/>
    </row>
    <row r="14" spans="1:27">
      <c r="A14" s="193"/>
      <c r="B14" s="168"/>
      <c r="C14" s="206"/>
      <c r="D14" s="206"/>
      <c r="E14" s="206"/>
      <c r="F14" s="206"/>
      <c r="G14" s="206"/>
      <c r="H14" s="206"/>
      <c r="I14" s="206"/>
      <c r="J14" s="206"/>
      <c r="K14" s="206"/>
      <c r="L14" s="206"/>
      <c r="M14" s="168"/>
      <c r="N14" s="177"/>
      <c r="O14" s="201"/>
      <c r="P14" s="20"/>
      <c r="Q14" s="20"/>
      <c r="R14" s="20"/>
      <c r="S14" s="20"/>
      <c r="T14" s="20"/>
      <c r="U14" s="20"/>
      <c r="V14" s="20"/>
      <c r="W14" s="20"/>
      <c r="X14" s="20"/>
      <c r="Y14" s="20"/>
      <c r="Z14" s="20"/>
      <c r="AA14" s="20"/>
    </row>
    <row r="15" spans="1:27">
      <c r="A15" s="193"/>
      <c r="B15" s="172">
        <v>2</v>
      </c>
      <c r="C15" s="206" t="s">
        <v>131</v>
      </c>
      <c r="D15" s="168"/>
      <c r="E15" s="168"/>
      <c r="F15" s="168"/>
      <c r="G15" s="168"/>
      <c r="H15" s="168"/>
      <c r="I15" s="168"/>
      <c r="J15" s="168"/>
      <c r="K15" s="168"/>
      <c r="L15" s="312">
        <f>IF(K12=0,0,IF(K12&gt;=181,K12-180,K12+180))</f>
        <v>0</v>
      </c>
      <c r="M15" s="312">
        <f>IF(M13=0,0,IF(M13&gt;=181,M13-180,M13+180))</f>
        <v>0</v>
      </c>
      <c r="N15" s="177" t="s">
        <v>29</v>
      </c>
      <c r="O15" s="201"/>
      <c r="P15" s="20"/>
      <c r="Q15" s="20"/>
      <c r="R15" s="20"/>
      <c r="S15" s="20"/>
      <c r="T15" s="20"/>
      <c r="U15" s="20"/>
      <c r="V15" s="20"/>
      <c r="W15" s="20"/>
      <c r="X15" s="20"/>
      <c r="Y15" s="20"/>
      <c r="Z15" s="20"/>
      <c r="AA15" s="20"/>
    </row>
    <row r="16" spans="1:27">
      <c r="A16" s="193"/>
      <c r="B16" s="168"/>
      <c r="C16" s="168"/>
      <c r="D16" s="168"/>
      <c r="E16" s="168"/>
      <c r="F16" s="168"/>
      <c r="G16" s="168"/>
      <c r="H16" s="168"/>
      <c r="I16" s="168"/>
      <c r="J16" s="168"/>
      <c r="K16" s="168"/>
      <c r="L16" s="168"/>
      <c r="M16" s="168"/>
      <c r="N16" s="168"/>
      <c r="O16" s="201"/>
      <c r="P16" s="20"/>
      <c r="Q16" s="20"/>
      <c r="R16" s="20"/>
      <c r="S16" s="20"/>
      <c r="T16" s="20"/>
      <c r="U16" s="20"/>
      <c r="V16" s="20"/>
      <c r="W16" s="20"/>
      <c r="X16" s="20"/>
      <c r="Y16" s="20"/>
      <c r="Z16" s="20"/>
      <c r="AA16" s="20"/>
    </row>
    <row r="17" spans="1:27">
      <c r="A17" s="193"/>
      <c r="B17" s="172">
        <v>3</v>
      </c>
      <c r="C17" s="206" t="s">
        <v>489</v>
      </c>
      <c r="D17" s="168"/>
      <c r="E17" s="168"/>
      <c r="F17" s="168"/>
      <c r="G17" s="168"/>
      <c r="H17" s="168"/>
      <c r="I17" s="168"/>
      <c r="J17" s="168"/>
      <c r="K17" s="168"/>
      <c r="L17" s="168"/>
      <c r="M17" s="11"/>
      <c r="N17" s="206" t="s">
        <v>30</v>
      </c>
      <c r="O17" s="201"/>
      <c r="P17" s="20"/>
      <c r="Q17" s="20"/>
      <c r="R17" s="20"/>
      <c r="S17" s="20"/>
      <c r="T17" s="20"/>
      <c r="U17" s="20"/>
      <c r="V17" s="20"/>
      <c r="W17" s="20"/>
      <c r="X17" s="20"/>
      <c r="Y17" s="20"/>
      <c r="Z17" s="20"/>
      <c r="AA17" s="20"/>
    </row>
    <row r="18" spans="1:27">
      <c r="A18" s="193"/>
      <c r="B18" s="172"/>
      <c r="C18" s="206" t="s">
        <v>132</v>
      </c>
      <c r="D18" s="168"/>
      <c r="E18" s="168"/>
      <c r="F18" s="168"/>
      <c r="G18" s="168"/>
      <c r="H18" s="168"/>
      <c r="I18" s="168"/>
      <c r="J18" s="168"/>
      <c r="K18" s="168"/>
      <c r="L18" s="168"/>
      <c r="M18" s="168"/>
      <c r="N18" s="206"/>
      <c r="O18" s="201"/>
      <c r="P18" s="20"/>
      <c r="Q18" s="20"/>
      <c r="R18" s="20"/>
      <c r="S18" s="20"/>
      <c r="T18" s="20"/>
      <c r="U18" s="20"/>
      <c r="V18" s="20"/>
      <c r="W18" s="20"/>
      <c r="X18" s="20"/>
      <c r="Y18" s="20"/>
      <c r="Z18" s="20"/>
      <c r="AA18" s="20"/>
    </row>
    <row r="19" spans="1:27">
      <c r="A19" s="193"/>
      <c r="B19" s="172"/>
      <c r="C19" s="206"/>
      <c r="D19" s="168"/>
      <c r="E19" s="168"/>
      <c r="F19" s="168"/>
      <c r="G19" s="168"/>
      <c r="H19" s="168"/>
      <c r="I19" s="168"/>
      <c r="J19" s="168"/>
      <c r="K19" s="168"/>
      <c r="L19" s="168"/>
      <c r="M19" s="168"/>
      <c r="N19" s="206"/>
      <c r="O19" s="201"/>
      <c r="P19" s="20"/>
      <c r="Q19" s="20"/>
      <c r="R19" s="20"/>
      <c r="S19" s="20"/>
      <c r="T19" s="20"/>
      <c r="U19" s="20"/>
      <c r="V19" s="20"/>
      <c r="W19" s="20"/>
      <c r="X19" s="20"/>
      <c r="Y19" s="20"/>
      <c r="Z19" s="20"/>
      <c r="AA19" s="20"/>
    </row>
    <row r="20" spans="1:27">
      <c r="A20" s="193"/>
      <c r="B20" s="172">
        <v>4</v>
      </c>
      <c r="C20" s="206" t="s">
        <v>133</v>
      </c>
      <c r="D20" s="168"/>
      <c r="E20" s="168"/>
      <c r="F20" s="168"/>
      <c r="G20" s="168"/>
      <c r="H20" s="168"/>
      <c r="I20" s="168"/>
      <c r="J20" s="168"/>
      <c r="K20" s="174" t="s">
        <v>134</v>
      </c>
      <c r="L20" s="305"/>
      <c r="M20" s="305"/>
      <c r="N20" s="172" t="s">
        <v>135</v>
      </c>
      <c r="O20" s="201"/>
      <c r="P20" s="25">
        <f>L15-L20</f>
        <v>0</v>
      </c>
      <c r="Q20" s="20"/>
      <c r="R20" s="20"/>
      <c r="S20" s="20"/>
      <c r="T20" s="20"/>
      <c r="U20" s="20"/>
      <c r="V20" s="20"/>
      <c r="W20" s="20"/>
      <c r="X20" s="20"/>
      <c r="Y20" s="20"/>
      <c r="Z20" s="20"/>
      <c r="AA20" s="20"/>
    </row>
    <row r="21" spans="1:27">
      <c r="A21" s="193"/>
      <c r="B21" s="172"/>
      <c r="C21" s="206" t="s">
        <v>132</v>
      </c>
      <c r="D21" s="168"/>
      <c r="E21" s="168"/>
      <c r="F21" s="168"/>
      <c r="G21" s="168"/>
      <c r="H21" s="168"/>
      <c r="I21" s="168"/>
      <c r="J21" s="168"/>
      <c r="K21" s="168"/>
      <c r="L21" s="168"/>
      <c r="M21" s="168"/>
      <c r="N21" s="168"/>
      <c r="O21" s="201"/>
      <c r="P21" s="20"/>
      <c r="Q21" s="20"/>
      <c r="R21" s="20"/>
      <c r="S21" s="20"/>
      <c r="T21" s="20"/>
      <c r="U21" s="20"/>
      <c r="V21" s="20"/>
      <c r="W21" s="20"/>
      <c r="X21" s="20"/>
      <c r="Y21" s="20"/>
      <c r="Z21" s="20"/>
      <c r="AA21" s="20"/>
    </row>
    <row r="22" spans="1:27">
      <c r="A22" s="193"/>
      <c r="B22" s="172"/>
      <c r="C22" s="206"/>
      <c r="D22" s="168"/>
      <c r="E22" s="168"/>
      <c r="F22" s="168"/>
      <c r="G22" s="168"/>
      <c r="H22" s="168"/>
      <c r="I22" s="168"/>
      <c r="J22" s="168"/>
      <c r="K22" s="168"/>
      <c r="L22" s="168"/>
      <c r="M22" s="168"/>
      <c r="N22" s="168"/>
      <c r="O22" s="201"/>
      <c r="P22" s="20"/>
      <c r="Q22" s="20"/>
      <c r="R22" s="20"/>
      <c r="S22" s="20"/>
      <c r="T22" s="20"/>
      <c r="U22" s="20"/>
      <c r="V22" s="20"/>
      <c r="W22" s="20"/>
      <c r="X22" s="20"/>
      <c r="Y22" s="20"/>
      <c r="Z22" s="20"/>
      <c r="AA22" s="20"/>
    </row>
    <row r="23" spans="1:27">
      <c r="A23" s="193"/>
      <c r="B23" s="172">
        <v>5</v>
      </c>
      <c r="C23" s="206" t="s">
        <v>136</v>
      </c>
      <c r="D23" s="168"/>
      <c r="E23" s="168"/>
      <c r="F23" s="168"/>
      <c r="G23" s="168"/>
      <c r="H23" s="168"/>
      <c r="I23" s="168"/>
      <c r="J23" s="168"/>
      <c r="K23" s="168"/>
      <c r="L23" s="306">
        <f>IF(P20&lt;0,P20+360,P20)</f>
        <v>0</v>
      </c>
      <c r="M23" s="306"/>
      <c r="N23" s="177" t="s">
        <v>29</v>
      </c>
      <c r="O23" s="201"/>
      <c r="P23" s="20"/>
      <c r="Q23" s="20"/>
      <c r="R23" s="20"/>
      <c r="S23" s="20"/>
      <c r="T23" s="20"/>
      <c r="U23" s="20"/>
      <c r="V23" s="20"/>
      <c r="W23" s="20"/>
      <c r="X23" s="20"/>
      <c r="Y23" s="20"/>
      <c r="Z23" s="20"/>
      <c r="AA23" s="20"/>
    </row>
    <row r="24" spans="1:27">
      <c r="A24" s="193"/>
      <c r="B24" s="172"/>
      <c r="C24" s="206" t="s">
        <v>137</v>
      </c>
      <c r="D24" s="168"/>
      <c r="E24" s="168"/>
      <c r="F24" s="168"/>
      <c r="G24" s="168"/>
      <c r="H24" s="168"/>
      <c r="I24" s="168"/>
      <c r="J24" s="168"/>
      <c r="K24" s="168"/>
      <c r="L24" s="168"/>
      <c r="M24" s="168"/>
      <c r="N24" s="168"/>
      <c r="O24" s="201"/>
      <c r="P24" s="20"/>
      <c r="Q24" s="20"/>
      <c r="R24" s="20"/>
      <c r="S24" s="20"/>
      <c r="T24" s="20"/>
      <c r="U24" s="20"/>
      <c r="V24" s="20"/>
      <c r="W24" s="20"/>
      <c r="X24" s="20"/>
      <c r="Y24" s="20"/>
      <c r="Z24" s="20"/>
      <c r="AA24" s="20"/>
    </row>
    <row r="25" spans="1:27">
      <c r="A25" s="193"/>
      <c r="B25" s="172"/>
      <c r="C25" s="206" t="s">
        <v>138</v>
      </c>
      <c r="D25" s="168"/>
      <c r="E25" s="168"/>
      <c r="F25" s="168"/>
      <c r="G25" s="168"/>
      <c r="H25" s="168"/>
      <c r="I25" s="168"/>
      <c r="J25" s="168"/>
      <c r="K25" s="168"/>
      <c r="L25" s="168"/>
      <c r="M25" s="168"/>
      <c r="N25" s="168"/>
      <c r="O25" s="201"/>
      <c r="P25" s="20"/>
      <c r="Q25" s="20"/>
      <c r="R25" s="20"/>
      <c r="S25" s="20"/>
      <c r="T25" s="20"/>
      <c r="U25" s="20"/>
      <c r="V25" s="20"/>
      <c r="W25" s="20"/>
      <c r="X25" s="20"/>
      <c r="Y25" s="20"/>
      <c r="Z25" s="20"/>
      <c r="AA25" s="20"/>
    </row>
    <row r="26" spans="1:27">
      <c r="A26" s="193"/>
      <c r="B26" s="172"/>
      <c r="C26" s="206"/>
      <c r="D26" s="168"/>
      <c r="E26" s="168"/>
      <c r="F26" s="168"/>
      <c r="G26" s="168"/>
      <c r="H26" s="168"/>
      <c r="I26" s="168"/>
      <c r="J26" s="168"/>
      <c r="K26" s="168"/>
      <c r="L26" s="168"/>
      <c r="M26" s="168"/>
      <c r="N26" s="168"/>
      <c r="O26" s="201"/>
      <c r="P26" s="20"/>
      <c r="Q26" s="20"/>
      <c r="R26" s="20"/>
      <c r="S26" s="20"/>
      <c r="T26" s="20"/>
      <c r="U26" s="20"/>
      <c r="V26" s="20"/>
      <c r="W26" s="20"/>
      <c r="X26" s="20"/>
      <c r="Y26" s="20"/>
      <c r="Z26" s="20"/>
      <c r="AA26" s="20"/>
    </row>
    <row r="27" spans="1:27">
      <c r="A27" s="194"/>
      <c r="B27" s="223">
        <v>6</v>
      </c>
      <c r="C27" s="170" t="s">
        <v>139</v>
      </c>
      <c r="D27" s="168"/>
      <c r="E27" s="168"/>
      <c r="F27" s="168"/>
      <c r="G27" s="168"/>
      <c r="H27" s="168"/>
      <c r="I27" s="168"/>
      <c r="J27" s="168"/>
      <c r="K27" s="168"/>
      <c r="L27" s="168"/>
      <c r="M27" s="168"/>
      <c r="N27" s="168"/>
      <c r="O27" s="201"/>
      <c r="P27" s="20"/>
      <c r="Q27" s="20"/>
      <c r="R27" s="20"/>
      <c r="S27" s="20"/>
      <c r="T27" s="20"/>
      <c r="U27" s="20"/>
      <c r="V27" s="20"/>
      <c r="W27" s="20"/>
      <c r="X27" s="20"/>
      <c r="Y27" s="20"/>
      <c r="Z27" s="20"/>
      <c r="AA27" s="20"/>
    </row>
    <row r="28" spans="1:27">
      <c r="A28" s="193"/>
      <c r="B28" s="168"/>
      <c r="C28" s="206" t="s">
        <v>140</v>
      </c>
      <c r="D28" s="168"/>
      <c r="E28" s="168"/>
      <c r="F28" s="168"/>
      <c r="G28" s="168"/>
      <c r="H28" s="168"/>
      <c r="I28" s="168"/>
      <c r="J28" s="168"/>
      <c r="K28" s="5" t="str">
        <f>IF(L20=0,"0",L23)</f>
        <v>0</v>
      </c>
      <c r="L28" s="177" t="s">
        <v>29</v>
      </c>
      <c r="M28" s="9">
        <f>M17</f>
        <v>0</v>
      </c>
      <c r="N28" s="206" t="s">
        <v>30</v>
      </c>
      <c r="O28" s="201"/>
      <c r="P28" s="20"/>
      <c r="Q28" s="20"/>
      <c r="R28" s="20"/>
      <c r="S28" s="20"/>
      <c r="T28" s="20"/>
      <c r="U28" s="20"/>
      <c r="V28" s="20"/>
      <c r="W28" s="20"/>
      <c r="X28" s="20"/>
      <c r="Y28" s="20"/>
      <c r="Z28" s="20"/>
      <c r="AA28" s="20"/>
    </row>
    <row r="29" spans="1:27">
      <c r="A29" s="193"/>
      <c r="B29" s="172"/>
      <c r="C29" s="206"/>
      <c r="D29" s="168"/>
      <c r="E29" s="168"/>
      <c r="F29" s="168"/>
      <c r="G29" s="168"/>
      <c r="H29" s="168"/>
      <c r="I29" s="168"/>
      <c r="J29" s="168"/>
      <c r="K29" s="168"/>
      <c r="L29" s="211"/>
      <c r="M29" s="168"/>
      <c r="N29" s="168"/>
      <c r="O29" s="201"/>
      <c r="P29" s="20"/>
      <c r="Q29" s="20"/>
      <c r="R29" s="20"/>
      <c r="S29" s="20"/>
      <c r="T29" s="20"/>
      <c r="U29" s="20"/>
      <c r="V29" s="20"/>
      <c r="W29" s="20"/>
      <c r="X29" s="20"/>
      <c r="Y29" s="20"/>
      <c r="Z29" s="20"/>
      <c r="AA29" s="20"/>
    </row>
    <row r="30" spans="1:27">
      <c r="A30" s="193"/>
      <c r="B30" s="172">
        <v>7</v>
      </c>
      <c r="C30" s="170" t="s">
        <v>141</v>
      </c>
      <c r="D30" s="168"/>
      <c r="E30" s="168"/>
      <c r="F30" s="168"/>
      <c r="G30" s="168"/>
      <c r="H30" s="168"/>
      <c r="I30" s="168"/>
      <c r="J30" s="168"/>
      <c r="K30" s="168"/>
      <c r="L30" s="168"/>
      <c r="M30" s="11"/>
      <c r="N30" s="206" t="s">
        <v>30</v>
      </c>
      <c r="O30" s="201"/>
      <c r="P30" s="44" t="s">
        <v>337</v>
      </c>
      <c r="Q30" s="20"/>
      <c r="R30" s="20"/>
      <c r="S30" s="20"/>
      <c r="T30" s="20"/>
      <c r="U30" s="20"/>
      <c r="V30" s="20"/>
      <c r="W30" s="20"/>
      <c r="X30" s="20"/>
      <c r="Y30" s="20"/>
      <c r="Z30" s="20"/>
      <c r="AA30" s="20"/>
    </row>
    <row r="31" spans="1:27">
      <c r="A31" s="193"/>
      <c r="B31" s="217"/>
      <c r="C31" s="206"/>
      <c r="D31" s="168"/>
      <c r="E31" s="168"/>
      <c r="F31" s="168"/>
      <c r="G31" s="168"/>
      <c r="H31" s="168"/>
      <c r="I31" s="168"/>
      <c r="J31" s="168"/>
      <c r="K31" s="206"/>
      <c r="L31" s="206"/>
      <c r="M31" s="170"/>
      <c r="N31" s="177"/>
      <c r="O31" s="201"/>
      <c r="P31" s="20"/>
      <c r="Q31" s="20"/>
      <c r="R31" s="20"/>
      <c r="S31" s="20"/>
      <c r="T31" s="20"/>
      <c r="U31" s="20"/>
      <c r="V31" s="20"/>
      <c r="W31" s="20"/>
      <c r="X31" s="20"/>
      <c r="Y31" s="20"/>
      <c r="Z31" s="20"/>
      <c r="AA31" s="20"/>
    </row>
    <row r="32" spans="1:27">
      <c r="A32" s="193"/>
      <c r="B32" s="172">
        <v>8</v>
      </c>
      <c r="C32" s="220" t="s">
        <v>142</v>
      </c>
      <c r="D32" s="168"/>
      <c r="E32" s="168"/>
      <c r="F32" s="168"/>
      <c r="G32" s="168"/>
      <c r="H32" s="168"/>
      <c r="I32" s="168"/>
      <c r="J32" s="168"/>
      <c r="K32" s="168"/>
      <c r="L32" s="168"/>
      <c r="M32" s="168"/>
      <c r="N32" s="206"/>
      <c r="O32" s="201"/>
      <c r="P32" s="20"/>
      <c r="Q32" s="20"/>
      <c r="R32" s="20"/>
      <c r="S32" s="20"/>
      <c r="T32" s="20"/>
      <c r="U32" s="20"/>
      <c r="V32" s="20"/>
      <c r="W32" s="20"/>
      <c r="X32" s="20"/>
      <c r="Y32" s="20"/>
      <c r="Z32" s="20"/>
      <c r="AA32" s="20"/>
    </row>
    <row r="33" spans="1:27">
      <c r="A33" s="193"/>
      <c r="B33" s="217"/>
      <c r="C33" s="206"/>
      <c r="D33" s="168"/>
      <c r="E33" s="168"/>
      <c r="F33" s="168"/>
      <c r="G33" s="168"/>
      <c r="H33" s="168"/>
      <c r="I33" s="168"/>
      <c r="J33" s="168"/>
      <c r="K33" s="168"/>
      <c r="L33" s="177"/>
      <c r="M33" s="168"/>
      <c r="N33" s="206"/>
      <c r="O33" s="201"/>
      <c r="P33" s="20"/>
      <c r="Q33" s="20"/>
      <c r="R33" s="20"/>
      <c r="S33" s="20"/>
      <c r="T33" s="20"/>
      <c r="U33" s="20"/>
      <c r="V33" s="20"/>
      <c r="W33" s="20"/>
      <c r="X33" s="20"/>
      <c r="Y33" s="20"/>
      <c r="Z33" s="20"/>
      <c r="AA33" s="20"/>
    </row>
    <row r="34" spans="1:27" ht="13.8" thickBot="1">
      <c r="A34" s="198"/>
      <c r="B34" s="224"/>
      <c r="C34" s="225"/>
      <c r="D34" s="199"/>
      <c r="E34" s="199"/>
      <c r="F34" s="199"/>
      <c r="G34" s="199"/>
      <c r="H34" s="199"/>
      <c r="I34" s="199"/>
      <c r="J34" s="199"/>
      <c r="K34" s="199"/>
      <c r="L34" s="199"/>
      <c r="M34" s="199"/>
      <c r="N34" s="199"/>
      <c r="O34" s="205"/>
      <c r="P34" s="20"/>
      <c r="Q34" s="20"/>
      <c r="R34" s="20"/>
      <c r="S34" s="20"/>
      <c r="T34" s="20"/>
      <c r="U34" s="20"/>
      <c r="V34" s="20"/>
      <c r="W34" s="20"/>
      <c r="X34" s="20"/>
      <c r="Y34" s="20"/>
      <c r="Z34" s="20"/>
      <c r="AA34" s="20"/>
    </row>
    <row r="35" spans="1:27" ht="13.8" thickTop="1">
      <c r="A35" s="38"/>
      <c r="B35" s="48"/>
      <c r="C35" s="39"/>
      <c r="D35" s="20"/>
      <c r="E35" s="20"/>
      <c r="F35" s="20"/>
      <c r="G35" s="20"/>
      <c r="H35" s="20"/>
      <c r="I35" s="20"/>
      <c r="J35" s="20"/>
      <c r="K35" s="20"/>
      <c r="L35" s="20"/>
      <c r="M35" s="20"/>
      <c r="N35" s="39"/>
      <c r="O35" s="20"/>
      <c r="P35" s="20"/>
      <c r="Q35" s="20"/>
      <c r="R35" s="20"/>
      <c r="S35" s="20"/>
      <c r="T35" s="20"/>
      <c r="U35" s="20"/>
      <c r="V35" s="20"/>
      <c r="W35" s="20"/>
      <c r="X35" s="20"/>
      <c r="Y35" s="20"/>
      <c r="Z35" s="20"/>
      <c r="AA35" s="20"/>
    </row>
    <row r="36" spans="1:27">
      <c r="A36" s="20"/>
      <c r="B36" s="39"/>
      <c r="C36" s="20"/>
      <c r="D36" s="20"/>
      <c r="E36" s="20"/>
      <c r="F36" s="20"/>
      <c r="G36" s="20"/>
      <c r="H36" s="20"/>
      <c r="I36" s="20"/>
      <c r="J36" s="20"/>
      <c r="K36" s="20"/>
      <c r="L36" s="20"/>
      <c r="M36" s="20"/>
      <c r="N36" s="20"/>
      <c r="O36" s="20"/>
      <c r="P36" s="20"/>
      <c r="Q36" s="20"/>
      <c r="R36" s="20"/>
      <c r="S36" s="20"/>
      <c r="T36" s="20"/>
      <c r="U36" s="20"/>
      <c r="V36" s="20"/>
      <c r="W36" s="20"/>
      <c r="X36" s="20"/>
      <c r="Y36" s="20"/>
      <c r="Z36" s="20"/>
      <c r="AA36" s="20"/>
    </row>
    <row r="37" spans="1:27">
      <c r="A37" s="20"/>
      <c r="B37" s="84"/>
      <c r="C37" s="42"/>
      <c r="D37" s="20"/>
      <c r="E37" s="20"/>
      <c r="F37" s="20"/>
      <c r="G37" s="20"/>
      <c r="H37" s="20"/>
      <c r="I37" s="20"/>
      <c r="J37" s="20"/>
      <c r="K37" s="20"/>
      <c r="L37" s="20"/>
      <c r="M37" s="20"/>
      <c r="N37" s="20"/>
      <c r="O37" s="20"/>
      <c r="P37" s="20"/>
      <c r="Q37" s="20"/>
      <c r="R37" s="20"/>
      <c r="S37" s="20"/>
      <c r="T37" s="20"/>
      <c r="U37" s="20"/>
      <c r="V37" s="20"/>
      <c r="W37" s="20"/>
      <c r="X37" s="20"/>
      <c r="Y37" s="20"/>
      <c r="Z37" s="20"/>
      <c r="AA37" s="20"/>
    </row>
    <row r="38" spans="1:27">
      <c r="A38" s="20"/>
      <c r="B38" s="40"/>
      <c r="C38" s="39"/>
      <c r="D38" s="20"/>
      <c r="E38" s="20"/>
      <c r="F38" s="20"/>
      <c r="G38" s="20"/>
      <c r="H38" s="20"/>
      <c r="I38" s="20"/>
      <c r="J38" s="20"/>
      <c r="K38" s="20"/>
      <c r="L38" s="20"/>
      <c r="M38" s="20"/>
      <c r="N38" s="20"/>
      <c r="O38" s="20"/>
      <c r="P38" s="20"/>
      <c r="Q38" s="20"/>
      <c r="R38" s="20"/>
      <c r="S38" s="20"/>
      <c r="T38" s="20"/>
      <c r="U38" s="20"/>
      <c r="V38" s="20"/>
      <c r="W38" s="20"/>
      <c r="X38" s="20"/>
      <c r="Y38" s="20"/>
      <c r="Z38" s="20"/>
      <c r="AA38" s="20"/>
    </row>
    <row r="39" spans="1:27">
      <c r="A39" s="20"/>
      <c r="B39" s="47"/>
      <c r="C39" s="39"/>
      <c r="D39" s="20"/>
      <c r="E39" s="20"/>
      <c r="F39" s="20"/>
      <c r="G39" s="20"/>
      <c r="H39" s="20"/>
      <c r="I39" s="20"/>
      <c r="J39" s="20"/>
      <c r="K39" s="39"/>
      <c r="L39" s="39"/>
      <c r="M39" s="20"/>
      <c r="N39" s="26"/>
      <c r="O39" s="20"/>
      <c r="P39" s="20"/>
      <c r="Q39" s="20"/>
      <c r="R39" s="20"/>
      <c r="S39" s="20"/>
      <c r="T39" s="20"/>
      <c r="U39" s="20"/>
      <c r="V39" s="20"/>
      <c r="W39" s="20"/>
      <c r="X39" s="20"/>
      <c r="Y39" s="20"/>
      <c r="Z39" s="20"/>
      <c r="AA39" s="20"/>
    </row>
    <row r="40" spans="1:27">
      <c r="A40" s="20"/>
      <c r="B40" s="40"/>
      <c r="C40" s="39"/>
      <c r="D40" s="20"/>
      <c r="E40" s="20"/>
      <c r="F40" s="20"/>
      <c r="G40" s="20"/>
      <c r="H40" s="20"/>
      <c r="I40" s="20"/>
      <c r="J40" s="20"/>
      <c r="K40" s="20"/>
      <c r="L40" s="20"/>
      <c r="M40" s="20"/>
      <c r="N40" s="39"/>
      <c r="O40" s="20"/>
      <c r="P40" s="20"/>
      <c r="Q40" s="20"/>
      <c r="R40" s="20"/>
      <c r="S40" s="20"/>
      <c r="T40" s="20"/>
      <c r="U40" s="20"/>
      <c r="V40" s="20"/>
      <c r="W40" s="20"/>
      <c r="X40" s="20"/>
      <c r="Y40" s="20"/>
      <c r="Z40" s="20"/>
      <c r="AA40" s="20"/>
    </row>
    <row r="41" spans="1:27">
      <c r="A41" s="20"/>
      <c r="B41" s="47"/>
      <c r="C41" s="39"/>
      <c r="D41" s="20"/>
      <c r="E41" s="20"/>
      <c r="F41" s="20"/>
      <c r="G41" s="20"/>
      <c r="H41" s="20"/>
      <c r="I41" s="20"/>
      <c r="J41" s="20"/>
      <c r="K41" s="20"/>
      <c r="L41" s="26"/>
      <c r="M41" s="20"/>
      <c r="N41" s="39"/>
      <c r="O41" s="20"/>
      <c r="P41" s="20"/>
      <c r="Q41" s="20"/>
      <c r="R41" s="20"/>
      <c r="S41" s="20"/>
      <c r="T41" s="20"/>
      <c r="U41" s="20"/>
      <c r="V41" s="20"/>
      <c r="W41" s="20"/>
      <c r="X41" s="20"/>
      <c r="Y41" s="20"/>
      <c r="Z41" s="20"/>
      <c r="AA41" s="20"/>
    </row>
    <row r="42" spans="1:27">
      <c r="A42" s="38"/>
      <c r="B42" s="40"/>
      <c r="C42" s="39"/>
      <c r="D42" s="20"/>
      <c r="E42" s="20"/>
      <c r="F42" s="20"/>
      <c r="G42" s="20"/>
      <c r="H42" s="20"/>
      <c r="I42" s="20"/>
      <c r="J42" s="20"/>
      <c r="K42" s="20"/>
      <c r="L42" s="20"/>
      <c r="M42" s="20"/>
      <c r="N42" s="20"/>
      <c r="O42" s="20"/>
      <c r="P42" s="20"/>
      <c r="Q42" s="20"/>
      <c r="R42" s="20"/>
      <c r="S42" s="20"/>
      <c r="T42" s="20"/>
      <c r="U42" s="20"/>
      <c r="V42" s="20"/>
      <c r="W42" s="20"/>
      <c r="X42" s="20"/>
      <c r="Y42" s="20"/>
      <c r="Z42" s="20"/>
      <c r="AA42" s="20"/>
    </row>
    <row r="43" spans="1:27">
      <c r="A43" s="20"/>
      <c r="B43" s="48"/>
      <c r="C43" s="39"/>
      <c r="D43" s="20"/>
      <c r="E43" s="20"/>
      <c r="F43" s="20"/>
      <c r="G43" s="20"/>
      <c r="H43" s="20"/>
      <c r="I43" s="20"/>
      <c r="J43" s="20"/>
      <c r="K43" s="20"/>
      <c r="L43" s="20"/>
      <c r="M43" s="20"/>
      <c r="N43" s="39"/>
      <c r="O43" s="20"/>
      <c r="P43" s="20"/>
      <c r="Q43" s="20"/>
      <c r="R43" s="20"/>
      <c r="S43" s="20"/>
      <c r="T43" s="20"/>
      <c r="U43" s="20"/>
      <c r="V43" s="20"/>
      <c r="W43" s="20"/>
      <c r="X43" s="20"/>
      <c r="Y43" s="20"/>
      <c r="Z43" s="20"/>
      <c r="AA43" s="20"/>
    </row>
    <row r="44" spans="1:27">
      <c r="A44" s="20"/>
      <c r="B44" s="20"/>
      <c r="C44" s="20"/>
      <c r="D44" s="20"/>
      <c r="E44" s="20"/>
      <c r="F44" s="20"/>
      <c r="G44" s="20"/>
      <c r="H44" s="20"/>
      <c r="I44" s="20"/>
      <c r="J44" s="20"/>
      <c r="K44" s="20"/>
      <c r="L44" s="20"/>
      <c r="M44" s="20"/>
      <c r="N44" s="20"/>
      <c r="O44" s="20"/>
      <c r="P44" s="20"/>
      <c r="Q44" s="20"/>
      <c r="R44" s="20"/>
      <c r="S44" s="20"/>
      <c r="T44" s="20"/>
      <c r="U44" s="20"/>
      <c r="V44" s="20"/>
      <c r="W44" s="20"/>
      <c r="X44" s="20"/>
      <c r="Y44" s="20"/>
      <c r="Z44" s="20"/>
      <c r="AA44" s="20"/>
    </row>
    <row r="45" spans="1:27">
      <c r="A45" s="20"/>
      <c r="B45" s="40"/>
      <c r="C45" s="39"/>
      <c r="D45" s="20"/>
      <c r="E45" s="20"/>
      <c r="F45" s="20"/>
      <c r="G45" s="20"/>
      <c r="H45" s="20"/>
      <c r="I45" s="20"/>
      <c r="J45" s="20"/>
      <c r="K45" s="20"/>
      <c r="L45" s="26"/>
      <c r="M45" s="20"/>
      <c r="N45" s="39"/>
      <c r="O45" s="20"/>
      <c r="P45" s="20"/>
      <c r="Q45" s="20"/>
      <c r="R45" s="20"/>
      <c r="S45" s="20"/>
      <c r="T45" s="20"/>
      <c r="U45" s="20"/>
      <c r="V45" s="20"/>
      <c r="W45" s="20"/>
      <c r="X45" s="20"/>
      <c r="Y45" s="20"/>
      <c r="Z45" s="20"/>
      <c r="AA45" s="20"/>
    </row>
    <row r="46" spans="1:27">
      <c r="A46" s="20"/>
      <c r="B46" s="20"/>
      <c r="C46" s="42"/>
      <c r="D46" s="20"/>
      <c r="E46" s="20"/>
      <c r="F46" s="20"/>
      <c r="G46" s="20"/>
      <c r="H46" s="20"/>
      <c r="I46" s="20"/>
      <c r="J46" s="20"/>
      <c r="K46" s="20"/>
      <c r="L46" s="20"/>
      <c r="M46" s="20"/>
      <c r="N46" s="20"/>
      <c r="O46" s="20"/>
      <c r="P46" s="20"/>
      <c r="Q46" s="20"/>
      <c r="R46" s="20"/>
      <c r="S46" s="20"/>
      <c r="T46" s="20"/>
      <c r="U46" s="20"/>
      <c r="V46" s="20"/>
      <c r="W46" s="20"/>
      <c r="X46" s="20"/>
      <c r="Y46" s="20"/>
      <c r="Z46" s="20"/>
      <c r="AA46" s="20"/>
    </row>
    <row r="47" spans="1:27">
      <c r="A47" s="20"/>
      <c r="B47" s="40"/>
      <c r="C47" s="39"/>
      <c r="D47" s="20"/>
      <c r="E47" s="20"/>
      <c r="F47" s="20"/>
      <c r="G47" s="20"/>
      <c r="H47" s="20"/>
      <c r="I47" s="20"/>
      <c r="J47" s="20"/>
      <c r="K47" s="20"/>
      <c r="L47" s="20"/>
      <c r="M47" s="20"/>
      <c r="N47" s="39"/>
      <c r="O47" s="20"/>
      <c r="P47" s="20"/>
      <c r="Q47" s="20"/>
      <c r="R47" s="20"/>
      <c r="S47" s="20"/>
      <c r="T47" s="20"/>
      <c r="U47" s="20"/>
      <c r="V47" s="20"/>
      <c r="W47" s="20"/>
      <c r="X47" s="20"/>
      <c r="Y47" s="20"/>
      <c r="Z47" s="20"/>
      <c r="AA47" s="20"/>
    </row>
    <row r="48" spans="1:27">
      <c r="A48" s="20"/>
      <c r="B48" s="47"/>
      <c r="C48" s="39"/>
      <c r="D48" s="20"/>
      <c r="E48" s="20"/>
      <c r="F48" s="20"/>
      <c r="G48" s="20"/>
      <c r="H48" s="20"/>
      <c r="I48" s="20"/>
      <c r="J48" s="20"/>
      <c r="K48" s="20"/>
      <c r="L48" s="26"/>
      <c r="M48" s="20"/>
      <c r="N48" s="39"/>
      <c r="O48" s="20"/>
      <c r="P48" s="20"/>
      <c r="Q48" s="20"/>
      <c r="R48" s="20"/>
      <c r="S48" s="20"/>
      <c r="T48" s="20"/>
      <c r="U48" s="20"/>
      <c r="V48" s="20"/>
      <c r="W48" s="20"/>
      <c r="X48" s="20"/>
      <c r="Y48" s="20"/>
      <c r="Z48" s="20"/>
      <c r="AA48" s="20"/>
    </row>
    <row r="49" spans="1:27">
      <c r="A49" s="38"/>
      <c r="B49" s="40"/>
      <c r="C49" s="39"/>
      <c r="D49" s="20"/>
      <c r="E49" s="20"/>
      <c r="F49" s="20"/>
      <c r="G49" s="20"/>
      <c r="H49" s="20"/>
      <c r="I49" s="20"/>
      <c r="J49" s="20"/>
      <c r="K49" s="20"/>
      <c r="L49" s="20"/>
      <c r="M49" s="20"/>
      <c r="N49" s="20"/>
      <c r="O49" s="20"/>
      <c r="P49" s="20"/>
      <c r="Q49" s="20"/>
      <c r="R49" s="20"/>
      <c r="S49" s="20"/>
      <c r="T49" s="20"/>
      <c r="U49" s="20"/>
      <c r="V49" s="20"/>
      <c r="W49" s="20"/>
      <c r="X49" s="20"/>
      <c r="Y49" s="20"/>
      <c r="Z49" s="20"/>
      <c r="AA49" s="20"/>
    </row>
    <row r="50" spans="1:27">
      <c r="A50" s="20"/>
      <c r="B50" s="48"/>
      <c r="C50" s="39"/>
      <c r="D50" s="20"/>
      <c r="E50" s="20"/>
      <c r="F50" s="20"/>
      <c r="G50" s="20"/>
      <c r="H50" s="20"/>
      <c r="I50" s="20"/>
      <c r="J50" s="20"/>
      <c r="K50" s="20"/>
      <c r="L50" s="20"/>
      <c r="M50" s="20"/>
      <c r="N50" s="39"/>
      <c r="O50" s="20"/>
      <c r="P50" s="20"/>
      <c r="Q50" s="20"/>
      <c r="R50" s="20"/>
      <c r="S50" s="20"/>
      <c r="T50" s="20"/>
      <c r="U50" s="20"/>
      <c r="V50" s="20"/>
      <c r="W50" s="20"/>
      <c r="X50" s="20"/>
      <c r="Y50" s="20"/>
      <c r="Z50" s="20"/>
      <c r="AA50" s="20"/>
    </row>
    <row r="51" spans="1:27">
      <c r="A51" s="20"/>
      <c r="B51" s="40"/>
      <c r="C51" s="39"/>
      <c r="D51" s="20"/>
      <c r="E51" s="20"/>
      <c r="F51" s="20"/>
      <c r="G51" s="20"/>
      <c r="H51" s="20"/>
      <c r="I51" s="20"/>
      <c r="J51" s="20"/>
      <c r="K51" s="20"/>
      <c r="L51" s="26"/>
      <c r="M51" s="20"/>
      <c r="N51" s="39"/>
      <c r="O51" s="20"/>
      <c r="P51" s="20"/>
      <c r="Q51" s="20"/>
      <c r="R51" s="20"/>
      <c r="S51" s="20"/>
      <c r="T51" s="20"/>
      <c r="U51" s="20"/>
      <c r="V51" s="20"/>
      <c r="W51" s="20"/>
      <c r="X51" s="20"/>
      <c r="Y51" s="20"/>
      <c r="Z51" s="20"/>
      <c r="AA51" s="20"/>
    </row>
    <row r="52" spans="1:27">
      <c r="A52" s="20"/>
      <c r="B52" s="40"/>
      <c r="C52" s="42"/>
      <c r="D52" s="20"/>
      <c r="E52" s="20"/>
      <c r="F52" s="20"/>
      <c r="G52" s="20"/>
      <c r="H52" s="20"/>
      <c r="I52" s="20"/>
      <c r="J52" s="20"/>
      <c r="K52" s="20"/>
      <c r="L52" s="20"/>
      <c r="M52" s="20"/>
      <c r="N52" s="20"/>
      <c r="O52" s="20"/>
      <c r="P52" s="20"/>
      <c r="Q52" s="20"/>
      <c r="R52" s="20"/>
      <c r="S52" s="20"/>
      <c r="T52" s="20"/>
      <c r="U52" s="20"/>
      <c r="V52" s="20"/>
      <c r="W52" s="20"/>
      <c r="X52" s="20"/>
      <c r="Y52" s="20"/>
      <c r="Z52" s="20"/>
      <c r="AA52" s="20"/>
    </row>
    <row r="53" spans="1:27">
      <c r="A53" s="20"/>
      <c r="B53" s="40"/>
      <c r="C53" s="39"/>
      <c r="D53" s="20"/>
      <c r="E53" s="20"/>
      <c r="F53" s="20"/>
      <c r="G53" s="20"/>
      <c r="H53" s="20"/>
      <c r="I53" s="20"/>
      <c r="J53" s="20"/>
      <c r="K53" s="20"/>
      <c r="L53" s="26"/>
      <c r="M53" s="20"/>
      <c r="N53" s="39"/>
      <c r="O53" s="20"/>
      <c r="P53" s="20"/>
      <c r="Q53" s="20"/>
      <c r="R53" s="20"/>
      <c r="S53" s="20"/>
      <c r="T53" s="20"/>
      <c r="U53" s="20"/>
      <c r="V53" s="20"/>
      <c r="W53" s="20"/>
      <c r="X53" s="20"/>
      <c r="Y53" s="20"/>
      <c r="Z53" s="20"/>
      <c r="AA53" s="20"/>
    </row>
    <row r="54" spans="1:27">
      <c r="A54" s="20"/>
      <c r="B54" s="47"/>
      <c r="C54" s="39"/>
      <c r="D54" s="20"/>
      <c r="E54" s="20"/>
      <c r="F54" s="20"/>
      <c r="G54" s="20"/>
      <c r="H54" s="20"/>
      <c r="I54" s="20"/>
      <c r="J54" s="20"/>
      <c r="K54" s="39"/>
      <c r="L54" s="39"/>
      <c r="M54" s="20"/>
      <c r="N54" s="26"/>
      <c r="O54" s="20"/>
      <c r="P54" s="20"/>
      <c r="Q54" s="20"/>
      <c r="R54" s="20"/>
      <c r="S54" s="20"/>
      <c r="T54" s="20"/>
      <c r="U54" s="20"/>
      <c r="V54" s="20"/>
      <c r="W54" s="20"/>
      <c r="X54" s="20"/>
      <c r="Y54" s="20"/>
      <c r="Z54" s="20"/>
      <c r="AA54" s="20"/>
    </row>
    <row r="55" spans="1:27">
      <c r="A55" s="20"/>
      <c r="B55" s="40"/>
      <c r="C55" s="39"/>
      <c r="D55" s="20"/>
      <c r="E55" s="20"/>
      <c r="F55" s="20"/>
      <c r="G55" s="20"/>
      <c r="H55" s="20"/>
      <c r="I55" s="20"/>
      <c r="J55" s="20"/>
      <c r="K55" s="20"/>
      <c r="L55" s="20"/>
      <c r="M55" s="20"/>
      <c r="N55" s="39"/>
      <c r="O55" s="20"/>
      <c r="P55" s="20"/>
      <c r="Q55" s="20"/>
      <c r="R55" s="20"/>
      <c r="S55" s="20"/>
      <c r="T55" s="20"/>
      <c r="U55" s="20"/>
      <c r="V55" s="20"/>
      <c r="W55" s="20"/>
      <c r="X55" s="20"/>
      <c r="Y55" s="20"/>
      <c r="Z55" s="20"/>
      <c r="AA55" s="20"/>
    </row>
    <row r="56" spans="1:27">
      <c r="A56" s="20"/>
      <c r="B56" s="47"/>
      <c r="C56" s="39"/>
      <c r="D56" s="20"/>
      <c r="E56" s="20"/>
      <c r="F56" s="20"/>
      <c r="G56" s="20"/>
      <c r="H56" s="20"/>
      <c r="I56" s="20"/>
      <c r="J56" s="20"/>
      <c r="K56" s="20"/>
      <c r="L56" s="26"/>
      <c r="M56" s="20"/>
      <c r="N56" s="39"/>
      <c r="O56" s="20"/>
      <c r="P56" s="20"/>
      <c r="Q56" s="20"/>
      <c r="R56" s="20"/>
      <c r="S56" s="20"/>
      <c r="T56" s="20"/>
      <c r="U56" s="20"/>
      <c r="V56" s="20"/>
      <c r="W56" s="20"/>
      <c r="X56" s="20"/>
      <c r="Y56" s="20"/>
      <c r="Z56" s="20"/>
      <c r="AA56" s="20"/>
    </row>
    <row r="57" spans="1:27">
      <c r="A57" s="20"/>
      <c r="B57" s="40"/>
      <c r="C57" s="39"/>
      <c r="D57" s="20"/>
      <c r="E57" s="20"/>
      <c r="F57" s="20"/>
      <c r="G57" s="20"/>
      <c r="H57" s="20"/>
      <c r="I57" s="20"/>
      <c r="J57" s="20"/>
      <c r="K57" s="20"/>
      <c r="L57" s="20"/>
      <c r="M57" s="20"/>
      <c r="N57" s="20"/>
      <c r="O57" s="20"/>
      <c r="P57" s="20"/>
      <c r="Q57" s="20"/>
      <c r="R57" s="20"/>
      <c r="S57" s="20"/>
      <c r="T57" s="20"/>
      <c r="U57" s="20"/>
      <c r="V57" s="20"/>
      <c r="W57" s="20"/>
      <c r="X57" s="20"/>
      <c r="Y57" s="20"/>
      <c r="Z57" s="20"/>
      <c r="AA57" s="20"/>
    </row>
    <row r="58" spans="1:27">
      <c r="A58" s="20"/>
      <c r="B58" s="48"/>
      <c r="C58" s="39"/>
      <c r="D58" s="20"/>
      <c r="E58" s="20"/>
      <c r="F58" s="20"/>
      <c r="G58" s="20"/>
      <c r="H58" s="20"/>
      <c r="I58" s="20"/>
      <c r="J58" s="20"/>
      <c r="K58" s="20"/>
      <c r="L58" s="20"/>
      <c r="M58" s="20"/>
      <c r="N58" s="39"/>
      <c r="O58" s="20"/>
      <c r="P58" s="20"/>
      <c r="Q58" s="20"/>
      <c r="R58" s="20"/>
      <c r="S58" s="20"/>
      <c r="T58" s="20"/>
      <c r="U58" s="20"/>
      <c r="V58" s="20"/>
      <c r="W58" s="20"/>
      <c r="X58" s="20"/>
      <c r="Y58" s="20"/>
      <c r="Z58" s="20"/>
      <c r="AA58" s="20"/>
    </row>
    <row r="59" spans="1:27">
      <c r="A59" s="20"/>
      <c r="B59" s="20"/>
      <c r="C59" s="20"/>
      <c r="D59" s="20"/>
      <c r="E59" s="20"/>
      <c r="F59" s="20"/>
      <c r="G59" s="20"/>
      <c r="H59" s="20"/>
      <c r="I59" s="20"/>
      <c r="J59" s="20"/>
      <c r="K59" s="20"/>
      <c r="L59" s="20"/>
      <c r="M59" s="20"/>
      <c r="N59" s="20"/>
      <c r="O59" s="20"/>
      <c r="P59" s="20"/>
      <c r="Q59" s="20"/>
      <c r="R59" s="20"/>
      <c r="S59" s="20"/>
      <c r="T59" s="20"/>
      <c r="U59" s="20"/>
      <c r="V59" s="20"/>
      <c r="W59" s="20"/>
      <c r="X59" s="20"/>
      <c r="Y59" s="20"/>
      <c r="Z59" s="20"/>
      <c r="AA59" s="20"/>
    </row>
    <row r="60" spans="1:27">
      <c r="A60" s="20"/>
      <c r="B60" s="40"/>
      <c r="C60" s="42"/>
      <c r="D60" s="20"/>
      <c r="E60" s="20"/>
      <c r="F60" s="20"/>
      <c r="G60" s="20"/>
      <c r="H60" s="20"/>
      <c r="I60" s="20"/>
      <c r="J60" s="20"/>
      <c r="K60" s="20"/>
      <c r="L60" s="20"/>
      <c r="M60" s="20"/>
      <c r="N60" s="20"/>
      <c r="O60" s="20"/>
      <c r="P60" s="20"/>
      <c r="Q60" s="20"/>
      <c r="R60" s="20"/>
      <c r="S60" s="20"/>
      <c r="T60" s="20"/>
      <c r="U60" s="20"/>
      <c r="V60" s="20"/>
      <c r="W60" s="20"/>
      <c r="X60" s="20"/>
      <c r="Y60" s="20"/>
      <c r="Z60" s="20"/>
      <c r="AA60" s="20"/>
    </row>
    <row r="61" spans="1:27">
      <c r="A61" s="20"/>
      <c r="B61" s="20"/>
      <c r="C61" s="42"/>
      <c r="D61" s="20"/>
      <c r="E61" s="20"/>
      <c r="F61" s="20"/>
      <c r="G61" s="20"/>
      <c r="H61" s="20"/>
      <c r="I61" s="20"/>
      <c r="J61" s="20"/>
      <c r="K61" s="20"/>
      <c r="L61" s="26"/>
      <c r="M61" s="20"/>
      <c r="N61" s="39"/>
      <c r="O61" s="20"/>
      <c r="P61" s="20"/>
      <c r="Q61" s="20"/>
      <c r="R61" s="20"/>
      <c r="S61" s="20"/>
      <c r="T61" s="20"/>
      <c r="U61" s="20"/>
      <c r="V61" s="20"/>
      <c r="W61" s="20"/>
      <c r="X61" s="20"/>
      <c r="Y61" s="20"/>
      <c r="Z61" s="20"/>
      <c r="AA61" s="20"/>
    </row>
    <row r="62" spans="1:27">
      <c r="A62" s="20"/>
      <c r="B62" s="20"/>
      <c r="C62" s="20"/>
      <c r="D62" s="20"/>
      <c r="E62" s="20"/>
      <c r="F62" s="20"/>
      <c r="G62" s="20"/>
      <c r="H62" s="20"/>
      <c r="I62" s="20"/>
      <c r="J62" s="20"/>
      <c r="K62" s="20"/>
      <c r="L62" s="20"/>
      <c r="M62" s="20"/>
      <c r="N62" s="20"/>
      <c r="O62" s="20"/>
      <c r="P62" s="20"/>
      <c r="Q62" s="20"/>
      <c r="R62" s="20"/>
      <c r="S62" s="20"/>
      <c r="T62" s="20"/>
      <c r="U62" s="20"/>
      <c r="V62" s="20"/>
      <c r="W62" s="20"/>
      <c r="X62" s="20"/>
      <c r="Y62" s="20"/>
      <c r="Z62" s="20"/>
      <c r="AA62" s="20"/>
    </row>
    <row r="63" spans="1:27">
      <c r="A63" s="20"/>
      <c r="B63" s="40"/>
      <c r="C63" s="42"/>
      <c r="D63" s="20"/>
      <c r="E63" s="20"/>
      <c r="F63" s="20"/>
      <c r="G63" s="20"/>
      <c r="H63" s="20"/>
      <c r="I63" s="20"/>
      <c r="J63" s="20"/>
      <c r="K63" s="20"/>
      <c r="L63" s="20"/>
      <c r="M63" s="20"/>
      <c r="N63" s="20"/>
      <c r="O63" s="20"/>
      <c r="P63" s="20"/>
      <c r="Q63" s="20"/>
      <c r="R63" s="20"/>
      <c r="S63" s="20"/>
      <c r="T63" s="20"/>
      <c r="U63" s="20"/>
      <c r="V63" s="20"/>
      <c r="W63" s="20"/>
      <c r="X63" s="20"/>
      <c r="Y63" s="20"/>
      <c r="Z63" s="20"/>
      <c r="AA63" s="20"/>
    </row>
    <row r="64" spans="1:27">
      <c r="A64" s="20"/>
      <c r="B64" s="20"/>
      <c r="C64" s="49"/>
      <c r="D64" s="20"/>
      <c r="E64" s="20"/>
      <c r="F64" s="20"/>
      <c r="G64" s="20"/>
      <c r="H64" s="20"/>
      <c r="I64" s="20"/>
      <c r="J64" s="20"/>
      <c r="K64" s="20"/>
      <c r="L64" s="20"/>
      <c r="M64" s="20"/>
      <c r="N64" s="39"/>
      <c r="O64" s="20"/>
      <c r="P64" s="20"/>
      <c r="Q64" s="20"/>
      <c r="R64" s="20"/>
      <c r="S64" s="20"/>
      <c r="T64" s="20"/>
      <c r="U64" s="20"/>
      <c r="V64" s="20"/>
      <c r="W64" s="20"/>
      <c r="X64" s="20"/>
      <c r="Y64" s="20"/>
      <c r="Z64" s="20"/>
      <c r="AA64" s="20"/>
    </row>
    <row r="65" spans="1:27">
      <c r="A65" s="20"/>
      <c r="B65" s="20"/>
      <c r="C65" s="20"/>
      <c r="D65" s="20"/>
      <c r="E65" s="20"/>
      <c r="F65" s="20"/>
      <c r="G65" s="20"/>
      <c r="H65" s="20"/>
      <c r="I65" s="20"/>
      <c r="J65" s="20"/>
      <c r="K65" s="20"/>
      <c r="L65" s="20"/>
      <c r="M65" s="20"/>
      <c r="N65" s="20"/>
      <c r="O65" s="20"/>
      <c r="P65" s="20"/>
      <c r="Q65" s="20"/>
      <c r="R65" s="20"/>
      <c r="S65" s="20"/>
      <c r="T65" s="20"/>
      <c r="U65" s="20"/>
      <c r="V65" s="20"/>
      <c r="W65" s="20"/>
      <c r="X65" s="20"/>
      <c r="Y65" s="20"/>
      <c r="Z65" s="20"/>
      <c r="AA65" s="20"/>
    </row>
    <row r="66" spans="1:27">
      <c r="A66" s="20"/>
      <c r="B66" s="40"/>
      <c r="C66" s="50"/>
      <c r="D66" s="20"/>
      <c r="E66" s="20"/>
      <c r="F66" s="20"/>
      <c r="G66" s="20"/>
      <c r="H66" s="20"/>
      <c r="I66" s="20"/>
      <c r="J66" s="20"/>
      <c r="K66" s="20"/>
      <c r="L66" s="20"/>
      <c r="M66" s="20"/>
      <c r="N66" s="20"/>
      <c r="O66" s="20"/>
      <c r="P66" s="20"/>
      <c r="Q66" s="20"/>
      <c r="R66" s="20"/>
      <c r="S66" s="20"/>
      <c r="T66" s="20"/>
      <c r="U66" s="20"/>
      <c r="V66" s="20"/>
      <c r="W66" s="20"/>
      <c r="X66" s="20"/>
      <c r="Y66" s="20"/>
      <c r="Z66" s="20"/>
      <c r="AA66" s="20"/>
    </row>
    <row r="67" spans="1:27">
      <c r="A67" s="20"/>
      <c r="B67" s="20"/>
      <c r="C67" s="20"/>
      <c r="D67" s="20"/>
      <c r="E67" s="20"/>
      <c r="F67" s="20"/>
      <c r="G67" s="20"/>
      <c r="H67" s="20"/>
      <c r="I67" s="20"/>
      <c r="J67" s="20"/>
      <c r="K67" s="20"/>
      <c r="L67" s="20"/>
      <c r="M67" s="20"/>
      <c r="N67" s="20"/>
      <c r="O67" s="20"/>
      <c r="P67" s="20"/>
      <c r="Q67" s="20"/>
      <c r="R67" s="20"/>
      <c r="S67" s="20"/>
      <c r="T67" s="20"/>
      <c r="U67" s="20"/>
      <c r="V67" s="20"/>
      <c r="W67" s="20"/>
      <c r="X67" s="20"/>
      <c r="Y67" s="20"/>
      <c r="Z67" s="20"/>
      <c r="AA67" s="20"/>
    </row>
    <row r="68" spans="1:27">
      <c r="A68" s="38"/>
      <c r="B68" s="38"/>
      <c r="C68" s="20"/>
      <c r="D68" s="20"/>
      <c r="E68" s="20"/>
      <c r="F68" s="20"/>
      <c r="G68" s="20"/>
      <c r="H68" s="20"/>
      <c r="I68" s="20"/>
      <c r="J68" s="20"/>
      <c r="K68" s="20"/>
      <c r="L68" s="20"/>
      <c r="M68" s="20"/>
      <c r="N68" s="20"/>
      <c r="O68" s="20"/>
      <c r="P68" s="20"/>
      <c r="Q68" s="20"/>
      <c r="R68" s="20"/>
      <c r="S68" s="20"/>
      <c r="T68" s="20"/>
      <c r="U68" s="20"/>
      <c r="V68" s="20"/>
      <c r="W68" s="20"/>
      <c r="X68" s="20"/>
      <c r="Y68" s="20"/>
      <c r="Z68" s="20"/>
      <c r="AA68" s="20"/>
    </row>
    <row r="69" spans="1:27">
      <c r="A69" s="20"/>
      <c r="B69" s="39"/>
      <c r="C69" s="20"/>
      <c r="D69" s="20"/>
      <c r="E69" s="20"/>
      <c r="F69" s="20"/>
      <c r="G69" s="20"/>
      <c r="H69" s="20"/>
      <c r="I69" s="20"/>
      <c r="J69" s="20"/>
      <c r="K69" s="20"/>
      <c r="L69" s="20"/>
      <c r="M69" s="20"/>
      <c r="N69" s="20"/>
      <c r="O69" s="20"/>
      <c r="P69" s="20"/>
      <c r="Q69" s="20"/>
      <c r="R69" s="20"/>
      <c r="S69" s="20"/>
      <c r="T69" s="20"/>
      <c r="U69" s="20"/>
      <c r="V69" s="20"/>
      <c r="W69" s="20"/>
      <c r="X69" s="20"/>
      <c r="Y69" s="20"/>
      <c r="Z69" s="20"/>
      <c r="AA69" s="20"/>
    </row>
    <row r="70" spans="1:27">
      <c r="A70" s="20"/>
      <c r="B70" s="39"/>
      <c r="C70" s="20"/>
      <c r="D70" s="20"/>
      <c r="E70" s="20"/>
      <c r="F70" s="20"/>
      <c r="G70" s="20"/>
      <c r="H70" s="20"/>
      <c r="I70" s="20"/>
      <c r="J70" s="20"/>
      <c r="K70" s="20"/>
      <c r="L70" s="20"/>
      <c r="M70" s="20"/>
      <c r="N70" s="20"/>
      <c r="O70" s="20"/>
      <c r="P70" s="20"/>
      <c r="Q70" s="20"/>
      <c r="R70" s="20"/>
      <c r="S70" s="20"/>
      <c r="T70" s="20"/>
      <c r="U70" s="20"/>
      <c r="V70" s="20"/>
      <c r="W70" s="20"/>
      <c r="X70" s="20"/>
      <c r="Y70" s="20"/>
      <c r="Z70" s="20"/>
      <c r="AA70" s="20"/>
    </row>
    <row r="71" spans="1:27">
      <c r="A71" s="20"/>
      <c r="B71" s="20"/>
      <c r="C71" s="20"/>
      <c r="D71" s="20"/>
      <c r="E71" s="20"/>
      <c r="F71" s="20"/>
      <c r="G71" s="20"/>
      <c r="H71" s="20"/>
      <c r="I71" s="20"/>
      <c r="J71" s="20"/>
      <c r="K71" s="20"/>
      <c r="L71" s="20"/>
      <c r="M71" s="20"/>
      <c r="N71" s="20"/>
      <c r="O71" s="20"/>
      <c r="P71" s="20"/>
      <c r="Q71" s="20"/>
      <c r="R71" s="20"/>
      <c r="S71" s="20"/>
      <c r="T71" s="20"/>
      <c r="U71" s="20"/>
      <c r="V71" s="20"/>
      <c r="W71" s="20"/>
      <c r="X71" s="20"/>
      <c r="Y71" s="20"/>
      <c r="Z71" s="20"/>
      <c r="AA71" s="20"/>
    </row>
    <row r="72" spans="1:27">
      <c r="A72" s="20"/>
      <c r="B72" s="20"/>
      <c r="C72" s="20"/>
      <c r="D72" s="20"/>
      <c r="E72" s="20"/>
      <c r="F72" s="20"/>
      <c r="G72" s="20"/>
      <c r="H72" s="20"/>
      <c r="I72" s="39"/>
      <c r="J72" s="20"/>
      <c r="K72" s="20"/>
      <c r="L72" s="39"/>
      <c r="M72" s="20"/>
      <c r="N72" s="20"/>
      <c r="O72" s="20"/>
      <c r="P72" s="20"/>
      <c r="Q72" s="20"/>
      <c r="R72" s="20"/>
      <c r="S72" s="20"/>
      <c r="T72" s="20"/>
      <c r="U72" s="20"/>
      <c r="V72" s="20"/>
      <c r="W72" s="20"/>
      <c r="X72" s="20"/>
      <c r="Y72" s="20"/>
      <c r="Z72" s="20"/>
      <c r="AA72" s="20"/>
    </row>
    <row r="73" spans="1:27">
      <c r="A73" s="20"/>
      <c r="B73" s="20"/>
      <c r="C73" s="20"/>
      <c r="D73" s="20"/>
      <c r="E73" s="20"/>
      <c r="F73" s="20"/>
      <c r="G73" s="20"/>
      <c r="H73" s="20"/>
      <c r="I73" s="39"/>
      <c r="J73" s="20"/>
      <c r="K73" s="20"/>
      <c r="L73" s="39"/>
      <c r="M73" s="20"/>
      <c r="N73" s="20"/>
      <c r="O73" s="20"/>
      <c r="P73" s="20"/>
      <c r="Q73" s="20"/>
      <c r="R73" s="20"/>
      <c r="S73" s="20"/>
      <c r="T73" s="20"/>
      <c r="U73" s="20"/>
      <c r="V73" s="20"/>
      <c r="W73" s="20"/>
      <c r="X73" s="20"/>
      <c r="Y73" s="20"/>
      <c r="Z73" s="20"/>
      <c r="AA73" s="20"/>
    </row>
    <row r="74" spans="1:27">
      <c r="A74" s="20"/>
      <c r="B74" s="20"/>
      <c r="C74" s="20"/>
      <c r="D74" s="20"/>
      <c r="E74" s="20"/>
      <c r="F74" s="20"/>
      <c r="G74" s="20"/>
      <c r="H74" s="20"/>
      <c r="I74" s="20"/>
      <c r="J74" s="20"/>
      <c r="K74" s="20"/>
      <c r="L74" s="20"/>
      <c r="M74" s="20"/>
      <c r="N74" s="20"/>
      <c r="O74" s="20"/>
      <c r="P74" s="20"/>
      <c r="Q74" s="20"/>
      <c r="R74" s="20"/>
      <c r="S74" s="20"/>
      <c r="T74" s="20"/>
      <c r="U74" s="20"/>
      <c r="V74" s="20"/>
      <c r="W74" s="20"/>
      <c r="X74" s="20"/>
      <c r="Y74" s="20"/>
      <c r="Z74" s="20"/>
      <c r="AA74" s="20"/>
    </row>
    <row r="75" spans="1:27">
      <c r="A75" s="20"/>
      <c r="B75" s="40"/>
      <c r="C75" s="39"/>
      <c r="D75" s="20"/>
      <c r="E75" s="20"/>
      <c r="F75" s="20"/>
      <c r="G75" s="20"/>
      <c r="H75" s="20"/>
      <c r="I75" s="20"/>
      <c r="J75" s="20"/>
      <c r="K75" s="20"/>
      <c r="L75" s="20"/>
      <c r="M75" s="20"/>
      <c r="N75" s="20"/>
      <c r="O75" s="20"/>
      <c r="P75" s="20"/>
      <c r="Q75" s="20"/>
      <c r="R75" s="20"/>
      <c r="S75" s="20"/>
      <c r="T75" s="20"/>
      <c r="U75" s="20"/>
      <c r="V75" s="20"/>
      <c r="W75" s="20"/>
      <c r="X75" s="20"/>
      <c r="Y75" s="20"/>
      <c r="Z75" s="20"/>
      <c r="AA75" s="20"/>
    </row>
    <row r="76" spans="1:27">
      <c r="A76" s="20"/>
      <c r="B76" s="20"/>
      <c r="C76" s="20"/>
      <c r="D76" s="20"/>
      <c r="E76" s="20"/>
      <c r="F76" s="20"/>
      <c r="G76" s="20"/>
      <c r="H76" s="20"/>
      <c r="I76" s="20"/>
      <c r="J76" s="20"/>
      <c r="K76" s="20"/>
      <c r="L76" s="20"/>
      <c r="M76" s="20"/>
      <c r="N76" s="20"/>
      <c r="O76" s="20"/>
      <c r="P76" s="20"/>
      <c r="Q76" s="20"/>
      <c r="R76" s="20"/>
      <c r="S76" s="20"/>
      <c r="T76" s="20"/>
      <c r="U76" s="20"/>
      <c r="V76" s="20"/>
      <c r="W76" s="20"/>
      <c r="X76" s="20"/>
      <c r="Y76" s="20"/>
      <c r="Z76" s="20"/>
      <c r="AA76" s="20"/>
    </row>
    <row r="77" spans="1:27">
      <c r="A77" s="20"/>
      <c r="B77" s="40"/>
      <c r="C77" s="39"/>
      <c r="D77" s="20"/>
      <c r="E77" s="20"/>
      <c r="F77" s="20"/>
      <c r="G77" s="20"/>
      <c r="H77" s="20"/>
      <c r="I77" s="20"/>
      <c r="J77" s="20"/>
      <c r="K77" s="20"/>
      <c r="L77" s="39"/>
      <c r="M77" s="20"/>
      <c r="N77" s="20"/>
      <c r="O77" s="39"/>
      <c r="P77" s="20"/>
      <c r="Q77" s="20"/>
      <c r="R77" s="20"/>
      <c r="S77" s="20"/>
      <c r="T77" s="20"/>
      <c r="U77" s="20"/>
      <c r="V77" s="20"/>
      <c r="W77" s="20"/>
      <c r="X77" s="20"/>
      <c r="Y77" s="20"/>
      <c r="Z77" s="20"/>
      <c r="AA77" s="20"/>
    </row>
    <row r="78" spans="1:27">
      <c r="A78" s="20"/>
      <c r="B78" s="20"/>
      <c r="C78" s="20"/>
      <c r="D78" s="20"/>
      <c r="E78" s="20"/>
      <c r="F78" s="20"/>
      <c r="G78" s="20"/>
      <c r="H78" s="20"/>
      <c r="I78" s="20"/>
      <c r="J78" s="20"/>
      <c r="K78" s="20"/>
      <c r="L78" s="20"/>
      <c r="M78" s="20"/>
      <c r="N78" s="20"/>
      <c r="O78" s="20"/>
      <c r="P78" s="20"/>
      <c r="Q78" s="20"/>
      <c r="R78" s="20"/>
      <c r="S78" s="20"/>
      <c r="T78" s="20"/>
      <c r="U78" s="20"/>
      <c r="V78" s="20"/>
      <c r="W78" s="20"/>
      <c r="X78" s="20"/>
      <c r="Y78" s="20"/>
      <c r="Z78" s="20"/>
      <c r="AA78" s="20"/>
    </row>
    <row r="79" spans="1:27">
      <c r="A79" s="20"/>
      <c r="B79" s="40"/>
      <c r="C79" s="39"/>
      <c r="D79" s="20"/>
      <c r="E79" s="20"/>
      <c r="F79" s="20"/>
      <c r="G79" s="20"/>
      <c r="H79" s="20"/>
      <c r="I79" s="20"/>
      <c r="J79" s="20"/>
      <c r="K79" s="20"/>
      <c r="L79" s="39"/>
      <c r="M79" s="20"/>
      <c r="N79" s="20"/>
      <c r="O79" s="39"/>
      <c r="P79" s="20"/>
      <c r="Q79" s="20"/>
      <c r="R79" s="20"/>
      <c r="S79" s="20"/>
      <c r="T79" s="20"/>
      <c r="U79" s="20"/>
      <c r="V79" s="20"/>
      <c r="W79" s="20"/>
      <c r="X79" s="20"/>
      <c r="Y79" s="20"/>
      <c r="Z79" s="20"/>
      <c r="AA79" s="20"/>
    </row>
    <row r="80" spans="1:27">
      <c r="A80" s="20"/>
      <c r="B80" s="20"/>
      <c r="C80" s="41"/>
      <c r="D80" s="20"/>
      <c r="E80" s="20"/>
      <c r="F80" s="20"/>
      <c r="G80" s="20"/>
      <c r="H80" s="20"/>
      <c r="I80" s="20"/>
      <c r="J80" s="20"/>
      <c r="K80" s="20"/>
      <c r="L80" s="20"/>
      <c r="M80" s="20"/>
      <c r="N80" s="20"/>
      <c r="O80" s="20"/>
      <c r="P80" s="20"/>
      <c r="Q80" s="20"/>
      <c r="R80" s="20"/>
      <c r="S80" s="20"/>
      <c r="T80" s="20"/>
      <c r="U80" s="20"/>
      <c r="V80" s="20"/>
      <c r="W80" s="20"/>
      <c r="X80" s="20"/>
      <c r="Y80" s="20"/>
      <c r="Z80" s="20"/>
      <c r="AA80" s="20"/>
    </row>
    <row r="81" spans="1:27">
      <c r="A81" s="20"/>
      <c r="B81" s="20"/>
      <c r="C81" s="20"/>
      <c r="D81" s="20"/>
      <c r="E81" s="20"/>
      <c r="F81" s="20"/>
      <c r="G81" s="20"/>
      <c r="H81" s="20"/>
      <c r="I81" s="20"/>
      <c r="J81" s="20"/>
      <c r="K81" s="20"/>
      <c r="L81" s="20"/>
      <c r="M81" s="20"/>
      <c r="N81" s="20"/>
      <c r="O81" s="20"/>
      <c r="P81" s="20"/>
      <c r="Q81" s="20"/>
      <c r="R81" s="20"/>
      <c r="S81" s="20"/>
      <c r="T81" s="20"/>
      <c r="U81" s="20"/>
      <c r="V81" s="20"/>
      <c r="W81" s="20"/>
      <c r="X81" s="20"/>
      <c r="Y81" s="20"/>
      <c r="Z81" s="20"/>
      <c r="AA81" s="20"/>
    </row>
    <row r="82" spans="1:27">
      <c r="A82" s="20"/>
      <c r="B82" s="40"/>
      <c r="C82" s="39"/>
      <c r="D82" s="20"/>
      <c r="E82" s="20"/>
      <c r="F82" s="20"/>
      <c r="G82" s="20"/>
      <c r="H82" s="20"/>
      <c r="I82" s="20"/>
      <c r="J82" s="20"/>
      <c r="K82" s="20"/>
      <c r="L82" s="20"/>
      <c r="M82" s="20"/>
      <c r="N82" s="20"/>
      <c r="O82" s="39"/>
      <c r="P82" s="20"/>
      <c r="Q82" s="20"/>
      <c r="R82" s="20"/>
      <c r="S82" s="20"/>
      <c r="T82" s="20"/>
      <c r="U82" s="20"/>
      <c r="V82" s="20"/>
      <c r="W82" s="20"/>
      <c r="X82" s="20"/>
      <c r="Y82" s="20"/>
      <c r="Z82" s="20"/>
      <c r="AA82" s="20"/>
    </row>
    <row r="83" spans="1:27">
      <c r="A83" s="20"/>
      <c r="B83" s="20"/>
      <c r="C83" s="41"/>
      <c r="D83" s="20"/>
      <c r="E83" s="20"/>
      <c r="F83" s="20"/>
      <c r="G83" s="20"/>
      <c r="H83" s="20"/>
      <c r="I83" s="20"/>
      <c r="J83" s="20"/>
      <c r="K83" s="20"/>
      <c r="L83" s="20"/>
      <c r="M83" s="20"/>
      <c r="N83" s="20"/>
      <c r="O83" s="20"/>
      <c r="P83" s="20"/>
      <c r="Q83" s="20"/>
      <c r="R83" s="20"/>
      <c r="S83" s="20"/>
      <c r="T83" s="20"/>
      <c r="U83" s="20"/>
      <c r="V83" s="20"/>
      <c r="W83" s="20"/>
      <c r="X83" s="20"/>
      <c r="Y83" s="20"/>
      <c r="Z83" s="20"/>
      <c r="AA83" s="20"/>
    </row>
    <row r="84" spans="1:27">
      <c r="A84" s="20"/>
      <c r="B84" s="20"/>
      <c r="C84" s="20"/>
      <c r="D84" s="20"/>
      <c r="E84" s="20"/>
      <c r="F84" s="20"/>
      <c r="G84" s="20"/>
      <c r="H84" s="20"/>
      <c r="I84" s="20"/>
      <c r="J84" s="20"/>
      <c r="K84" s="20"/>
      <c r="L84" s="20"/>
      <c r="M84" s="20"/>
      <c r="N84" s="20"/>
      <c r="O84" s="20"/>
      <c r="P84" s="20"/>
      <c r="Q84" s="20"/>
      <c r="R84" s="20"/>
      <c r="S84" s="20"/>
      <c r="T84" s="20"/>
      <c r="U84" s="20"/>
      <c r="V84" s="20"/>
      <c r="W84" s="20"/>
      <c r="X84" s="20"/>
      <c r="Y84" s="20"/>
      <c r="Z84" s="20"/>
      <c r="AA84" s="20"/>
    </row>
    <row r="85" spans="1:27">
      <c r="A85" s="38"/>
      <c r="B85" s="38"/>
      <c r="C85" s="20"/>
      <c r="D85" s="20"/>
      <c r="E85" s="20"/>
      <c r="F85" s="20"/>
      <c r="G85" s="20"/>
      <c r="H85" s="20"/>
      <c r="I85" s="20"/>
      <c r="J85" s="20"/>
      <c r="K85" s="20"/>
      <c r="L85" s="20"/>
      <c r="M85" s="20"/>
      <c r="N85" s="20"/>
      <c r="O85" s="20"/>
      <c r="P85" s="20"/>
      <c r="Q85" s="20"/>
      <c r="R85" s="20"/>
      <c r="S85" s="20"/>
      <c r="T85" s="20"/>
      <c r="U85" s="20"/>
      <c r="V85" s="20"/>
      <c r="W85" s="20"/>
      <c r="X85" s="20"/>
      <c r="Y85" s="20"/>
      <c r="Z85" s="20"/>
      <c r="AA85" s="20"/>
    </row>
    <row r="86" spans="1:27">
      <c r="A86" s="20"/>
      <c r="B86" s="20"/>
      <c r="C86" s="42"/>
      <c r="D86" s="20"/>
      <c r="E86" s="20"/>
      <c r="F86" s="20"/>
      <c r="G86" s="20"/>
      <c r="H86" s="20"/>
      <c r="I86" s="20"/>
      <c r="J86" s="20"/>
      <c r="K86" s="20"/>
      <c r="L86" s="20"/>
      <c r="M86" s="20"/>
      <c r="N86" s="20"/>
      <c r="O86" s="20"/>
      <c r="P86" s="20"/>
      <c r="Q86" s="20"/>
      <c r="R86" s="20"/>
      <c r="S86" s="20"/>
      <c r="T86" s="20"/>
      <c r="U86" s="20"/>
      <c r="V86" s="20"/>
      <c r="W86" s="20"/>
      <c r="X86" s="20"/>
      <c r="Y86" s="20"/>
      <c r="Z86" s="20"/>
      <c r="AA86" s="20"/>
    </row>
    <row r="87" spans="1:27">
      <c r="A87" s="20"/>
      <c r="B87" s="20"/>
      <c r="C87" s="39"/>
      <c r="D87" s="20"/>
      <c r="E87" s="20"/>
      <c r="F87" s="20"/>
      <c r="G87" s="20"/>
      <c r="H87" s="20"/>
      <c r="I87" s="20"/>
      <c r="J87" s="20"/>
      <c r="K87" s="20"/>
      <c r="L87" s="20"/>
      <c r="M87" s="20"/>
      <c r="N87" s="20"/>
      <c r="O87" s="20"/>
      <c r="P87" s="20"/>
      <c r="Q87" s="20"/>
      <c r="R87" s="20"/>
      <c r="S87" s="20"/>
      <c r="T87" s="20"/>
      <c r="U87" s="20"/>
      <c r="V87" s="20"/>
      <c r="W87" s="20"/>
      <c r="X87" s="20"/>
      <c r="Y87" s="20"/>
      <c r="Z87" s="20"/>
      <c r="AA87" s="20"/>
    </row>
    <row r="88" spans="1:27">
      <c r="A88" s="20"/>
      <c r="B88" s="20"/>
      <c r="C88" s="20"/>
      <c r="D88" s="20"/>
      <c r="E88" s="20"/>
      <c r="F88" s="20"/>
      <c r="G88" s="20"/>
      <c r="H88" s="20"/>
      <c r="I88" s="20"/>
      <c r="J88" s="20"/>
      <c r="K88" s="20"/>
      <c r="L88" s="20"/>
      <c r="M88" s="20"/>
      <c r="N88" s="20"/>
      <c r="O88" s="20"/>
      <c r="P88" s="20"/>
      <c r="Q88" s="20"/>
      <c r="R88" s="20"/>
      <c r="S88" s="20"/>
      <c r="T88" s="20"/>
      <c r="U88" s="20"/>
      <c r="V88" s="20"/>
      <c r="W88" s="20"/>
      <c r="X88" s="20"/>
      <c r="Y88" s="20"/>
      <c r="Z88" s="20"/>
      <c r="AA88" s="20"/>
    </row>
    <row r="89" spans="1:27">
      <c r="A89" s="20"/>
      <c r="B89" s="40"/>
      <c r="C89" s="39"/>
      <c r="D89" s="20"/>
      <c r="E89" s="20"/>
      <c r="F89" s="20"/>
      <c r="G89" s="20"/>
      <c r="H89" s="20"/>
      <c r="I89" s="20"/>
      <c r="J89" s="20"/>
      <c r="K89" s="20"/>
      <c r="L89" s="20"/>
      <c r="M89" s="20"/>
      <c r="N89" s="20"/>
      <c r="O89" s="20"/>
      <c r="P89" s="20"/>
      <c r="Q89" s="20"/>
      <c r="R89" s="20"/>
      <c r="S89" s="20"/>
      <c r="T89" s="20"/>
      <c r="U89" s="20"/>
      <c r="V89" s="20"/>
      <c r="W89" s="20"/>
      <c r="X89" s="20"/>
      <c r="Y89" s="20"/>
      <c r="Z89" s="20"/>
      <c r="AA89" s="20"/>
    </row>
    <row r="90" spans="1:27">
      <c r="A90" s="20"/>
      <c r="B90" s="20"/>
      <c r="C90" s="39"/>
      <c r="D90" s="20"/>
      <c r="E90" s="20"/>
      <c r="F90" s="20"/>
      <c r="G90" s="20"/>
      <c r="H90" s="20"/>
      <c r="I90" s="20"/>
      <c r="J90" s="20"/>
      <c r="K90" s="20"/>
      <c r="L90" s="20"/>
      <c r="M90" s="20"/>
      <c r="N90" s="20"/>
      <c r="O90" s="20"/>
      <c r="P90" s="20"/>
      <c r="Q90" s="20"/>
      <c r="R90" s="20"/>
      <c r="S90" s="20"/>
      <c r="T90" s="20"/>
      <c r="U90" s="20"/>
      <c r="V90" s="20"/>
      <c r="W90" s="20"/>
      <c r="X90" s="20"/>
      <c r="Y90" s="20"/>
      <c r="Z90" s="20"/>
      <c r="AA90" s="20"/>
    </row>
    <row r="91" spans="1:27">
      <c r="A91" s="20"/>
      <c r="B91" s="20"/>
      <c r="C91" s="20"/>
      <c r="D91" s="20"/>
      <c r="E91" s="20"/>
      <c r="F91" s="20"/>
      <c r="G91" s="20"/>
      <c r="H91" s="20"/>
      <c r="I91" s="20"/>
      <c r="J91" s="20"/>
      <c r="K91" s="20"/>
      <c r="L91" s="20"/>
      <c r="M91" s="20"/>
      <c r="N91" s="20"/>
      <c r="O91" s="20"/>
      <c r="P91" s="20"/>
      <c r="Q91" s="20"/>
      <c r="R91" s="20"/>
      <c r="S91" s="20"/>
      <c r="T91" s="20"/>
      <c r="U91" s="20"/>
      <c r="V91" s="20"/>
      <c r="W91" s="20"/>
      <c r="X91" s="20"/>
      <c r="Y91" s="20"/>
      <c r="Z91" s="20"/>
      <c r="AA91" s="20"/>
    </row>
    <row r="92" spans="1:27">
      <c r="A92" s="20"/>
      <c r="B92" s="40"/>
      <c r="C92" s="39"/>
      <c r="D92" s="20"/>
      <c r="E92" s="20"/>
      <c r="F92" s="20"/>
      <c r="G92" s="20"/>
      <c r="H92" s="20"/>
      <c r="I92" s="20"/>
      <c r="J92" s="20"/>
      <c r="K92" s="20"/>
      <c r="L92" s="20"/>
      <c r="M92" s="20"/>
      <c r="N92" s="20"/>
      <c r="O92" s="20"/>
      <c r="P92" s="20"/>
      <c r="Q92" s="20"/>
      <c r="R92" s="20"/>
      <c r="S92" s="20"/>
      <c r="T92" s="20"/>
      <c r="U92" s="20"/>
      <c r="V92" s="20"/>
      <c r="W92" s="20"/>
      <c r="X92" s="20"/>
      <c r="Y92" s="20"/>
      <c r="Z92" s="20"/>
      <c r="AA92" s="20"/>
    </row>
    <row r="93" spans="1:27">
      <c r="A93" s="20"/>
      <c r="B93" s="20"/>
      <c r="C93" s="39"/>
      <c r="D93" s="20"/>
      <c r="E93" s="20"/>
      <c r="F93" s="20"/>
      <c r="G93" s="20"/>
      <c r="H93" s="20"/>
      <c r="I93" s="20"/>
      <c r="J93" s="20"/>
      <c r="K93" s="20"/>
      <c r="L93" s="20"/>
      <c r="M93" s="20"/>
      <c r="N93" s="20"/>
      <c r="O93" s="20"/>
      <c r="P93" s="20"/>
      <c r="Q93" s="20"/>
      <c r="R93" s="20"/>
      <c r="S93" s="20"/>
      <c r="T93" s="20"/>
      <c r="U93" s="20"/>
      <c r="V93" s="20"/>
      <c r="W93" s="20"/>
      <c r="X93" s="20"/>
      <c r="Y93" s="20"/>
      <c r="Z93" s="20"/>
      <c r="AA93" s="20"/>
    </row>
    <row r="94" spans="1:27">
      <c r="A94" s="20"/>
      <c r="B94" s="20"/>
      <c r="C94" s="20"/>
      <c r="D94" s="20"/>
      <c r="E94" s="20"/>
      <c r="F94" s="20"/>
      <c r="G94" s="20"/>
      <c r="H94" s="20"/>
      <c r="I94" s="20"/>
      <c r="J94" s="20"/>
      <c r="K94" s="20"/>
      <c r="L94" s="20"/>
      <c r="M94" s="20"/>
      <c r="N94" s="20"/>
      <c r="O94" s="20"/>
      <c r="P94" s="20"/>
      <c r="Q94" s="20"/>
      <c r="R94" s="20"/>
      <c r="S94" s="20"/>
      <c r="T94" s="20"/>
      <c r="U94" s="20"/>
      <c r="V94" s="20"/>
      <c r="W94" s="20"/>
      <c r="X94" s="20"/>
      <c r="Y94" s="20"/>
      <c r="Z94" s="20"/>
      <c r="AA94" s="20"/>
    </row>
    <row r="95" spans="1:27">
      <c r="A95" s="20"/>
      <c r="B95" s="40"/>
      <c r="C95" s="43"/>
      <c r="D95" s="20"/>
      <c r="E95" s="20"/>
      <c r="F95" s="20"/>
      <c r="G95" s="20"/>
      <c r="H95" s="20"/>
      <c r="I95" s="20"/>
      <c r="J95" s="20"/>
      <c r="K95" s="20"/>
      <c r="L95" s="20"/>
      <c r="M95" s="20"/>
      <c r="N95" s="20"/>
      <c r="O95" s="39"/>
      <c r="P95" s="20"/>
      <c r="Q95" s="20"/>
      <c r="R95" s="20"/>
      <c r="S95" s="20"/>
      <c r="T95" s="20"/>
      <c r="U95" s="20"/>
      <c r="V95" s="20"/>
      <c r="W95" s="20"/>
      <c r="X95" s="20"/>
      <c r="Y95" s="20"/>
      <c r="Z95" s="20"/>
      <c r="AA95" s="20"/>
    </row>
    <row r="96" spans="1:27">
      <c r="A96" s="20"/>
      <c r="B96" s="20"/>
      <c r="C96" s="20"/>
      <c r="D96" s="20"/>
      <c r="E96" s="20"/>
      <c r="F96" s="20"/>
      <c r="G96" s="20"/>
      <c r="H96" s="20"/>
      <c r="I96" s="20"/>
      <c r="J96" s="20"/>
      <c r="K96" s="20"/>
      <c r="L96" s="20"/>
      <c r="M96" s="20"/>
      <c r="N96" s="20"/>
      <c r="O96" s="20"/>
      <c r="P96" s="20"/>
      <c r="Q96" s="20"/>
      <c r="R96" s="20"/>
      <c r="S96" s="20"/>
      <c r="T96" s="20"/>
      <c r="U96" s="20"/>
      <c r="V96" s="20"/>
      <c r="W96" s="20"/>
      <c r="X96" s="20"/>
      <c r="Y96" s="20"/>
      <c r="Z96" s="20"/>
      <c r="AA96" s="20"/>
    </row>
    <row r="97" spans="1:27">
      <c r="A97" s="38"/>
      <c r="B97" s="38"/>
      <c r="C97" s="20"/>
      <c r="D97" s="20"/>
      <c r="E97" s="20"/>
      <c r="F97" s="20"/>
      <c r="G97" s="20"/>
      <c r="H97" s="20"/>
      <c r="I97" s="20"/>
      <c r="J97" s="20"/>
      <c r="K97" s="20"/>
      <c r="L97" s="20"/>
      <c r="M97" s="20"/>
      <c r="N97" s="20"/>
      <c r="O97" s="20"/>
      <c r="P97" s="20"/>
      <c r="Q97" s="20"/>
      <c r="R97" s="20"/>
      <c r="S97" s="20"/>
      <c r="T97" s="20"/>
      <c r="U97" s="20"/>
      <c r="V97" s="20"/>
      <c r="W97" s="20"/>
      <c r="X97" s="20"/>
      <c r="Y97" s="20"/>
      <c r="Z97" s="20"/>
      <c r="AA97" s="20"/>
    </row>
    <row r="98" spans="1:27">
      <c r="A98" s="20"/>
      <c r="B98" s="39"/>
      <c r="C98" s="20"/>
      <c r="D98" s="20"/>
      <c r="E98" s="20"/>
      <c r="F98" s="20"/>
      <c r="G98" s="20"/>
      <c r="H98" s="20"/>
      <c r="I98" s="20"/>
      <c r="J98" s="20"/>
      <c r="K98" s="20"/>
      <c r="L98" s="20"/>
      <c r="M98" s="20"/>
      <c r="N98" s="20"/>
      <c r="O98" s="20"/>
      <c r="P98" s="20"/>
      <c r="Q98" s="20"/>
      <c r="R98" s="20"/>
      <c r="S98" s="20"/>
      <c r="T98" s="20"/>
      <c r="U98" s="20"/>
      <c r="V98" s="20"/>
      <c r="W98" s="20"/>
      <c r="X98" s="20"/>
      <c r="Y98" s="20"/>
      <c r="Z98" s="20"/>
      <c r="AA98" s="20"/>
    </row>
    <row r="99" spans="1:27">
      <c r="A99" s="20"/>
      <c r="B99" s="20"/>
      <c r="C99" s="20"/>
      <c r="D99" s="20"/>
      <c r="E99" s="20"/>
      <c r="F99" s="20"/>
      <c r="G99" s="20"/>
      <c r="H99" s="20"/>
      <c r="I99" s="20"/>
      <c r="J99" s="20"/>
      <c r="K99" s="20"/>
      <c r="L99" s="20"/>
      <c r="M99" s="20"/>
      <c r="N99" s="20"/>
      <c r="O99" s="20"/>
      <c r="P99" s="20"/>
      <c r="Q99" s="20"/>
      <c r="R99" s="20"/>
      <c r="S99" s="20"/>
      <c r="T99" s="20"/>
      <c r="U99" s="20"/>
      <c r="V99" s="20"/>
      <c r="W99" s="20"/>
      <c r="X99" s="20"/>
      <c r="Y99" s="20"/>
      <c r="Z99" s="20"/>
      <c r="AA99" s="20"/>
    </row>
    <row r="100" spans="1:27">
      <c r="A100" s="20"/>
      <c r="B100" s="40"/>
      <c r="C100" s="39"/>
      <c r="D100" s="20"/>
      <c r="E100" s="20"/>
      <c r="F100" s="20"/>
      <c r="G100" s="20"/>
      <c r="H100" s="20"/>
      <c r="I100" s="20"/>
      <c r="J100" s="20"/>
      <c r="K100" s="20"/>
      <c r="L100" s="20"/>
      <c r="M100" s="20"/>
      <c r="N100" s="20"/>
      <c r="O100" s="39"/>
      <c r="P100" s="20"/>
      <c r="Q100" s="20"/>
      <c r="R100" s="20"/>
      <c r="S100" s="20"/>
      <c r="T100" s="20"/>
      <c r="U100" s="20"/>
      <c r="V100" s="20"/>
      <c r="W100" s="20"/>
      <c r="X100" s="20"/>
      <c r="Y100" s="20"/>
      <c r="Z100" s="20"/>
      <c r="AA100" s="20"/>
    </row>
    <row r="101" spans="1:27">
      <c r="A101" s="20"/>
      <c r="B101" s="20"/>
      <c r="C101" s="20"/>
      <c r="D101" s="20"/>
      <c r="E101" s="20"/>
      <c r="F101" s="20"/>
      <c r="G101" s="20"/>
      <c r="H101" s="20"/>
      <c r="I101" s="20"/>
      <c r="J101" s="20"/>
      <c r="K101" s="20"/>
      <c r="L101" s="20"/>
      <c r="M101" s="20"/>
      <c r="N101" s="20"/>
      <c r="O101" s="20"/>
      <c r="P101" s="20"/>
      <c r="Q101" s="20"/>
      <c r="R101" s="20"/>
      <c r="S101" s="20"/>
      <c r="T101" s="20"/>
      <c r="U101" s="20"/>
      <c r="V101" s="20"/>
      <c r="W101" s="20"/>
      <c r="X101" s="20"/>
      <c r="Y101" s="20"/>
      <c r="Z101" s="20"/>
      <c r="AA101" s="20"/>
    </row>
    <row r="102" spans="1:27">
      <c r="A102" s="20"/>
      <c r="B102" s="40"/>
      <c r="C102" s="39"/>
      <c r="D102" s="20"/>
      <c r="E102" s="20"/>
      <c r="F102" s="20"/>
      <c r="G102" s="20"/>
      <c r="H102" s="20"/>
      <c r="I102" s="20"/>
      <c r="J102" s="20"/>
      <c r="K102" s="20"/>
      <c r="L102" s="20"/>
      <c r="M102" s="20"/>
      <c r="N102" s="20"/>
      <c r="O102" s="39"/>
      <c r="P102" s="20"/>
      <c r="Q102" s="20"/>
      <c r="R102" s="20"/>
      <c r="S102" s="20"/>
      <c r="T102" s="20"/>
      <c r="U102" s="20"/>
      <c r="V102" s="20"/>
      <c r="W102" s="20"/>
      <c r="X102" s="20"/>
      <c r="Y102" s="20"/>
      <c r="Z102" s="20"/>
      <c r="AA102" s="20"/>
    </row>
    <row r="103" spans="1:27">
      <c r="A103" s="20"/>
      <c r="B103" s="20"/>
      <c r="C103" s="20"/>
      <c r="D103" s="20"/>
      <c r="E103" s="20"/>
      <c r="F103" s="20"/>
      <c r="G103" s="20"/>
      <c r="H103" s="20"/>
      <c r="I103" s="20"/>
      <c r="J103" s="20"/>
      <c r="K103" s="20"/>
      <c r="L103" s="20"/>
      <c r="M103" s="20"/>
      <c r="N103" s="20"/>
      <c r="O103" s="20"/>
      <c r="P103" s="20"/>
      <c r="Q103" s="20"/>
      <c r="R103" s="20"/>
      <c r="S103" s="20"/>
      <c r="T103" s="20"/>
      <c r="U103" s="20"/>
      <c r="V103" s="20"/>
      <c r="W103" s="20"/>
      <c r="X103" s="20"/>
      <c r="Y103" s="20"/>
      <c r="Z103" s="20"/>
      <c r="AA103" s="20"/>
    </row>
    <row r="104" spans="1:27">
      <c r="A104" s="20"/>
      <c r="B104" s="40"/>
      <c r="C104" s="39"/>
      <c r="D104" s="20"/>
      <c r="E104" s="20"/>
      <c r="F104" s="20"/>
      <c r="G104" s="20"/>
      <c r="H104" s="20"/>
      <c r="I104" s="20"/>
      <c r="J104" s="20"/>
      <c r="K104" s="20"/>
      <c r="L104" s="20"/>
      <c r="M104" s="20"/>
      <c r="N104" s="20"/>
      <c r="O104" s="20"/>
      <c r="P104" s="20"/>
      <c r="Q104" s="20"/>
      <c r="R104" s="20"/>
      <c r="S104" s="20"/>
      <c r="T104" s="20"/>
      <c r="U104" s="20"/>
      <c r="V104" s="20"/>
      <c r="W104" s="20"/>
      <c r="X104" s="20"/>
      <c r="Y104" s="20"/>
      <c r="Z104" s="20"/>
      <c r="AA104" s="20"/>
    </row>
    <row r="105" spans="1:27">
      <c r="A105" s="20"/>
      <c r="B105" s="20"/>
      <c r="C105" s="20"/>
      <c r="D105" s="20"/>
      <c r="E105" s="20"/>
      <c r="F105" s="20"/>
      <c r="G105" s="20"/>
      <c r="H105" s="20"/>
      <c r="I105" s="20"/>
      <c r="J105" s="20"/>
      <c r="K105" s="20"/>
      <c r="L105" s="20"/>
      <c r="M105" s="20"/>
      <c r="N105" s="20"/>
      <c r="O105" s="20"/>
      <c r="P105" s="20"/>
      <c r="Q105" s="20"/>
      <c r="R105" s="20"/>
      <c r="S105" s="20"/>
      <c r="T105" s="20"/>
      <c r="U105" s="20"/>
      <c r="V105" s="20"/>
      <c r="W105" s="20"/>
      <c r="X105" s="20"/>
      <c r="Y105" s="20"/>
      <c r="Z105" s="20"/>
      <c r="AA105" s="20"/>
    </row>
    <row r="106" spans="1:27">
      <c r="A106" s="20"/>
      <c r="B106" s="40"/>
      <c r="C106" s="39"/>
      <c r="D106" s="20"/>
      <c r="E106" s="20"/>
      <c r="F106" s="20"/>
      <c r="G106" s="20"/>
      <c r="H106" s="20"/>
      <c r="I106" s="20"/>
      <c r="J106" s="20"/>
      <c r="K106" s="20"/>
      <c r="L106" s="20"/>
      <c r="M106" s="20"/>
      <c r="N106" s="20"/>
      <c r="O106" s="20"/>
      <c r="P106" s="20"/>
      <c r="Q106" s="20"/>
      <c r="R106" s="20"/>
      <c r="S106" s="20"/>
      <c r="T106" s="20"/>
      <c r="U106" s="20"/>
      <c r="V106" s="20"/>
      <c r="W106" s="20"/>
      <c r="X106" s="20"/>
      <c r="Y106" s="20"/>
      <c r="Z106" s="20"/>
      <c r="AA106" s="20"/>
    </row>
    <row r="107" spans="1:27">
      <c r="A107" s="20"/>
      <c r="B107" s="20"/>
      <c r="C107" s="20"/>
      <c r="D107" s="20"/>
      <c r="E107" s="20"/>
      <c r="F107" s="20"/>
      <c r="G107" s="20"/>
      <c r="H107" s="20"/>
      <c r="I107" s="20"/>
      <c r="J107" s="20"/>
      <c r="K107" s="20"/>
      <c r="L107" s="20"/>
      <c r="M107" s="20"/>
      <c r="N107" s="20"/>
      <c r="O107" s="20"/>
      <c r="P107" s="20"/>
      <c r="Q107" s="20"/>
      <c r="R107" s="20"/>
      <c r="S107" s="20"/>
      <c r="T107" s="20"/>
      <c r="U107" s="20"/>
      <c r="V107" s="20"/>
      <c r="W107" s="20"/>
      <c r="X107" s="20"/>
      <c r="Y107" s="20"/>
      <c r="Z107" s="20"/>
      <c r="AA107" s="20"/>
    </row>
    <row r="108" spans="1:27">
      <c r="A108" s="20"/>
      <c r="B108" s="20"/>
      <c r="C108" s="20"/>
      <c r="D108" s="20"/>
      <c r="E108" s="20"/>
      <c r="F108" s="20"/>
      <c r="G108" s="20"/>
      <c r="H108" s="20"/>
      <c r="I108" s="20"/>
      <c r="J108" s="20"/>
      <c r="K108" s="20"/>
      <c r="L108" s="20"/>
      <c r="M108" s="20"/>
      <c r="N108" s="20"/>
      <c r="O108" s="20"/>
      <c r="P108" s="20"/>
      <c r="Q108" s="20"/>
      <c r="R108" s="20"/>
      <c r="S108" s="20"/>
      <c r="T108" s="20"/>
      <c r="U108" s="20"/>
      <c r="V108" s="20"/>
      <c r="W108" s="20"/>
      <c r="X108" s="20"/>
      <c r="Y108" s="20"/>
      <c r="Z108" s="20"/>
      <c r="AA108" s="20"/>
    </row>
    <row r="109" spans="1:27">
      <c r="A109" s="20"/>
      <c r="B109" s="20"/>
      <c r="C109" s="20"/>
      <c r="D109" s="20"/>
      <c r="E109" s="20"/>
      <c r="F109" s="20"/>
      <c r="G109" s="20"/>
      <c r="H109" s="20"/>
      <c r="I109" s="20"/>
      <c r="J109" s="20"/>
      <c r="K109" s="20"/>
      <c r="L109" s="20"/>
      <c r="M109" s="20"/>
      <c r="N109" s="20"/>
      <c r="O109" s="20"/>
      <c r="P109" s="20"/>
      <c r="Q109" s="20"/>
      <c r="R109" s="20"/>
      <c r="S109" s="20"/>
      <c r="T109" s="20"/>
      <c r="U109" s="20"/>
      <c r="V109" s="20"/>
      <c r="W109" s="20"/>
      <c r="X109" s="20"/>
      <c r="Y109" s="20"/>
      <c r="Z109" s="20"/>
      <c r="AA109" s="20"/>
    </row>
    <row r="110" spans="1:27">
      <c r="A110" s="20"/>
      <c r="B110" s="20"/>
      <c r="C110" s="20"/>
      <c r="D110" s="20"/>
      <c r="E110" s="20"/>
      <c r="F110" s="20"/>
      <c r="G110" s="20"/>
      <c r="H110" s="20"/>
      <c r="I110" s="20"/>
      <c r="J110" s="20"/>
      <c r="K110" s="20"/>
      <c r="L110" s="20"/>
      <c r="M110" s="20"/>
      <c r="N110" s="20"/>
      <c r="O110" s="20"/>
      <c r="P110" s="20"/>
      <c r="Q110" s="20"/>
      <c r="R110" s="20"/>
      <c r="S110" s="20"/>
      <c r="T110" s="20"/>
      <c r="U110" s="20"/>
      <c r="V110" s="20"/>
      <c r="W110" s="20"/>
      <c r="X110" s="20"/>
      <c r="Y110" s="20"/>
      <c r="Z110" s="20"/>
      <c r="AA110" s="20"/>
    </row>
    <row r="111" spans="1:27">
      <c r="A111" s="20"/>
      <c r="B111" s="20"/>
      <c r="C111" s="20"/>
      <c r="D111" s="20"/>
      <c r="E111" s="20"/>
      <c r="F111" s="20"/>
      <c r="G111" s="20"/>
      <c r="H111" s="20"/>
      <c r="I111" s="20"/>
      <c r="J111" s="20"/>
      <c r="K111" s="20"/>
      <c r="L111" s="20"/>
      <c r="M111" s="20"/>
      <c r="N111" s="20"/>
      <c r="O111" s="20"/>
      <c r="P111" s="20"/>
      <c r="Q111" s="20"/>
      <c r="R111" s="20"/>
      <c r="S111" s="20"/>
      <c r="T111" s="20"/>
      <c r="U111" s="20"/>
      <c r="V111" s="20"/>
      <c r="W111" s="20"/>
      <c r="X111" s="20"/>
      <c r="Y111" s="20"/>
      <c r="Z111" s="20"/>
      <c r="AA111" s="20"/>
    </row>
    <row r="112" spans="1:27">
      <c r="A112" s="20"/>
      <c r="B112" s="20"/>
      <c r="C112" s="20"/>
      <c r="D112" s="20"/>
      <c r="E112" s="20"/>
      <c r="F112" s="20"/>
      <c r="G112" s="20"/>
      <c r="H112" s="20"/>
      <c r="I112" s="20"/>
      <c r="J112" s="20"/>
      <c r="K112" s="20"/>
      <c r="L112" s="20"/>
      <c r="M112" s="20"/>
      <c r="N112" s="20"/>
      <c r="O112" s="20"/>
      <c r="P112" s="20"/>
      <c r="Q112" s="20"/>
      <c r="R112" s="20"/>
      <c r="S112" s="20"/>
      <c r="T112" s="20"/>
      <c r="U112" s="20"/>
      <c r="V112" s="20"/>
      <c r="W112" s="20"/>
      <c r="X112" s="20"/>
      <c r="Y112" s="20"/>
      <c r="Z112" s="20"/>
      <c r="AA112" s="20"/>
    </row>
    <row r="113" spans="1:27">
      <c r="A113" s="20"/>
      <c r="B113" s="20"/>
      <c r="C113" s="20"/>
      <c r="D113" s="20"/>
      <c r="E113" s="20"/>
      <c r="F113" s="20"/>
      <c r="G113" s="20"/>
      <c r="H113" s="20"/>
      <c r="I113" s="20"/>
      <c r="J113" s="20"/>
      <c r="K113" s="20"/>
      <c r="L113" s="20"/>
      <c r="M113" s="20"/>
      <c r="N113" s="20"/>
      <c r="O113" s="20"/>
      <c r="P113" s="20"/>
      <c r="Q113" s="20"/>
      <c r="R113" s="20"/>
      <c r="S113" s="20"/>
      <c r="T113" s="20"/>
      <c r="U113" s="20"/>
      <c r="V113" s="20"/>
      <c r="W113" s="20"/>
      <c r="X113" s="20"/>
      <c r="Y113" s="20"/>
      <c r="Z113" s="20"/>
      <c r="AA113" s="20"/>
    </row>
    <row r="114" spans="1:27">
      <c r="A114" s="20"/>
      <c r="B114" s="20"/>
      <c r="C114" s="20"/>
      <c r="D114" s="20"/>
      <c r="E114" s="20"/>
      <c r="F114" s="20"/>
      <c r="G114" s="20"/>
      <c r="H114" s="20"/>
      <c r="I114" s="20"/>
      <c r="J114" s="20"/>
      <c r="K114" s="20"/>
      <c r="L114" s="20"/>
      <c r="M114" s="20"/>
      <c r="N114" s="20"/>
      <c r="O114" s="20"/>
      <c r="P114" s="20"/>
      <c r="Q114" s="20"/>
      <c r="R114" s="20"/>
      <c r="S114" s="20"/>
      <c r="T114" s="20"/>
      <c r="U114" s="20"/>
      <c r="V114" s="20"/>
      <c r="W114" s="20"/>
      <c r="X114" s="20"/>
      <c r="Y114" s="20"/>
      <c r="Z114" s="20"/>
      <c r="AA114" s="20"/>
    </row>
    <row r="115" spans="1:27">
      <c r="A115" s="20"/>
      <c r="B115" s="20"/>
      <c r="C115" s="20"/>
      <c r="D115" s="20"/>
      <c r="E115" s="20"/>
      <c r="F115" s="20"/>
      <c r="G115" s="20"/>
      <c r="H115" s="20"/>
      <c r="I115" s="20"/>
      <c r="J115" s="20"/>
      <c r="K115" s="20"/>
      <c r="L115" s="20"/>
      <c r="M115" s="20"/>
      <c r="N115" s="20"/>
      <c r="O115" s="20"/>
      <c r="P115" s="20"/>
      <c r="Q115" s="20"/>
      <c r="R115" s="20"/>
      <c r="S115" s="20"/>
      <c r="T115" s="20"/>
      <c r="U115" s="20"/>
      <c r="V115" s="20"/>
      <c r="W115" s="20"/>
      <c r="X115" s="20"/>
      <c r="Y115" s="20"/>
      <c r="Z115" s="20"/>
      <c r="AA115" s="20"/>
    </row>
    <row r="116" spans="1:27">
      <c r="A116" s="20"/>
      <c r="B116" s="20"/>
      <c r="C116" s="20"/>
      <c r="D116" s="20"/>
      <c r="E116" s="20"/>
      <c r="F116" s="20"/>
      <c r="G116" s="20"/>
      <c r="H116" s="20"/>
      <c r="I116" s="20"/>
      <c r="J116" s="20"/>
      <c r="K116" s="20"/>
      <c r="L116" s="20"/>
      <c r="M116" s="20"/>
      <c r="N116" s="20"/>
      <c r="O116" s="20"/>
      <c r="P116" s="20"/>
      <c r="Q116" s="20"/>
      <c r="R116" s="20"/>
      <c r="S116" s="20"/>
      <c r="T116" s="20"/>
      <c r="U116" s="20"/>
      <c r="V116" s="20"/>
      <c r="W116" s="20"/>
      <c r="X116" s="20"/>
      <c r="Y116" s="20"/>
      <c r="Z116" s="20"/>
      <c r="AA116" s="20"/>
    </row>
    <row r="117" spans="1:27">
      <c r="A117" s="20"/>
      <c r="B117" s="20"/>
      <c r="C117" s="20"/>
      <c r="D117" s="20"/>
      <c r="E117" s="20"/>
      <c r="F117" s="20"/>
      <c r="G117" s="20"/>
      <c r="H117" s="20"/>
      <c r="I117" s="20"/>
      <c r="J117" s="20"/>
      <c r="K117" s="20"/>
      <c r="L117" s="20"/>
      <c r="M117" s="20"/>
      <c r="N117" s="20"/>
      <c r="O117" s="20"/>
      <c r="P117" s="20"/>
      <c r="Q117" s="20"/>
      <c r="R117" s="20"/>
      <c r="S117" s="20"/>
      <c r="T117" s="20"/>
      <c r="U117" s="20"/>
      <c r="V117" s="20"/>
      <c r="W117" s="20"/>
      <c r="X117" s="20"/>
      <c r="Y117" s="20"/>
      <c r="Z117" s="20"/>
      <c r="AA117" s="20"/>
    </row>
    <row r="118" spans="1:27">
      <c r="A118" s="20"/>
      <c r="B118" s="20"/>
      <c r="C118" s="20"/>
      <c r="D118" s="20"/>
      <c r="E118" s="20"/>
      <c r="F118" s="20"/>
      <c r="G118" s="20"/>
      <c r="H118" s="20"/>
      <c r="I118" s="20"/>
      <c r="J118" s="20"/>
      <c r="K118" s="20"/>
      <c r="L118" s="20"/>
      <c r="M118" s="20"/>
      <c r="N118" s="20"/>
      <c r="O118" s="20"/>
      <c r="P118" s="20"/>
      <c r="Q118" s="20"/>
      <c r="R118" s="20"/>
      <c r="S118" s="20"/>
      <c r="T118" s="20"/>
      <c r="U118" s="20"/>
      <c r="V118" s="20"/>
      <c r="W118" s="20"/>
      <c r="X118" s="20"/>
      <c r="Y118" s="20"/>
      <c r="Z118" s="20"/>
      <c r="AA118" s="20"/>
    </row>
    <row r="119" spans="1:27">
      <c r="A119" s="20"/>
      <c r="B119" s="20"/>
      <c r="C119" s="20"/>
      <c r="D119" s="20"/>
      <c r="E119" s="20"/>
      <c r="F119" s="20"/>
      <c r="G119" s="20"/>
      <c r="H119" s="20"/>
      <c r="I119" s="20"/>
      <c r="J119" s="20"/>
      <c r="K119" s="20"/>
      <c r="L119" s="20"/>
      <c r="M119" s="20"/>
      <c r="N119" s="20"/>
      <c r="O119" s="20"/>
      <c r="P119" s="20"/>
      <c r="Q119" s="20"/>
      <c r="R119" s="20"/>
      <c r="S119" s="20"/>
      <c r="T119" s="20"/>
      <c r="U119" s="20"/>
      <c r="V119" s="20"/>
      <c r="W119" s="20"/>
      <c r="X119" s="20"/>
      <c r="Y119" s="20"/>
      <c r="Z119" s="20"/>
      <c r="AA119" s="20"/>
    </row>
    <row r="120" spans="1:27">
      <c r="A120" s="20"/>
      <c r="B120" s="20"/>
      <c r="C120" s="20"/>
      <c r="D120" s="20"/>
      <c r="E120" s="20"/>
      <c r="F120" s="20"/>
      <c r="G120" s="20"/>
      <c r="H120" s="20"/>
      <c r="I120" s="20"/>
      <c r="J120" s="20"/>
      <c r="K120" s="20"/>
      <c r="L120" s="20"/>
      <c r="M120" s="20"/>
      <c r="N120" s="20"/>
      <c r="O120" s="20"/>
      <c r="P120" s="20"/>
      <c r="Q120" s="20"/>
      <c r="R120" s="20"/>
      <c r="S120" s="20"/>
      <c r="T120" s="20"/>
      <c r="U120" s="20"/>
      <c r="V120" s="20"/>
      <c r="W120" s="20"/>
      <c r="X120" s="20"/>
      <c r="Y120" s="20"/>
      <c r="Z120" s="20"/>
      <c r="AA120" s="20"/>
    </row>
    <row r="121" spans="1:27">
      <c r="A121" s="20"/>
      <c r="B121" s="20"/>
      <c r="C121" s="20"/>
      <c r="D121" s="20"/>
      <c r="E121" s="20"/>
      <c r="F121" s="20"/>
      <c r="G121" s="20"/>
      <c r="H121" s="20"/>
      <c r="I121" s="20"/>
      <c r="J121" s="20"/>
      <c r="K121" s="20"/>
      <c r="L121" s="20"/>
      <c r="M121" s="20"/>
      <c r="N121" s="20"/>
      <c r="O121" s="20"/>
      <c r="P121" s="20"/>
      <c r="Q121" s="20"/>
      <c r="R121" s="20"/>
      <c r="S121" s="20"/>
      <c r="T121" s="20"/>
      <c r="U121" s="20"/>
      <c r="V121" s="20"/>
      <c r="W121" s="20"/>
      <c r="X121" s="20"/>
      <c r="Y121" s="20"/>
      <c r="Z121" s="20"/>
      <c r="AA121" s="20"/>
    </row>
    <row r="122" spans="1:27">
      <c r="A122" s="20"/>
      <c r="B122" s="20"/>
      <c r="C122" s="20"/>
      <c r="D122" s="20"/>
      <c r="E122" s="20"/>
      <c r="F122" s="20"/>
      <c r="G122" s="20"/>
      <c r="H122" s="20"/>
      <c r="I122" s="20"/>
      <c r="J122" s="20"/>
      <c r="K122" s="20"/>
      <c r="L122" s="20"/>
      <c r="M122" s="20"/>
      <c r="N122" s="20"/>
      <c r="O122" s="20"/>
      <c r="P122" s="20"/>
      <c r="Q122" s="20"/>
      <c r="R122" s="20"/>
      <c r="S122" s="20"/>
      <c r="T122" s="20"/>
      <c r="U122" s="20"/>
      <c r="V122" s="20"/>
      <c r="W122" s="20"/>
      <c r="X122" s="20"/>
      <c r="Y122" s="20"/>
      <c r="Z122" s="20"/>
      <c r="AA122" s="20"/>
    </row>
    <row r="123" spans="1:27">
      <c r="A123" s="20"/>
      <c r="B123" s="20"/>
      <c r="C123" s="20"/>
      <c r="D123" s="20"/>
      <c r="E123" s="20"/>
      <c r="F123" s="20"/>
      <c r="G123" s="20"/>
      <c r="H123" s="20"/>
      <c r="I123" s="20"/>
      <c r="J123" s="20"/>
      <c r="K123" s="20"/>
      <c r="L123" s="20"/>
      <c r="M123" s="20"/>
      <c r="N123" s="20"/>
      <c r="O123" s="20"/>
      <c r="P123" s="20"/>
      <c r="Q123" s="20"/>
      <c r="R123" s="20"/>
      <c r="S123" s="20"/>
      <c r="T123" s="20"/>
      <c r="U123" s="20"/>
      <c r="V123" s="20"/>
      <c r="W123" s="20"/>
      <c r="X123" s="20"/>
      <c r="Y123" s="20"/>
      <c r="Z123" s="20"/>
      <c r="AA123" s="20"/>
    </row>
    <row r="124" spans="1:27">
      <c r="A124" s="20"/>
      <c r="B124" s="20"/>
      <c r="C124" s="20"/>
      <c r="D124" s="20"/>
      <c r="E124" s="20"/>
      <c r="F124" s="20"/>
      <c r="G124" s="20"/>
      <c r="H124" s="20"/>
      <c r="I124" s="20"/>
      <c r="J124" s="20"/>
      <c r="K124" s="20"/>
      <c r="L124" s="20"/>
      <c r="M124" s="20"/>
      <c r="N124" s="20"/>
      <c r="O124" s="20"/>
      <c r="P124" s="20"/>
      <c r="Q124" s="20"/>
      <c r="R124" s="20"/>
      <c r="S124" s="20"/>
      <c r="T124" s="20"/>
      <c r="U124" s="20"/>
      <c r="V124" s="20"/>
      <c r="W124" s="20"/>
      <c r="X124" s="20"/>
      <c r="Y124" s="20"/>
      <c r="Z124" s="20"/>
      <c r="AA124" s="20"/>
    </row>
    <row r="125" spans="1:27">
      <c r="A125" s="20"/>
      <c r="B125" s="20"/>
      <c r="C125" s="20"/>
      <c r="D125" s="20"/>
      <c r="E125" s="20"/>
      <c r="F125" s="20"/>
      <c r="G125" s="20"/>
      <c r="H125" s="20"/>
      <c r="I125" s="20"/>
      <c r="J125" s="20"/>
      <c r="K125" s="20"/>
      <c r="L125" s="20"/>
      <c r="M125" s="20"/>
      <c r="N125" s="20"/>
      <c r="O125" s="20"/>
      <c r="P125" s="20"/>
      <c r="Q125" s="20"/>
      <c r="R125" s="20"/>
      <c r="S125" s="20"/>
      <c r="T125" s="20"/>
      <c r="U125" s="20"/>
      <c r="V125" s="20"/>
      <c r="W125" s="20"/>
      <c r="X125" s="20"/>
      <c r="Y125" s="20"/>
      <c r="Z125" s="20"/>
      <c r="AA125" s="20"/>
    </row>
    <row r="126" spans="1:27">
      <c r="A126" s="20"/>
      <c r="B126" s="20"/>
      <c r="C126" s="20"/>
      <c r="D126" s="20"/>
      <c r="E126" s="20"/>
      <c r="F126" s="20"/>
      <c r="G126" s="20"/>
      <c r="H126" s="20"/>
      <c r="I126" s="20"/>
      <c r="J126" s="20"/>
      <c r="K126" s="20"/>
      <c r="L126" s="20"/>
      <c r="M126" s="20"/>
      <c r="N126" s="20"/>
      <c r="O126" s="20"/>
      <c r="P126" s="20"/>
      <c r="Q126" s="20"/>
      <c r="R126" s="20"/>
      <c r="S126" s="20"/>
      <c r="T126" s="20"/>
      <c r="U126" s="20"/>
      <c r="V126" s="20"/>
      <c r="W126" s="20"/>
      <c r="X126" s="20"/>
      <c r="Y126" s="20"/>
      <c r="Z126" s="20"/>
      <c r="AA126" s="20"/>
    </row>
    <row r="127" spans="1:27">
      <c r="A127" s="20"/>
      <c r="B127" s="20"/>
      <c r="C127" s="20"/>
      <c r="D127" s="20"/>
      <c r="E127" s="20"/>
      <c r="F127" s="20"/>
      <c r="G127" s="20"/>
      <c r="H127" s="20"/>
      <c r="I127" s="20"/>
      <c r="J127" s="20"/>
      <c r="K127" s="20"/>
      <c r="L127" s="20"/>
      <c r="M127" s="20"/>
      <c r="N127" s="20"/>
      <c r="O127" s="20"/>
      <c r="P127" s="20"/>
      <c r="Q127" s="20"/>
      <c r="R127" s="20"/>
      <c r="S127" s="20"/>
      <c r="T127" s="20"/>
      <c r="U127" s="20"/>
      <c r="V127" s="20"/>
      <c r="W127" s="20"/>
      <c r="X127" s="20"/>
      <c r="Y127" s="20"/>
      <c r="Z127" s="20"/>
      <c r="AA127" s="20"/>
    </row>
    <row r="128" spans="1:27">
      <c r="A128" s="20"/>
      <c r="B128" s="20"/>
      <c r="C128" s="20"/>
      <c r="D128" s="20"/>
      <c r="E128" s="20"/>
      <c r="F128" s="20"/>
      <c r="G128" s="20"/>
      <c r="H128" s="20"/>
      <c r="I128" s="20"/>
      <c r="J128" s="20"/>
      <c r="K128" s="20"/>
      <c r="L128" s="20"/>
      <c r="M128" s="20"/>
      <c r="N128" s="20"/>
      <c r="O128" s="20"/>
      <c r="P128" s="20"/>
      <c r="Q128" s="20"/>
      <c r="R128" s="20"/>
      <c r="S128" s="20"/>
      <c r="T128" s="20"/>
      <c r="U128" s="20"/>
      <c r="V128" s="20"/>
      <c r="W128" s="20"/>
      <c r="X128" s="20"/>
      <c r="Y128" s="20"/>
      <c r="Z128" s="20"/>
      <c r="AA128" s="20"/>
    </row>
    <row r="129" spans="1:27">
      <c r="A129" s="20"/>
      <c r="B129" s="20"/>
      <c r="C129" s="20"/>
      <c r="D129" s="20"/>
      <c r="E129" s="20"/>
      <c r="F129" s="20"/>
      <c r="G129" s="20"/>
      <c r="H129" s="20"/>
      <c r="I129" s="20"/>
      <c r="J129" s="20"/>
      <c r="K129" s="20"/>
      <c r="L129" s="20"/>
      <c r="M129" s="20"/>
      <c r="N129" s="20"/>
      <c r="O129" s="20"/>
      <c r="P129" s="20"/>
      <c r="Q129" s="20"/>
      <c r="R129" s="20"/>
      <c r="S129" s="20"/>
      <c r="T129" s="20"/>
      <c r="U129" s="20"/>
      <c r="V129" s="20"/>
      <c r="W129" s="20"/>
      <c r="X129" s="20"/>
      <c r="Y129" s="20"/>
      <c r="Z129" s="20"/>
      <c r="AA129" s="20"/>
    </row>
    <row r="130" spans="1:27">
      <c r="A130" s="20"/>
      <c r="B130" s="20"/>
      <c r="C130" s="20"/>
      <c r="D130" s="20"/>
      <c r="E130" s="20"/>
      <c r="F130" s="20"/>
      <c r="G130" s="20"/>
      <c r="H130" s="20"/>
      <c r="I130" s="20"/>
      <c r="J130" s="20"/>
      <c r="K130" s="20"/>
      <c r="L130" s="20"/>
      <c r="M130" s="20"/>
      <c r="N130" s="20"/>
      <c r="O130" s="20"/>
      <c r="P130" s="20"/>
      <c r="Q130" s="20"/>
      <c r="R130" s="20"/>
      <c r="S130" s="20"/>
      <c r="T130" s="20"/>
      <c r="U130" s="20"/>
      <c r="V130" s="20"/>
      <c r="W130" s="20"/>
      <c r="X130" s="20"/>
      <c r="Y130" s="20"/>
      <c r="Z130" s="20"/>
      <c r="AA130" s="20"/>
    </row>
    <row r="131" spans="1:27">
      <c r="A131" s="20"/>
      <c r="B131" s="20"/>
      <c r="C131" s="20"/>
      <c r="D131" s="20"/>
      <c r="E131" s="20"/>
      <c r="F131" s="20"/>
      <c r="G131" s="20"/>
      <c r="H131" s="20"/>
      <c r="I131" s="20"/>
      <c r="J131" s="20"/>
      <c r="K131" s="20"/>
      <c r="L131" s="20"/>
      <c r="M131" s="20"/>
      <c r="N131" s="20"/>
      <c r="O131" s="20"/>
      <c r="P131" s="20"/>
      <c r="Q131" s="20"/>
      <c r="R131" s="20"/>
      <c r="S131" s="20"/>
      <c r="T131" s="20"/>
      <c r="U131" s="20"/>
      <c r="V131" s="20"/>
      <c r="W131" s="20"/>
      <c r="X131" s="20"/>
      <c r="Y131" s="20"/>
      <c r="Z131" s="20"/>
      <c r="AA131" s="20"/>
    </row>
    <row r="132" spans="1:27">
      <c r="A132" s="20"/>
      <c r="B132" s="20"/>
      <c r="C132" s="20"/>
      <c r="D132" s="20"/>
      <c r="E132" s="20"/>
      <c r="F132" s="20"/>
      <c r="G132" s="20"/>
      <c r="H132" s="20"/>
      <c r="I132" s="20"/>
      <c r="J132" s="20"/>
      <c r="K132" s="20"/>
      <c r="L132" s="20"/>
      <c r="M132" s="20"/>
      <c r="N132" s="20"/>
      <c r="O132" s="20"/>
      <c r="P132" s="20"/>
      <c r="Q132" s="20"/>
      <c r="R132" s="20"/>
      <c r="S132" s="20"/>
      <c r="T132" s="20"/>
      <c r="U132" s="20"/>
      <c r="V132" s="20"/>
      <c r="W132" s="20"/>
      <c r="X132" s="20"/>
      <c r="Y132" s="20"/>
      <c r="Z132" s="20"/>
      <c r="AA132" s="20"/>
    </row>
    <row r="133" spans="1:27">
      <c r="A133" s="20"/>
      <c r="B133" s="20"/>
      <c r="C133" s="20"/>
      <c r="D133" s="20"/>
      <c r="E133" s="20"/>
      <c r="F133" s="20"/>
      <c r="G133" s="20"/>
      <c r="H133" s="20"/>
      <c r="I133" s="20"/>
      <c r="J133" s="20"/>
      <c r="K133" s="20"/>
      <c r="L133" s="20"/>
      <c r="M133" s="20"/>
      <c r="N133" s="20"/>
      <c r="O133" s="20"/>
      <c r="P133" s="20"/>
      <c r="Q133" s="20"/>
      <c r="R133" s="20"/>
      <c r="S133" s="20"/>
      <c r="T133" s="20"/>
      <c r="U133" s="20"/>
      <c r="V133" s="20"/>
      <c r="W133" s="20"/>
      <c r="X133" s="20"/>
      <c r="Y133" s="20"/>
      <c r="Z133" s="20"/>
      <c r="AA133" s="20"/>
    </row>
    <row r="134" spans="1:27">
      <c r="A134" s="20"/>
      <c r="B134" s="20"/>
      <c r="C134" s="20"/>
      <c r="D134" s="20"/>
      <c r="E134" s="20"/>
      <c r="F134" s="20"/>
      <c r="G134" s="20"/>
      <c r="H134" s="20"/>
      <c r="I134" s="20"/>
      <c r="J134" s="20"/>
      <c r="K134" s="20"/>
      <c r="L134" s="20"/>
      <c r="M134" s="20"/>
      <c r="N134" s="20"/>
      <c r="O134" s="20"/>
      <c r="P134" s="20"/>
      <c r="Q134" s="20"/>
      <c r="R134" s="20"/>
      <c r="S134" s="20"/>
      <c r="T134" s="20"/>
      <c r="U134" s="20"/>
      <c r="V134" s="20"/>
      <c r="W134" s="20"/>
      <c r="X134" s="20"/>
      <c r="Y134" s="20"/>
      <c r="Z134" s="20"/>
      <c r="AA134" s="20"/>
    </row>
    <row r="135" spans="1:27">
      <c r="A135" s="20"/>
      <c r="B135" s="20"/>
      <c r="C135" s="20"/>
      <c r="D135" s="20"/>
      <c r="E135" s="20"/>
      <c r="F135" s="20"/>
      <c r="G135" s="20"/>
      <c r="H135" s="20"/>
      <c r="I135" s="20"/>
      <c r="J135" s="20"/>
      <c r="K135" s="20"/>
      <c r="L135" s="20"/>
      <c r="M135" s="20"/>
      <c r="N135" s="20"/>
      <c r="O135" s="20"/>
      <c r="P135" s="20"/>
      <c r="Q135" s="20"/>
      <c r="R135" s="20"/>
      <c r="S135" s="20"/>
      <c r="T135" s="20"/>
      <c r="U135" s="20"/>
      <c r="V135" s="20"/>
      <c r="W135" s="20"/>
      <c r="X135" s="20"/>
      <c r="Y135" s="20"/>
      <c r="Z135" s="20"/>
      <c r="AA135" s="20"/>
    </row>
    <row r="136" spans="1:27">
      <c r="A136" s="20"/>
      <c r="B136" s="20"/>
      <c r="C136" s="20"/>
      <c r="D136" s="20"/>
      <c r="E136" s="20"/>
      <c r="F136" s="20"/>
      <c r="G136" s="20"/>
      <c r="H136" s="20"/>
      <c r="I136" s="20"/>
      <c r="J136" s="20"/>
      <c r="K136" s="20"/>
      <c r="L136" s="20"/>
      <c r="M136" s="20"/>
      <c r="N136" s="20"/>
      <c r="O136" s="20"/>
      <c r="P136" s="20"/>
      <c r="Q136" s="20"/>
      <c r="R136" s="20"/>
      <c r="S136" s="20"/>
      <c r="T136" s="20"/>
      <c r="U136" s="20"/>
      <c r="V136" s="20"/>
      <c r="W136" s="20"/>
      <c r="X136" s="20"/>
      <c r="Y136" s="20"/>
      <c r="Z136" s="20"/>
      <c r="AA136" s="20"/>
    </row>
    <row r="137" spans="1:27">
      <c r="A137" s="20"/>
      <c r="B137" s="20"/>
      <c r="C137" s="20"/>
      <c r="D137" s="20"/>
      <c r="E137" s="20"/>
      <c r="F137" s="20"/>
      <c r="G137" s="20"/>
      <c r="H137" s="20"/>
      <c r="I137" s="20"/>
      <c r="J137" s="20"/>
      <c r="K137" s="20"/>
      <c r="L137" s="20"/>
      <c r="M137" s="20"/>
      <c r="N137" s="20"/>
      <c r="O137" s="20"/>
      <c r="P137" s="20"/>
      <c r="Q137" s="20"/>
      <c r="R137" s="20"/>
      <c r="S137" s="20"/>
      <c r="T137" s="20"/>
      <c r="U137" s="20"/>
      <c r="V137" s="20"/>
      <c r="W137" s="20"/>
      <c r="X137" s="20"/>
      <c r="Y137" s="20"/>
      <c r="Z137" s="20"/>
      <c r="AA137" s="20"/>
    </row>
    <row r="138" spans="1:27">
      <c r="A138" s="20"/>
      <c r="B138" s="20"/>
      <c r="C138" s="20"/>
      <c r="D138" s="20"/>
      <c r="E138" s="20"/>
      <c r="F138" s="20"/>
      <c r="G138" s="20"/>
      <c r="H138" s="20"/>
      <c r="I138" s="20"/>
      <c r="J138" s="20"/>
      <c r="K138" s="20"/>
      <c r="L138" s="20"/>
      <c r="M138" s="20"/>
      <c r="N138" s="20"/>
      <c r="O138" s="20"/>
      <c r="P138" s="20"/>
      <c r="Q138" s="20"/>
      <c r="R138" s="20"/>
      <c r="S138" s="20"/>
      <c r="T138" s="20"/>
      <c r="U138" s="20"/>
      <c r="V138" s="20"/>
      <c r="W138" s="20"/>
      <c r="X138" s="20"/>
      <c r="Y138" s="20"/>
      <c r="Z138" s="20"/>
      <c r="AA138" s="20"/>
    </row>
    <row r="139" spans="1:27">
      <c r="A139" s="20"/>
      <c r="B139" s="20"/>
      <c r="C139" s="20"/>
      <c r="D139" s="20"/>
      <c r="E139" s="20"/>
      <c r="F139" s="20"/>
      <c r="G139" s="20"/>
      <c r="H139" s="20"/>
      <c r="I139" s="20"/>
      <c r="J139" s="20"/>
      <c r="K139" s="20"/>
      <c r="L139" s="20"/>
      <c r="M139" s="20"/>
      <c r="N139" s="20"/>
      <c r="O139" s="20"/>
      <c r="P139" s="20"/>
      <c r="Q139" s="20"/>
      <c r="R139" s="20"/>
      <c r="S139" s="20"/>
      <c r="T139" s="20"/>
      <c r="U139" s="20"/>
      <c r="V139" s="20"/>
      <c r="W139" s="20"/>
      <c r="X139" s="20"/>
      <c r="Y139" s="20"/>
      <c r="Z139" s="20"/>
      <c r="AA139" s="20"/>
    </row>
    <row r="140" spans="1:27">
      <c r="A140" s="20"/>
      <c r="B140" s="20"/>
      <c r="C140" s="20"/>
      <c r="D140" s="20"/>
      <c r="E140" s="20"/>
      <c r="F140" s="20"/>
      <c r="G140" s="20"/>
      <c r="H140" s="20"/>
      <c r="I140" s="20"/>
      <c r="J140" s="20"/>
      <c r="K140" s="20"/>
      <c r="L140" s="20"/>
      <c r="M140" s="20"/>
      <c r="N140" s="20"/>
      <c r="O140" s="20"/>
      <c r="P140" s="20"/>
      <c r="Q140" s="20"/>
      <c r="R140" s="20"/>
      <c r="S140" s="20"/>
      <c r="T140" s="20"/>
      <c r="U140" s="20"/>
      <c r="V140" s="20"/>
      <c r="W140" s="20"/>
      <c r="X140" s="20"/>
      <c r="Y140" s="20"/>
      <c r="Z140" s="20"/>
      <c r="AA140" s="20"/>
    </row>
    <row r="141" spans="1:27">
      <c r="A141" s="20"/>
      <c r="B141" s="20"/>
      <c r="C141" s="20"/>
      <c r="D141" s="20"/>
      <c r="E141" s="20"/>
      <c r="F141" s="20"/>
      <c r="G141" s="20"/>
      <c r="H141" s="20"/>
      <c r="I141" s="20"/>
      <c r="J141" s="20"/>
      <c r="K141" s="20"/>
      <c r="L141" s="20"/>
      <c r="M141" s="20"/>
      <c r="N141" s="20"/>
      <c r="O141" s="20"/>
      <c r="P141" s="20"/>
      <c r="Q141" s="20"/>
      <c r="R141" s="20"/>
      <c r="S141" s="20"/>
      <c r="T141" s="20"/>
      <c r="U141" s="20"/>
      <c r="V141" s="20"/>
      <c r="W141" s="20"/>
      <c r="X141" s="20"/>
      <c r="Y141" s="20"/>
      <c r="Z141" s="20"/>
      <c r="AA141" s="20"/>
    </row>
    <row r="142" spans="1:27">
      <c r="A142" s="20"/>
      <c r="B142" s="20"/>
      <c r="C142" s="20"/>
      <c r="D142" s="20"/>
      <c r="E142" s="20"/>
      <c r="F142" s="20"/>
      <c r="G142" s="20"/>
      <c r="H142" s="20"/>
      <c r="I142" s="20"/>
      <c r="J142" s="20"/>
      <c r="K142" s="20"/>
      <c r="L142" s="20"/>
      <c r="M142" s="20"/>
      <c r="N142" s="20"/>
      <c r="O142" s="20"/>
      <c r="P142" s="20"/>
      <c r="Q142" s="20"/>
      <c r="R142" s="20"/>
      <c r="S142" s="20"/>
      <c r="T142" s="20"/>
      <c r="U142" s="20"/>
      <c r="V142" s="20"/>
      <c r="W142" s="20"/>
      <c r="X142" s="20"/>
      <c r="Y142" s="20"/>
      <c r="Z142" s="20"/>
      <c r="AA142" s="20"/>
    </row>
    <row r="143" spans="1:27">
      <c r="A143" s="20"/>
      <c r="B143" s="20"/>
      <c r="C143" s="20"/>
      <c r="D143" s="20"/>
      <c r="E143" s="20"/>
      <c r="F143" s="20"/>
      <c r="G143" s="20"/>
      <c r="H143" s="20"/>
      <c r="I143" s="20"/>
      <c r="J143" s="20"/>
      <c r="K143" s="20"/>
      <c r="L143" s="20"/>
      <c r="M143" s="20"/>
      <c r="N143" s="20"/>
      <c r="O143" s="20"/>
      <c r="P143" s="20"/>
      <c r="Q143" s="20"/>
      <c r="R143" s="20"/>
      <c r="S143" s="20"/>
      <c r="T143" s="20"/>
      <c r="U143" s="20"/>
      <c r="V143" s="20"/>
      <c r="W143" s="20"/>
      <c r="X143" s="20"/>
      <c r="Y143" s="20"/>
      <c r="Z143" s="20"/>
      <c r="AA143" s="20"/>
    </row>
    <row r="144" spans="1:27">
      <c r="A144" s="20"/>
      <c r="B144" s="20"/>
      <c r="C144" s="20"/>
      <c r="D144" s="20"/>
      <c r="E144" s="20"/>
      <c r="F144" s="20"/>
      <c r="G144" s="20"/>
      <c r="H144" s="20"/>
      <c r="I144" s="20"/>
      <c r="J144" s="20"/>
      <c r="K144" s="20"/>
      <c r="L144" s="20"/>
      <c r="M144" s="20"/>
      <c r="N144" s="20"/>
      <c r="O144" s="20"/>
      <c r="P144" s="20"/>
      <c r="Q144" s="20"/>
      <c r="R144" s="20"/>
      <c r="S144" s="20"/>
      <c r="T144" s="20"/>
      <c r="U144" s="20"/>
      <c r="V144" s="20"/>
      <c r="W144" s="20"/>
      <c r="X144" s="20"/>
      <c r="Y144" s="20"/>
      <c r="Z144" s="20"/>
      <c r="AA144" s="20"/>
    </row>
    <row r="145" spans="1:27">
      <c r="A145" s="20"/>
      <c r="B145" s="20"/>
      <c r="C145" s="20"/>
      <c r="D145" s="20"/>
      <c r="E145" s="20"/>
      <c r="F145" s="20"/>
      <c r="G145" s="20"/>
      <c r="H145" s="20"/>
      <c r="I145" s="20"/>
      <c r="J145" s="20"/>
      <c r="K145" s="20"/>
      <c r="L145" s="20"/>
      <c r="M145" s="20"/>
      <c r="N145" s="20"/>
      <c r="O145" s="20"/>
      <c r="P145" s="20"/>
      <c r="Q145" s="20"/>
      <c r="R145" s="20"/>
      <c r="S145" s="20"/>
      <c r="T145" s="20"/>
      <c r="U145" s="20"/>
      <c r="V145" s="20"/>
      <c r="W145" s="20"/>
      <c r="X145" s="20"/>
      <c r="Y145" s="20"/>
      <c r="Z145" s="20"/>
      <c r="AA145" s="20"/>
    </row>
    <row r="146" spans="1:27">
      <c r="A146" s="20"/>
      <c r="B146" s="20"/>
      <c r="C146" s="20"/>
      <c r="D146" s="20"/>
      <c r="E146" s="20"/>
      <c r="F146" s="20"/>
      <c r="G146" s="20"/>
      <c r="H146" s="20"/>
      <c r="I146" s="20"/>
      <c r="J146" s="20"/>
      <c r="K146" s="20"/>
      <c r="L146" s="20"/>
      <c r="M146" s="20"/>
      <c r="N146" s="20"/>
      <c r="O146" s="20"/>
      <c r="P146" s="20"/>
      <c r="Q146" s="20"/>
      <c r="R146" s="20"/>
      <c r="S146" s="20"/>
      <c r="T146" s="20"/>
      <c r="U146" s="20"/>
      <c r="V146" s="20"/>
      <c r="W146" s="20"/>
      <c r="X146" s="20"/>
      <c r="Y146" s="20"/>
      <c r="Z146" s="20"/>
      <c r="AA146" s="20"/>
    </row>
    <row r="147" spans="1:27">
      <c r="A147" s="20"/>
      <c r="B147" s="20"/>
      <c r="C147" s="20"/>
      <c r="D147" s="20"/>
      <c r="E147" s="20"/>
      <c r="F147" s="20"/>
      <c r="G147" s="20"/>
      <c r="H147" s="20"/>
      <c r="I147" s="20"/>
      <c r="J147" s="20"/>
      <c r="K147" s="20"/>
      <c r="L147" s="20"/>
      <c r="M147" s="20"/>
      <c r="N147" s="20"/>
      <c r="O147" s="20"/>
      <c r="P147" s="20"/>
      <c r="Q147" s="20"/>
      <c r="R147" s="20"/>
      <c r="S147" s="20"/>
      <c r="T147" s="20"/>
      <c r="U147" s="20"/>
      <c r="V147" s="20"/>
      <c r="W147" s="20"/>
      <c r="X147" s="20"/>
      <c r="Y147" s="20"/>
      <c r="Z147" s="20"/>
      <c r="AA147" s="20"/>
    </row>
    <row r="148" spans="1:27">
      <c r="A148" s="20"/>
      <c r="B148" s="20"/>
      <c r="C148" s="20"/>
      <c r="D148" s="20"/>
      <c r="E148" s="20"/>
      <c r="F148" s="20"/>
      <c r="G148" s="20"/>
      <c r="H148" s="20"/>
      <c r="I148" s="20"/>
      <c r="J148" s="20"/>
      <c r="K148" s="20"/>
      <c r="L148" s="20"/>
      <c r="M148" s="20"/>
      <c r="N148" s="20"/>
      <c r="O148" s="20"/>
      <c r="P148" s="20"/>
      <c r="Q148" s="20"/>
      <c r="R148" s="20"/>
      <c r="S148" s="20"/>
      <c r="T148" s="20"/>
      <c r="U148" s="20"/>
      <c r="V148" s="20"/>
      <c r="W148" s="20"/>
      <c r="X148" s="20"/>
      <c r="Y148" s="20"/>
      <c r="Z148" s="20"/>
      <c r="AA148" s="20"/>
    </row>
    <row r="149" spans="1:27">
      <c r="A149" s="20"/>
      <c r="B149" s="20"/>
      <c r="C149" s="20"/>
      <c r="D149" s="20"/>
      <c r="E149" s="20"/>
      <c r="F149" s="20"/>
      <c r="G149" s="20"/>
      <c r="H149" s="20"/>
      <c r="I149" s="20"/>
      <c r="J149" s="20"/>
      <c r="K149" s="20"/>
      <c r="L149" s="20"/>
      <c r="M149" s="20"/>
      <c r="N149" s="20"/>
      <c r="O149" s="20"/>
      <c r="P149" s="20"/>
      <c r="Q149" s="20"/>
      <c r="R149" s="20"/>
      <c r="S149" s="20"/>
      <c r="T149" s="20"/>
      <c r="U149" s="20"/>
      <c r="V149" s="20"/>
      <c r="W149" s="20"/>
      <c r="X149" s="20"/>
      <c r="Y149" s="20"/>
      <c r="Z149" s="20"/>
      <c r="AA149" s="20"/>
    </row>
    <row r="150" spans="1:27">
      <c r="A150" s="20"/>
      <c r="B150" s="20"/>
      <c r="C150" s="20"/>
      <c r="D150" s="20"/>
      <c r="E150" s="20"/>
      <c r="F150" s="20"/>
      <c r="G150" s="20"/>
      <c r="H150" s="20"/>
      <c r="I150" s="20"/>
      <c r="J150" s="20"/>
      <c r="K150" s="20"/>
      <c r="L150" s="20"/>
      <c r="M150" s="20"/>
      <c r="N150" s="20"/>
      <c r="O150" s="20"/>
      <c r="P150" s="20"/>
      <c r="Q150" s="20"/>
      <c r="R150" s="20"/>
      <c r="S150" s="20"/>
      <c r="T150" s="20"/>
      <c r="U150" s="20"/>
      <c r="V150" s="20"/>
      <c r="W150" s="20"/>
      <c r="X150" s="20"/>
      <c r="Y150" s="20"/>
      <c r="Z150" s="20"/>
      <c r="AA150" s="20"/>
    </row>
    <row r="151" spans="1:27">
      <c r="A151" s="20"/>
      <c r="B151" s="20"/>
      <c r="C151" s="20"/>
      <c r="D151" s="20"/>
      <c r="E151" s="20"/>
      <c r="F151" s="20"/>
      <c r="G151" s="20"/>
      <c r="H151" s="20"/>
      <c r="I151" s="20"/>
      <c r="J151" s="20"/>
      <c r="K151" s="20"/>
      <c r="L151" s="20"/>
      <c r="M151" s="20"/>
      <c r="N151" s="20"/>
      <c r="O151" s="20"/>
      <c r="P151" s="20"/>
      <c r="Q151" s="20"/>
      <c r="R151" s="20"/>
      <c r="S151" s="20"/>
      <c r="T151" s="20"/>
      <c r="U151" s="20"/>
      <c r="V151" s="20"/>
      <c r="W151" s="20"/>
      <c r="X151" s="20"/>
      <c r="Y151" s="20"/>
      <c r="Z151" s="20"/>
      <c r="AA151" s="20"/>
    </row>
    <row r="152" spans="1:27">
      <c r="A152" s="20"/>
      <c r="B152" s="20"/>
      <c r="C152" s="20"/>
      <c r="D152" s="20"/>
      <c r="E152" s="20"/>
      <c r="F152" s="20"/>
      <c r="G152" s="20"/>
      <c r="H152" s="20"/>
      <c r="I152" s="20"/>
      <c r="J152" s="20"/>
      <c r="K152" s="20"/>
      <c r="L152" s="20"/>
      <c r="M152" s="20"/>
      <c r="N152" s="20"/>
      <c r="O152" s="20"/>
      <c r="P152" s="20"/>
      <c r="Q152" s="20"/>
      <c r="R152" s="20"/>
      <c r="S152" s="20"/>
      <c r="T152" s="20"/>
      <c r="U152" s="20"/>
      <c r="V152" s="20"/>
      <c r="W152" s="20"/>
      <c r="X152" s="20"/>
      <c r="Y152" s="20"/>
      <c r="Z152" s="20"/>
      <c r="AA152" s="20"/>
    </row>
    <row r="153" spans="1:27">
      <c r="A153" s="20"/>
      <c r="B153" s="20"/>
      <c r="C153" s="20"/>
      <c r="D153" s="20"/>
      <c r="E153" s="20"/>
      <c r="F153" s="20"/>
      <c r="G153" s="20"/>
      <c r="H153" s="20"/>
      <c r="I153" s="20"/>
      <c r="J153" s="20"/>
      <c r="K153" s="20"/>
      <c r="L153" s="20"/>
      <c r="M153" s="20"/>
      <c r="N153" s="20"/>
      <c r="O153" s="20"/>
      <c r="P153" s="20"/>
      <c r="Q153" s="20"/>
      <c r="R153" s="20"/>
      <c r="S153" s="20"/>
      <c r="T153" s="20"/>
      <c r="U153" s="20"/>
      <c r="V153" s="20"/>
      <c r="W153" s="20"/>
      <c r="X153" s="20"/>
      <c r="Y153" s="20"/>
      <c r="Z153" s="20"/>
      <c r="AA153" s="20"/>
    </row>
    <row r="154" spans="1:27">
      <c r="A154" s="20"/>
      <c r="B154" s="20"/>
      <c r="C154" s="20"/>
      <c r="D154" s="20"/>
      <c r="E154" s="20"/>
      <c r="F154" s="20"/>
      <c r="G154" s="20"/>
      <c r="H154" s="20"/>
      <c r="I154" s="20"/>
      <c r="J154" s="20"/>
      <c r="K154" s="20"/>
      <c r="L154" s="20"/>
      <c r="M154" s="20"/>
      <c r="N154" s="20"/>
      <c r="O154" s="20"/>
      <c r="P154" s="20"/>
      <c r="Q154" s="20"/>
      <c r="R154" s="20"/>
      <c r="S154" s="20"/>
      <c r="T154" s="20"/>
      <c r="U154" s="20"/>
      <c r="V154" s="20"/>
      <c r="W154" s="20"/>
      <c r="X154" s="20"/>
      <c r="Y154" s="20"/>
      <c r="Z154" s="20"/>
      <c r="AA154" s="20"/>
    </row>
    <row r="155" spans="1:27">
      <c r="A155" s="20"/>
      <c r="B155" s="20"/>
      <c r="C155" s="20"/>
      <c r="D155" s="20"/>
      <c r="E155" s="20"/>
      <c r="F155" s="20"/>
      <c r="G155" s="20"/>
      <c r="H155" s="20"/>
      <c r="I155" s="20"/>
      <c r="J155" s="20"/>
      <c r="K155" s="20"/>
      <c r="L155" s="20"/>
      <c r="M155" s="20"/>
      <c r="N155" s="20"/>
      <c r="O155" s="20"/>
      <c r="P155" s="20"/>
      <c r="Q155" s="20"/>
      <c r="R155" s="20"/>
      <c r="S155" s="20"/>
      <c r="T155" s="20"/>
      <c r="U155" s="20"/>
      <c r="V155" s="20"/>
      <c r="W155" s="20"/>
      <c r="X155" s="20"/>
      <c r="Y155" s="20"/>
      <c r="Z155" s="20"/>
      <c r="AA155" s="20"/>
    </row>
    <row r="156" spans="1:27">
      <c r="A156" s="20"/>
      <c r="B156" s="20"/>
      <c r="C156" s="20"/>
      <c r="D156" s="20"/>
      <c r="E156" s="20"/>
      <c r="F156" s="20"/>
      <c r="G156" s="20"/>
      <c r="H156" s="20"/>
      <c r="I156" s="20"/>
      <c r="J156" s="20"/>
      <c r="K156" s="20"/>
      <c r="L156" s="20"/>
      <c r="M156" s="20"/>
      <c r="N156" s="20"/>
      <c r="O156" s="20"/>
      <c r="P156" s="20"/>
      <c r="Q156" s="20"/>
      <c r="R156" s="20"/>
      <c r="S156" s="20"/>
      <c r="T156" s="20"/>
      <c r="U156" s="20"/>
      <c r="V156" s="20"/>
      <c r="W156" s="20"/>
      <c r="X156" s="20"/>
      <c r="Y156" s="20"/>
      <c r="Z156" s="20"/>
      <c r="AA156" s="20"/>
    </row>
    <row r="157" spans="1:27">
      <c r="A157" s="20"/>
      <c r="B157" s="20"/>
      <c r="C157" s="20"/>
      <c r="D157" s="20"/>
      <c r="E157" s="20"/>
      <c r="F157" s="20"/>
      <c r="G157" s="20"/>
      <c r="H157" s="20"/>
      <c r="I157" s="20"/>
      <c r="J157" s="20"/>
      <c r="K157" s="20"/>
      <c r="L157" s="20"/>
      <c r="M157" s="20"/>
      <c r="N157" s="20"/>
      <c r="O157" s="20"/>
      <c r="P157" s="20"/>
      <c r="Q157" s="20"/>
      <c r="R157" s="20"/>
      <c r="S157" s="20"/>
      <c r="T157" s="20"/>
      <c r="U157" s="20"/>
      <c r="V157" s="20"/>
      <c r="W157" s="20"/>
      <c r="X157" s="20"/>
      <c r="Y157" s="20"/>
      <c r="Z157" s="20"/>
      <c r="AA157" s="20"/>
    </row>
    <row r="158" spans="1:27">
      <c r="A158" s="20"/>
      <c r="B158" s="20"/>
      <c r="C158" s="20"/>
      <c r="D158" s="20"/>
      <c r="E158" s="20"/>
      <c r="F158" s="20"/>
      <c r="G158" s="20"/>
      <c r="H158" s="20"/>
      <c r="I158" s="20"/>
      <c r="J158" s="20"/>
      <c r="K158" s="20"/>
      <c r="L158" s="20"/>
      <c r="M158" s="20"/>
      <c r="N158" s="20"/>
      <c r="O158" s="20"/>
      <c r="P158" s="20"/>
      <c r="Q158" s="20"/>
      <c r="R158" s="20"/>
      <c r="S158" s="20"/>
      <c r="T158" s="20"/>
      <c r="U158" s="20"/>
      <c r="V158" s="20"/>
      <c r="W158" s="20"/>
      <c r="X158" s="20"/>
      <c r="Y158" s="20"/>
      <c r="Z158" s="20"/>
      <c r="AA158" s="20"/>
    </row>
    <row r="159" spans="1:27">
      <c r="A159" s="20"/>
      <c r="B159" s="20"/>
      <c r="C159" s="20"/>
      <c r="D159" s="20"/>
      <c r="E159" s="20"/>
      <c r="F159" s="20"/>
      <c r="G159" s="20"/>
      <c r="H159" s="20"/>
      <c r="I159" s="20"/>
      <c r="J159" s="20"/>
      <c r="K159" s="20"/>
      <c r="L159" s="20"/>
      <c r="M159" s="20"/>
      <c r="N159" s="20"/>
      <c r="O159" s="20"/>
      <c r="P159" s="20"/>
      <c r="Q159" s="20"/>
      <c r="R159" s="20"/>
      <c r="S159" s="20"/>
      <c r="T159" s="20"/>
      <c r="U159" s="20"/>
      <c r="V159" s="20"/>
      <c r="W159" s="20"/>
      <c r="X159" s="20"/>
      <c r="Y159" s="20"/>
      <c r="Z159" s="20"/>
      <c r="AA159" s="20"/>
    </row>
    <row r="160" spans="1:27">
      <c r="A160" s="20"/>
      <c r="B160" s="20"/>
      <c r="C160" s="20"/>
      <c r="D160" s="20"/>
      <c r="E160" s="20"/>
      <c r="F160" s="20"/>
      <c r="G160" s="20"/>
      <c r="H160" s="20"/>
      <c r="I160" s="20"/>
      <c r="J160" s="20"/>
      <c r="K160" s="20"/>
      <c r="L160" s="20"/>
      <c r="M160" s="20"/>
      <c r="N160" s="20"/>
      <c r="O160" s="20"/>
      <c r="P160" s="20"/>
      <c r="Q160" s="20"/>
      <c r="R160" s="20"/>
      <c r="S160" s="20"/>
      <c r="T160" s="20"/>
      <c r="U160" s="20"/>
      <c r="V160" s="20"/>
      <c r="W160" s="20"/>
      <c r="X160" s="20"/>
      <c r="Y160" s="20"/>
      <c r="Z160" s="20"/>
      <c r="AA160" s="20"/>
    </row>
    <row r="161" spans="1:27">
      <c r="A161" s="20"/>
      <c r="B161" s="20"/>
      <c r="C161" s="20"/>
      <c r="D161" s="20"/>
      <c r="E161" s="20"/>
      <c r="F161" s="20"/>
      <c r="G161" s="20"/>
      <c r="H161" s="20"/>
      <c r="I161" s="20"/>
      <c r="J161" s="20"/>
      <c r="K161" s="20"/>
      <c r="L161" s="20"/>
      <c r="M161" s="20"/>
      <c r="N161" s="20"/>
      <c r="O161" s="20"/>
      <c r="P161" s="20"/>
      <c r="Q161" s="20"/>
      <c r="R161" s="20"/>
      <c r="S161" s="20"/>
      <c r="T161" s="20"/>
      <c r="U161" s="20"/>
      <c r="V161" s="20"/>
      <c r="W161" s="20"/>
      <c r="X161" s="20"/>
      <c r="Y161" s="20"/>
      <c r="Z161" s="20"/>
      <c r="AA161" s="20"/>
    </row>
    <row r="162" spans="1:27">
      <c r="A162" s="20"/>
      <c r="B162" s="20"/>
      <c r="C162" s="20"/>
      <c r="D162" s="20"/>
      <c r="E162" s="20"/>
      <c r="F162" s="20"/>
      <c r="G162" s="20"/>
      <c r="H162" s="20"/>
      <c r="I162" s="20"/>
      <c r="J162" s="20"/>
      <c r="K162" s="20"/>
      <c r="L162" s="20"/>
      <c r="M162" s="20"/>
      <c r="N162" s="20"/>
      <c r="O162" s="20"/>
      <c r="P162" s="20"/>
      <c r="Q162" s="20"/>
      <c r="R162" s="20"/>
      <c r="S162" s="20"/>
      <c r="T162" s="20"/>
      <c r="U162" s="20"/>
      <c r="V162" s="20"/>
      <c r="W162" s="20"/>
      <c r="X162" s="20"/>
      <c r="Y162" s="20"/>
      <c r="Z162" s="20"/>
      <c r="AA162" s="20"/>
    </row>
    <row r="163" spans="1:27">
      <c r="A163" s="20"/>
      <c r="B163" s="20"/>
      <c r="C163" s="20"/>
      <c r="D163" s="20"/>
      <c r="E163" s="20"/>
      <c r="F163" s="20"/>
      <c r="G163" s="20"/>
      <c r="H163" s="20"/>
      <c r="I163" s="20"/>
      <c r="J163" s="20"/>
      <c r="K163" s="20"/>
      <c r="L163" s="20"/>
      <c r="M163" s="20"/>
      <c r="N163" s="20"/>
      <c r="O163" s="20"/>
      <c r="P163" s="20"/>
      <c r="Q163" s="20"/>
      <c r="R163" s="20"/>
      <c r="S163" s="20"/>
      <c r="T163" s="20"/>
      <c r="U163" s="20"/>
      <c r="V163" s="20"/>
      <c r="W163" s="20"/>
      <c r="X163" s="20"/>
      <c r="Y163" s="20"/>
      <c r="Z163" s="20"/>
      <c r="AA163" s="20"/>
    </row>
    <row r="164" spans="1:27">
      <c r="A164" s="20"/>
      <c r="B164" s="20"/>
      <c r="C164" s="20"/>
      <c r="D164" s="20"/>
      <c r="E164" s="20"/>
      <c r="F164" s="20"/>
      <c r="G164" s="20"/>
      <c r="H164" s="20"/>
      <c r="I164" s="20"/>
      <c r="J164" s="20"/>
      <c r="K164" s="20"/>
      <c r="L164" s="20"/>
      <c r="M164" s="20"/>
      <c r="N164" s="20"/>
      <c r="O164" s="20"/>
      <c r="P164" s="20"/>
      <c r="Q164" s="20"/>
      <c r="R164" s="20"/>
      <c r="S164" s="20"/>
      <c r="T164" s="20"/>
      <c r="U164" s="20"/>
      <c r="V164" s="20"/>
      <c r="W164" s="20"/>
      <c r="X164" s="20"/>
      <c r="Y164" s="20"/>
      <c r="Z164" s="20"/>
      <c r="AA164" s="20"/>
    </row>
    <row r="165" spans="1:27">
      <c r="A165" s="20"/>
      <c r="B165" s="20"/>
      <c r="C165" s="20"/>
      <c r="D165" s="20"/>
      <c r="E165" s="20"/>
      <c r="F165" s="20"/>
      <c r="G165" s="20"/>
      <c r="H165" s="20"/>
      <c r="I165" s="20"/>
      <c r="J165" s="20"/>
      <c r="K165" s="20"/>
      <c r="L165" s="20"/>
      <c r="M165" s="20"/>
      <c r="N165" s="20"/>
      <c r="O165" s="20"/>
      <c r="P165" s="20"/>
      <c r="Q165" s="20"/>
      <c r="R165" s="20"/>
      <c r="S165" s="20"/>
      <c r="T165" s="20"/>
      <c r="U165" s="20"/>
      <c r="V165" s="20"/>
      <c r="W165" s="20"/>
      <c r="X165" s="20"/>
      <c r="Y165" s="20"/>
      <c r="Z165" s="20"/>
      <c r="AA165" s="20"/>
    </row>
    <row r="166" spans="1:27">
      <c r="A166" s="20"/>
      <c r="B166" s="20"/>
      <c r="C166" s="20"/>
      <c r="D166" s="20"/>
      <c r="E166" s="20"/>
      <c r="F166" s="20"/>
      <c r="G166" s="20"/>
      <c r="H166" s="20"/>
      <c r="I166" s="20"/>
      <c r="J166" s="20"/>
      <c r="K166" s="20"/>
      <c r="L166" s="20"/>
      <c r="M166" s="20"/>
      <c r="N166" s="20"/>
      <c r="O166" s="20"/>
      <c r="P166" s="20"/>
      <c r="Q166" s="20"/>
      <c r="R166" s="20"/>
      <c r="S166" s="20"/>
      <c r="T166" s="20"/>
      <c r="U166" s="20"/>
      <c r="V166" s="20"/>
      <c r="W166" s="20"/>
      <c r="X166" s="20"/>
      <c r="Y166" s="20"/>
      <c r="Z166" s="20"/>
      <c r="AA166" s="20"/>
    </row>
    <row r="167" spans="1:27">
      <c r="A167" s="20"/>
      <c r="B167" s="20"/>
      <c r="C167" s="20"/>
      <c r="D167" s="20"/>
      <c r="E167" s="20"/>
      <c r="F167" s="20"/>
      <c r="G167" s="20"/>
      <c r="H167" s="20"/>
      <c r="I167" s="20"/>
      <c r="J167" s="20"/>
      <c r="K167" s="20"/>
      <c r="L167" s="20"/>
      <c r="M167" s="20"/>
      <c r="N167" s="20"/>
      <c r="O167" s="20"/>
      <c r="P167" s="20"/>
      <c r="Q167" s="20"/>
      <c r="R167" s="20"/>
      <c r="S167" s="20"/>
      <c r="T167" s="20"/>
      <c r="U167" s="20"/>
      <c r="V167" s="20"/>
      <c r="W167" s="20"/>
      <c r="X167" s="20"/>
      <c r="Y167" s="20"/>
      <c r="Z167" s="20"/>
      <c r="AA167" s="20"/>
    </row>
    <row r="168" spans="1:27">
      <c r="A168" s="20"/>
      <c r="B168" s="20"/>
      <c r="C168" s="20"/>
      <c r="D168" s="20"/>
      <c r="E168" s="20"/>
      <c r="F168" s="20"/>
      <c r="G168" s="20"/>
      <c r="H168" s="20"/>
      <c r="I168" s="20"/>
      <c r="J168" s="20"/>
      <c r="K168" s="20"/>
      <c r="L168" s="20"/>
      <c r="M168" s="20"/>
      <c r="N168" s="20"/>
      <c r="O168" s="20"/>
      <c r="P168" s="20"/>
      <c r="Q168" s="20"/>
      <c r="R168" s="20"/>
      <c r="S168" s="20"/>
      <c r="T168" s="20"/>
      <c r="U168" s="20"/>
      <c r="V168" s="20"/>
      <c r="W168" s="20"/>
      <c r="X168" s="20"/>
      <c r="Y168" s="20"/>
      <c r="Z168" s="20"/>
      <c r="AA168" s="20"/>
    </row>
    <row r="169" spans="1:27">
      <c r="A169" s="20"/>
      <c r="B169" s="20"/>
      <c r="C169" s="20"/>
      <c r="D169" s="20"/>
      <c r="E169" s="20"/>
      <c r="F169" s="20"/>
      <c r="G169" s="20"/>
      <c r="H169" s="20"/>
      <c r="I169" s="20"/>
      <c r="J169" s="20"/>
      <c r="K169" s="20"/>
      <c r="L169" s="20"/>
      <c r="M169" s="20"/>
      <c r="N169" s="20"/>
      <c r="O169" s="20"/>
      <c r="P169" s="20"/>
      <c r="Q169" s="20"/>
      <c r="R169" s="20"/>
      <c r="S169" s="20"/>
      <c r="T169" s="20"/>
      <c r="U169" s="20"/>
      <c r="V169" s="20"/>
      <c r="W169" s="20"/>
      <c r="X169" s="20"/>
      <c r="Y169" s="20"/>
      <c r="Z169" s="20"/>
      <c r="AA169" s="20"/>
    </row>
    <row r="170" spans="1:27">
      <c r="A170" s="20"/>
      <c r="B170" s="20"/>
      <c r="C170" s="20"/>
      <c r="D170" s="20"/>
      <c r="E170" s="20"/>
      <c r="F170" s="20"/>
      <c r="G170" s="20"/>
      <c r="H170" s="20"/>
      <c r="I170" s="20"/>
      <c r="J170" s="20"/>
      <c r="K170" s="20"/>
      <c r="L170" s="20"/>
      <c r="M170" s="20"/>
      <c r="N170" s="20"/>
      <c r="O170" s="20"/>
      <c r="P170" s="20"/>
      <c r="Q170" s="20"/>
      <c r="R170" s="20"/>
      <c r="S170" s="20"/>
      <c r="T170" s="20"/>
      <c r="U170" s="20"/>
      <c r="V170" s="20"/>
      <c r="W170" s="20"/>
      <c r="X170" s="20"/>
      <c r="Y170" s="20"/>
      <c r="Z170" s="20"/>
      <c r="AA170" s="20"/>
    </row>
    <row r="171" spans="1:27">
      <c r="A171" s="20"/>
      <c r="B171" s="20"/>
      <c r="C171" s="20"/>
      <c r="D171" s="20"/>
      <c r="E171" s="20"/>
      <c r="F171" s="20"/>
      <c r="G171" s="20"/>
      <c r="H171" s="20"/>
      <c r="I171" s="20"/>
      <c r="J171" s="20"/>
      <c r="K171" s="20"/>
      <c r="L171" s="20"/>
      <c r="M171" s="20"/>
      <c r="N171" s="20"/>
      <c r="O171" s="20"/>
      <c r="P171" s="20"/>
      <c r="Q171" s="20"/>
      <c r="R171" s="20"/>
      <c r="S171" s="20"/>
      <c r="T171" s="20"/>
      <c r="U171" s="20"/>
      <c r="V171" s="20"/>
      <c r="W171" s="20"/>
      <c r="X171" s="20"/>
      <c r="Y171" s="20"/>
      <c r="Z171" s="20"/>
      <c r="AA171" s="20"/>
    </row>
    <row r="172" spans="1:27">
      <c r="A172" s="20"/>
      <c r="B172" s="20"/>
      <c r="C172" s="20"/>
      <c r="D172" s="20"/>
      <c r="E172" s="20"/>
      <c r="F172" s="20"/>
      <c r="G172" s="20"/>
      <c r="H172" s="20"/>
      <c r="I172" s="20"/>
      <c r="J172" s="20"/>
      <c r="K172" s="20"/>
      <c r="L172" s="20"/>
      <c r="M172" s="20"/>
      <c r="N172" s="20"/>
      <c r="O172" s="20"/>
      <c r="P172" s="20"/>
      <c r="Q172" s="20"/>
      <c r="R172" s="20"/>
      <c r="S172" s="20"/>
      <c r="T172" s="20"/>
      <c r="U172" s="20"/>
      <c r="V172" s="20"/>
      <c r="W172" s="20"/>
      <c r="X172" s="20"/>
      <c r="Y172" s="20"/>
      <c r="Z172" s="20"/>
      <c r="AA172" s="20"/>
    </row>
    <row r="173" spans="1:27">
      <c r="A173" s="20"/>
      <c r="B173" s="20"/>
      <c r="C173" s="20"/>
      <c r="D173" s="20"/>
      <c r="E173" s="20"/>
      <c r="F173" s="20"/>
      <c r="G173" s="20"/>
      <c r="H173" s="20"/>
      <c r="I173" s="20"/>
      <c r="J173" s="20"/>
      <c r="K173" s="20"/>
      <c r="L173" s="20"/>
      <c r="M173" s="20"/>
      <c r="N173" s="20"/>
      <c r="O173" s="20"/>
      <c r="P173" s="20"/>
      <c r="Q173" s="20"/>
      <c r="R173" s="20"/>
      <c r="S173" s="20"/>
      <c r="T173" s="20"/>
      <c r="U173" s="20"/>
      <c r="V173" s="20"/>
      <c r="W173" s="20"/>
      <c r="X173" s="20"/>
      <c r="Y173" s="20"/>
      <c r="Z173" s="20"/>
      <c r="AA173" s="20"/>
    </row>
    <row r="174" spans="1:27">
      <c r="A174" s="20"/>
      <c r="B174" s="20"/>
      <c r="C174" s="20"/>
      <c r="D174" s="20"/>
      <c r="E174" s="20"/>
      <c r="F174" s="20"/>
      <c r="G174" s="20"/>
      <c r="H174" s="20"/>
      <c r="I174" s="20"/>
      <c r="J174" s="20"/>
      <c r="K174" s="20"/>
      <c r="L174" s="20"/>
      <c r="M174" s="20"/>
      <c r="N174" s="20"/>
      <c r="O174" s="20"/>
      <c r="P174" s="20"/>
      <c r="Q174" s="20"/>
      <c r="R174" s="20"/>
      <c r="S174" s="20"/>
      <c r="T174" s="20"/>
      <c r="U174" s="20"/>
      <c r="V174" s="20"/>
      <c r="W174" s="20"/>
      <c r="X174" s="20"/>
      <c r="Y174" s="20"/>
      <c r="Z174" s="20"/>
      <c r="AA174" s="20"/>
    </row>
    <row r="175" spans="1:27">
      <c r="A175" s="20"/>
      <c r="B175" s="20"/>
      <c r="C175" s="20"/>
      <c r="D175" s="20"/>
      <c r="E175" s="20"/>
      <c r="F175" s="20"/>
      <c r="G175" s="20"/>
      <c r="H175" s="20"/>
      <c r="I175" s="20"/>
      <c r="J175" s="20"/>
      <c r="K175" s="20"/>
      <c r="L175" s="20"/>
      <c r="M175" s="20"/>
      <c r="N175" s="20"/>
      <c r="O175" s="20"/>
      <c r="P175" s="20"/>
      <c r="Q175" s="20"/>
      <c r="R175" s="20"/>
      <c r="S175" s="20"/>
      <c r="T175" s="20"/>
      <c r="U175" s="20"/>
      <c r="V175" s="20"/>
      <c r="W175" s="20"/>
      <c r="X175" s="20"/>
      <c r="Y175" s="20"/>
      <c r="Z175" s="20"/>
      <c r="AA175" s="20"/>
    </row>
    <row r="176" spans="1:27">
      <c r="A176" s="20"/>
      <c r="B176" s="20"/>
      <c r="C176" s="20"/>
      <c r="D176" s="20"/>
      <c r="E176" s="20"/>
      <c r="F176" s="20"/>
      <c r="G176" s="20"/>
      <c r="H176" s="20"/>
      <c r="I176" s="20"/>
      <c r="J176" s="20"/>
      <c r="K176" s="20"/>
      <c r="L176" s="20"/>
      <c r="M176" s="20"/>
      <c r="N176" s="20"/>
      <c r="O176" s="20"/>
      <c r="P176" s="20"/>
      <c r="Q176" s="20"/>
      <c r="R176" s="20"/>
      <c r="S176" s="20"/>
      <c r="T176" s="20"/>
      <c r="U176" s="20"/>
      <c r="V176" s="20"/>
      <c r="W176" s="20"/>
      <c r="X176" s="20"/>
      <c r="Y176" s="20"/>
      <c r="Z176" s="20"/>
      <c r="AA176" s="20"/>
    </row>
    <row r="177" spans="1:27">
      <c r="A177" s="20"/>
      <c r="B177" s="20"/>
      <c r="C177" s="20"/>
      <c r="D177" s="20"/>
      <c r="E177" s="20"/>
      <c r="F177" s="20"/>
      <c r="G177" s="20"/>
      <c r="H177" s="20"/>
      <c r="I177" s="20"/>
      <c r="J177" s="20"/>
      <c r="K177" s="20"/>
      <c r="L177" s="20"/>
      <c r="M177" s="20"/>
      <c r="N177" s="20"/>
      <c r="O177" s="20"/>
      <c r="P177" s="20"/>
      <c r="Q177" s="20"/>
      <c r="R177" s="20"/>
      <c r="S177" s="20"/>
      <c r="T177" s="20"/>
      <c r="U177" s="20"/>
      <c r="V177" s="20"/>
      <c r="W177" s="20"/>
      <c r="X177" s="20"/>
      <c r="Y177" s="20"/>
      <c r="Z177" s="20"/>
      <c r="AA177" s="20"/>
    </row>
    <row r="178" spans="1:27">
      <c r="A178" s="20"/>
      <c r="B178" s="20"/>
      <c r="C178" s="20"/>
      <c r="D178" s="20"/>
      <c r="E178" s="20"/>
      <c r="F178" s="20"/>
      <c r="G178" s="20"/>
      <c r="H178" s="20"/>
      <c r="I178" s="20"/>
      <c r="J178" s="20"/>
      <c r="K178" s="20"/>
      <c r="L178" s="20"/>
      <c r="M178" s="20"/>
      <c r="N178" s="20"/>
      <c r="O178" s="20"/>
      <c r="P178" s="20"/>
      <c r="Q178" s="20"/>
      <c r="R178" s="20"/>
      <c r="S178" s="20"/>
      <c r="T178" s="20"/>
      <c r="U178" s="20"/>
      <c r="V178" s="20"/>
      <c r="W178" s="20"/>
      <c r="X178" s="20"/>
      <c r="Y178" s="20"/>
      <c r="Z178" s="20"/>
      <c r="AA178" s="20"/>
    </row>
    <row r="179" spans="1:27">
      <c r="A179" s="20"/>
      <c r="B179" s="20"/>
      <c r="C179" s="20"/>
      <c r="D179" s="20"/>
      <c r="E179" s="20"/>
      <c r="F179" s="20"/>
      <c r="G179" s="20"/>
      <c r="H179" s="20"/>
      <c r="I179" s="20"/>
      <c r="J179" s="20"/>
      <c r="K179" s="20"/>
      <c r="L179" s="20"/>
      <c r="M179" s="20"/>
      <c r="N179" s="20"/>
      <c r="O179" s="20"/>
      <c r="P179" s="20"/>
      <c r="Q179" s="20"/>
      <c r="R179" s="20"/>
      <c r="S179" s="20"/>
      <c r="T179" s="20"/>
      <c r="U179" s="20"/>
      <c r="V179" s="20"/>
      <c r="W179" s="20"/>
      <c r="X179" s="20"/>
      <c r="Y179" s="20"/>
      <c r="Z179" s="20"/>
      <c r="AA179" s="20"/>
    </row>
    <row r="180" spans="1:27">
      <c r="A180" s="20"/>
      <c r="B180" s="20"/>
      <c r="C180" s="20"/>
      <c r="D180" s="20"/>
      <c r="E180" s="20"/>
      <c r="F180" s="20"/>
      <c r="G180" s="20"/>
      <c r="H180" s="20"/>
      <c r="I180" s="20"/>
      <c r="J180" s="20"/>
      <c r="K180" s="20"/>
      <c r="L180" s="20"/>
      <c r="M180" s="20"/>
      <c r="N180" s="20"/>
      <c r="O180" s="20"/>
      <c r="P180" s="20"/>
      <c r="Q180" s="20"/>
      <c r="R180" s="20"/>
      <c r="S180" s="20"/>
      <c r="T180" s="20"/>
      <c r="U180" s="20"/>
      <c r="V180" s="20"/>
      <c r="W180" s="20"/>
      <c r="X180" s="20"/>
      <c r="Y180" s="20"/>
      <c r="Z180" s="20"/>
      <c r="AA180" s="20"/>
    </row>
    <row r="181" spans="1:27">
      <c r="A181" s="20"/>
      <c r="B181" s="20"/>
      <c r="C181" s="20"/>
      <c r="D181" s="20"/>
      <c r="E181" s="20"/>
      <c r="F181" s="20"/>
      <c r="G181" s="20"/>
      <c r="H181" s="20"/>
      <c r="I181" s="20"/>
      <c r="J181" s="20"/>
      <c r="K181" s="20"/>
      <c r="L181" s="20"/>
      <c r="M181" s="20"/>
      <c r="N181" s="20"/>
      <c r="O181" s="20"/>
      <c r="P181" s="20"/>
      <c r="Q181" s="20"/>
      <c r="R181" s="20"/>
      <c r="S181" s="20"/>
      <c r="T181" s="20"/>
      <c r="U181" s="20"/>
      <c r="V181" s="20"/>
      <c r="W181" s="20"/>
      <c r="X181" s="20"/>
      <c r="Y181" s="20"/>
      <c r="Z181" s="20"/>
      <c r="AA181" s="20"/>
    </row>
    <row r="182" spans="1:27">
      <c r="A182" s="20"/>
      <c r="B182" s="20"/>
      <c r="C182" s="20"/>
      <c r="D182" s="20"/>
      <c r="E182" s="20"/>
      <c r="F182" s="20"/>
      <c r="G182" s="20"/>
      <c r="H182" s="20"/>
      <c r="I182" s="20"/>
      <c r="J182" s="20"/>
      <c r="K182" s="20"/>
      <c r="L182" s="20"/>
      <c r="M182" s="20"/>
      <c r="N182" s="20"/>
      <c r="O182" s="20"/>
      <c r="P182" s="20"/>
      <c r="Q182" s="20"/>
      <c r="R182" s="20"/>
      <c r="S182" s="20"/>
      <c r="T182" s="20"/>
      <c r="U182" s="20"/>
      <c r="V182" s="20"/>
      <c r="W182" s="20"/>
      <c r="X182" s="20"/>
      <c r="Y182" s="20"/>
      <c r="Z182" s="20"/>
      <c r="AA182" s="20"/>
    </row>
    <row r="183" spans="1:27">
      <c r="A183" s="20"/>
      <c r="B183" s="20"/>
      <c r="C183" s="20"/>
      <c r="D183" s="20"/>
      <c r="E183" s="20"/>
      <c r="F183" s="20"/>
      <c r="G183" s="20"/>
      <c r="H183" s="20"/>
      <c r="I183" s="20"/>
      <c r="J183" s="20"/>
      <c r="K183" s="20"/>
      <c r="L183" s="20"/>
      <c r="M183" s="20"/>
      <c r="N183" s="20"/>
      <c r="O183" s="20"/>
      <c r="P183" s="20"/>
      <c r="Q183" s="20"/>
      <c r="R183" s="20"/>
      <c r="S183" s="20"/>
      <c r="T183" s="20"/>
      <c r="U183" s="20"/>
      <c r="V183" s="20"/>
      <c r="W183" s="20"/>
      <c r="X183" s="20"/>
      <c r="Y183" s="20"/>
      <c r="Z183" s="20"/>
      <c r="AA183" s="20"/>
    </row>
    <row r="184" spans="1:27">
      <c r="A184" s="20"/>
      <c r="B184" s="20"/>
      <c r="C184" s="20"/>
      <c r="D184" s="20"/>
      <c r="E184" s="20"/>
      <c r="F184" s="20"/>
      <c r="G184" s="20"/>
      <c r="H184" s="20"/>
      <c r="I184" s="20"/>
      <c r="J184" s="20"/>
      <c r="K184" s="20"/>
      <c r="L184" s="20"/>
      <c r="M184" s="20"/>
      <c r="N184" s="20"/>
      <c r="O184" s="20"/>
      <c r="P184" s="20"/>
      <c r="Q184" s="20"/>
      <c r="R184" s="20"/>
      <c r="S184" s="20"/>
      <c r="T184" s="20"/>
      <c r="U184" s="20"/>
      <c r="V184" s="20"/>
      <c r="W184" s="20"/>
      <c r="X184" s="20"/>
      <c r="Y184" s="20"/>
      <c r="Z184" s="20"/>
      <c r="AA184" s="20"/>
    </row>
    <row r="185" spans="1:27">
      <c r="A185" s="20"/>
      <c r="B185" s="20"/>
      <c r="C185" s="20"/>
      <c r="D185" s="20"/>
      <c r="E185" s="20"/>
      <c r="F185" s="20"/>
      <c r="G185" s="20"/>
      <c r="H185" s="20"/>
      <c r="I185" s="20"/>
      <c r="J185" s="20"/>
      <c r="K185" s="20"/>
      <c r="L185" s="20"/>
      <c r="M185" s="20"/>
      <c r="N185" s="20"/>
      <c r="O185" s="20"/>
      <c r="P185" s="20"/>
      <c r="Q185" s="20"/>
      <c r="R185" s="20"/>
      <c r="S185" s="20"/>
      <c r="T185" s="20"/>
      <c r="U185" s="20"/>
      <c r="V185" s="20"/>
      <c r="W185" s="20"/>
      <c r="X185" s="20"/>
      <c r="Y185" s="20"/>
      <c r="Z185" s="20"/>
      <c r="AA185" s="20"/>
    </row>
    <row r="186" spans="1:27">
      <c r="A186" s="20"/>
      <c r="B186" s="20"/>
      <c r="C186" s="20"/>
      <c r="D186" s="20"/>
      <c r="E186" s="20"/>
      <c r="F186" s="20"/>
      <c r="G186" s="20"/>
      <c r="H186" s="20"/>
      <c r="I186" s="20"/>
      <c r="J186" s="20"/>
      <c r="K186" s="20"/>
      <c r="L186" s="20"/>
      <c r="M186" s="20"/>
      <c r="N186" s="20"/>
      <c r="O186" s="20"/>
      <c r="P186" s="20"/>
      <c r="Q186" s="20"/>
      <c r="R186" s="20"/>
      <c r="S186" s="20"/>
      <c r="T186" s="20"/>
      <c r="U186" s="20"/>
      <c r="V186" s="20"/>
      <c r="W186" s="20"/>
      <c r="X186" s="20"/>
      <c r="Y186" s="20"/>
      <c r="Z186" s="20"/>
      <c r="AA186" s="20"/>
    </row>
    <row r="187" spans="1:27">
      <c r="A187" s="20"/>
      <c r="B187" s="20"/>
      <c r="C187" s="20"/>
      <c r="D187" s="20"/>
      <c r="E187" s="20"/>
      <c r="F187" s="20"/>
      <c r="G187" s="20"/>
      <c r="H187" s="20"/>
      <c r="I187" s="20"/>
      <c r="J187" s="20"/>
      <c r="K187" s="20"/>
      <c r="L187" s="20"/>
      <c r="M187" s="20"/>
      <c r="N187" s="20"/>
      <c r="O187" s="20"/>
      <c r="P187" s="20"/>
      <c r="Q187" s="20"/>
      <c r="R187" s="20"/>
      <c r="S187" s="20"/>
      <c r="T187" s="20"/>
      <c r="U187" s="20"/>
      <c r="V187" s="20"/>
      <c r="W187" s="20"/>
      <c r="X187" s="20"/>
      <c r="Y187" s="20"/>
      <c r="Z187" s="20"/>
      <c r="AA187" s="20"/>
    </row>
    <row r="188" spans="1:27">
      <c r="A188" s="20"/>
      <c r="B188" s="20"/>
      <c r="C188" s="20"/>
      <c r="D188" s="20"/>
      <c r="E188" s="20"/>
      <c r="F188" s="20"/>
      <c r="G188" s="20"/>
      <c r="H188" s="20"/>
      <c r="I188" s="20"/>
      <c r="J188" s="20"/>
      <c r="K188" s="20"/>
      <c r="L188" s="20"/>
      <c r="M188" s="20"/>
      <c r="N188" s="20"/>
      <c r="O188" s="20"/>
      <c r="P188" s="20"/>
      <c r="Q188" s="20"/>
      <c r="R188" s="20"/>
      <c r="S188" s="20"/>
      <c r="T188" s="20"/>
      <c r="U188" s="20"/>
      <c r="V188" s="20"/>
      <c r="W188" s="20"/>
      <c r="X188" s="20"/>
      <c r="Y188" s="20"/>
      <c r="Z188" s="20"/>
      <c r="AA188" s="20"/>
    </row>
    <row r="189" spans="1:27">
      <c r="A189" s="20"/>
      <c r="B189" s="20"/>
      <c r="C189" s="20"/>
      <c r="D189" s="20"/>
      <c r="E189" s="20"/>
      <c r="F189" s="20"/>
      <c r="G189" s="20"/>
      <c r="H189" s="20"/>
      <c r="I189" s="20"/>
      <c r="J189" s="20"/>
      <c r="K189" s="20"/>
      <c r="L189" s="20"/>
      <c r="M189" s="20"/>
      <c r="N189" s="20"/>
      <c r="O189" s="20"/>
      <c r="P189" s="20"/>
      <c r="Q189" s="20"/>
      <c r="R189" s="20"/>
      <c r="S189" s="20"/>
      <c r="T189" s="20"/>
      <c r="U189" s="20"/>
      <c r="V189" s="20"/>
      <c r="W189" s="20"/>
      <c r="X189" s="20"/>
      <c r="Y189" s="20"/>
      <c r="Z189" s="20"/>
      <c r="AA189" s="20"/>
    </row>
    <row r="190" spans="1:27">
      <c r="A190" s="20"/>
      <c r="B190" s="20"/>
      <c r="C190" s="20"/>
      <c r="D190" s="20"/>
      <c r="E190" s="20"/>
      <c r="F190" s="20"/>
      <c r="G190" s="20"/>
      <c r="H190" s="20"/>
      <c r="I190" s="20"/>
      <c r="J190" s="20"/>
      <c r="K190" s="20"/>
      <c r="L190" s="20"/>
      <c r="M190" s="20"/>
      <c r="N190" s="20"/>
      <c r="O190" s="20"/>
      <c r="P190" s="20"/>
      <c r="Q190" s="20"/>
      <c r="R190" s="20"/>
      <c r="S190" s="20"/>
      <c r="T190" s="20"/>
      <c r="U190" s="20"/>
      <c r="V190" s="20"/>
      <c r="W190" s="20"/>
      <c r="X190" s="20"/>
      <c r="Y190" s="20"/>
      <c r="Z190" s="20"/>
      <c r="AA190" s="20"/>
    </row>
    <row r="191" spans="1:27">
      <c r="A191" s="20"/>
      <c r="B191" s="20"/>
      <c r="C191" s="20"/>
      <c r="D191" s="20"/>
      <c r="E191" s="20"/>
      <c r="F191" s="20"/>
      <c r="G191" s="20"/>
      <c r="H191" s="20"/>
      <c r="I191" s="20"/>
      <c r="J191" s="20"/>
      <c r="K191" s="20"/>
      <c r="L191" s="20"/>
      <c r="M191" s="20"/>
      <c r="N191" s="20"/>
      <c r="O191" s="20"/>
      <c r="P191" s="20"/>
      <c r="Q191" s="20"/>
      <c r="R191" s="20"/>
      <c r="S191" s="20"/>
      <c r="T191" s="20"/>
      <c r="U191" s="20"/>
      <c r="V191" s="20"/>
      <c r="W191" s="20"/>
      <c r="X191" s="20"/>
      <c r="Y191" s="20"/>
      <c r="Z191" s="20"/>
      <c r="AA191" s="20"/>
    </row>
    <row r="192" spans="1:27">
      <c r="A192" s="20"/>
      <c r="B192" s="20"/>
      <c r="C192" s="20"/>
      <c r="D192" s="20"/>
      <c r="E192" s="20"/>
      <c r="F192" s="20"/>
      <c r="G192" s="20"/>
      <c r="H192" s="20"/>
      <c r="I192" s="20"/>
      <c r="J192" s="20"/>
      <c r="K192" s="20"/>
      <c r="L192" s="20"/>
      <c r="M192" s="20"/>
      <c r="N192" s="20"/>
      <c r="O192" s="20"/>
      <c r="P192" s="20"/>
      <c r="Q192" s="20"/>
      <c r="R192" s="20"/>
      <c r="S192" s="20"/>
      <c r="T192" s="20"/>
      <c r="U192" s="20"/>
      <c r="V192" s="20"/>
      <c r="W192" s="20"/>
      <c r="X192" s="20"/>
      <c r="Y192" s="20"/>
      <c r="Z192" s="20"/>
      <c r="AA192" s="20"/>
    </row>
    <row r="193" spans="1:27">
      <c r="A193" s="20"/>
      <c r="B193" s="20"/>
      <c r="C193" s="20"/>
      <c r="D193" s="20"/>
      <c r="E193" s="20"/>
      <c r="F193" s="20"/>
      <c r="G193" s="20"/>
      <c r="H193" s="20"/>
      <c r="I193" s="20"/>
      <c r="J193" s="20"/>
      <c r="K193" s="20"/>
      <c r="L193" s="20"/>
      <c r="M193" s="20"/>
      <c r="N193" s="20"/>
      <c r="O193" s="20"/>
      <c r="P193" s="20"/>
      <c r="Q193" s="20"/>
      <c r="R193" s="20"/>
      <c r="S193" s="20"/>
      <c r="T193" s="20"/>
      <c r="U193" s="20"/>
      <c r="V193" s="20"/>
      <c r="W193" s="20"/>
      <c r="X193" s="20"/>
      <c r="Y193" s="20"/>
      <c r="Z193" s="20"/>
      <c r="AA193" s="20"/>
    </row>
    <row r="194" spans="1:27">
      <c r="A194" s="20"/>
      <c r="B194" s="20"/>
      <c r="C194" s="20"/>
      <c r="D194" s="20"/>
      <c r="E194" s="20"/>
      <c r="F194" s="20"/>
      <c r="G194" s="20"/>
      <c r="H194" s="20"/>
      <c r="I194" s="20"/>
      <c r="J194" s="20"/>
      <c r="K194" s="20"/>
      <c r="L194" s="20"/>
      <c r="M194" s="20"/>
      <c r="N194" s="20"/>
      <c r="O194" s="20"/>
      <c r="P194" s="20"/>
      <c r="Q194" s="20"/>
      <c r="R194" s="20"/>
      <c r="S194" s="20"/>
      <c r="T194" s="20"/>
      <c r="U194" s="20"/>
      <c r="V194" s="20"/>
      <c r="W194" s="20"/>
      <c r="X194" s="20"/>
      <c r="Y194" s="20"/>
      <c r="Z194" s="20"/>
      <c r="AA194" s="20"/>
    </row>
    <row r="195" spans="1:27">
      <c r="A195" s="20"/>
      <c r="B195" s="20"/>
      <c r="C195" s="20"/>
      <c r="D195" s="20"/>
      <c r="E195" s="20"/>
      <c r="F195" s="20"/>
      <c r="G195" s="20"/>
      <c r="H195" s="20"/>
      <c r="I195" s="20"/>
      <c r="J195" s="20"/>
      <c r="K195" s="20"/>
      <c r="L195" s="20"/>
      <c r="M195" s="20"/>
      <c r="N195" s="20"/>
      <c r="O195" s="20"/>
      <c r="P195" s="20"/>
      <c r="Q195" s="20"/>
      <c r="R195" s="20"/>
      <c r="S195" s="20"/>
      <c r="T195" s="20"/>
      <c r="U195" s="20"/>
      <c r="V195" s="20"/>
      <c r="W195" s="20"/>
      <c r="X195" s="20"/>
      <c r="Y195" s="20"/>
      <c r="Z195" s="20"/>
      <c r="AA195" s="20"/>
    </row>
    <row r="196" spans="1:27">
      <c r="A196" s="20"/>
      <c r="B196" s="20"/>
      <c r="C196" s="20"/>
      <c r="D196" s="20"/>
      <c r="E196" s="20"/>
      <c r="F196" s="20"/>
      <c r="G196" s="20"/>
      <c r="H196" s="20"/>
      <c r="I196" s="20"/>
      <c r="J196" s="20"/>
      <c r="K196" s="20"/>
      <c r="L196" s="20"/>
      <c r="M196" s="20"/>
      <c r="N196" s="20"/>
      <c r="O196" s="20"/>
      <c r="P196" s="20"/>
      <c r="Q196" s="20"/>
      <c r="R196" s="20"/>
      <c r="S196" s="20"/>
      <c r="T196" s="20"/>
      <c r="U196" s="20"/>
      <c r="V196" s="20"/>
      <c r="W196" s="20"/>
      <c r="X196" s="20"/>
      <c r="Y196" s="20"/>
      <c r="Z196" s="20"/>
      <c r="AA196" s="20"/>
    </row>
    <row r="197" spans="1:27">
      <c r="A197" s="20"/>
      <c r="B197" s="20"/>
      <c r="C197" s="20"/>
      <c r="D197" s="20"/>
      <c r="E197" s="20"/>
      <c r="F197" s="20"/>
      <c r="G197" s="20"/>
      <c r="H197" s="20"/>
      <c r="I197" s="20"/>
      <c r="J197" s="20"/>
      <c r="K197" s="20"/>
      <c r="L197" s="20"/>
      <c r="M197" s="20"/>
      <c r="N197" s="20"/>
      <c r="O197" s="20"/>
      <c r="P197" s="20"/>
      <c r="Q197" s="20"/>
      <c r="R197" s="20"/>
      <c r="S197" s="20"/>
      <c r="T197" s="20"/>
      <c r="U197" s="20"/>
      <c r="V197" s="20"/>
      <c r="W197" s="20"/>
      <c r="X197" s="20"/>
      <c r="Y197" s="20"/>
      <c r="Z197" s="20"/>
      <c r="AA197" s="20"/>
    </row>
    <row r="198" spans="1:27">
      <c r="A198" s="20"/>
      <c r="B198" s="20"/>
      <c r="C198" s="20"/>
      <c r="D198" s="20"/>
      <c r="E198" s="20"/>
      <c r="F198" s="20"/>
      <c r="G198" s="20"/>
      <c r="H198" s="20"/>
      <c r="I198" s="20"/>
      <c r="J198" s="20"/>
      <c r="K198" s="20"/>
      <c r="L198" s="20"/>
      <c r="M198" s="20"/>
      <c r="N198" s="20"/>
      <c r="O198" s="20"/>
      <c r="P198" s="20"/>
      <c r="Q198" s="20"/>
      <c r="R198" s="20"/>
      <c r="S198" s="20"/>
      <c r="T198" s="20"/>
      <c r="U198" s="20"/>
      <c r="V198" s="20"/>
      <c r="W198" s="20"/>
      <c r="X198" s="20"/>
      <c r="Y198" s="20"/>
      <c r="Z198" s="20"/>
      <c r="AA198" s="20"/>
    </row>
    <row r="199" spans="1:27">
      <c r="A199" s="20"/>
      <c r="B199" s="20"/>
      <c r="C199" s="20"/>
      <c r="D199" s="20"/>
      <c r="E199" s="20"/>
      <c r="F199" s="20"/>
      <c r="G199" s="20"/>
      <c r="H199" s="20"/>
      <c r="I199" s="20"/>
      <c r="J199" s="20"/>
      <c r="K199" s="20"/>
      <c r="L199" s="20"/>
      <c r="M199" s="20"/>
      <c r="N199" s="20"/>
      <c r="O199" s="20"/>
      <c r="P199" s="20"/>
      <c r="Q199" s="20"/>
      <c r="R199" s="20"/>
      <c r="S199" s="20"/>
      <c r="T199" s="20"/>
      <c r="U199" s="20"/>
      <c r="V199" s="20"/>
      <c r="W199" s="20"/>
      <c r="X199" s="20"/>
      <c r="Y199" s="20"/>
      <c r="Z199" s="20"/>
      <c r="AA199" s="20"/>
    </row>
    <row r="200" spans="1:27">
      <c r="A200" s="20"/>
      <c r="B200" s="20"/>
      <c r="C200" s="20"/>
      <c r="D200" s="20"/>
      <c r="E200" s="20"/>
      <c r="F200" s="20"/>
      <c r="G200" s="20"/>
      <c r="H200" s="20"/>
      <c r="I200" s="20"/>
      <c r="J200" s="20"/>
      <c r="K200" s="20"/>
      <c r="L200" s="20"/>
      <c r="M200" s="20"/>
      <c r="N200" s="20"/>
      <c r="O200" s="20"/>
      <c r="P200" s="20"/>
      <c r="Q200" s="20"/>
      <c r="R200" s="20"/>
      <c r="S200" s="20"/>
      <c r="T200" s="20"/>
      <c r="U200" s="20"/>
      <c r="V200" s="20"/>
      <c r="W200" s="20"/>
      <c r="X200" s="20"/>
      <c r="Y200" s="20"/>
      <c r="Z200" s="20"/>
      <c r="AA200" s="20"/>
    </row>
    <row r="201" spans="1:27">
      <c r="A201" s="20"/>
      <c r="B201" s="20"/>
      <c r="C201" s="20"/>
      <c r="D201" s="20"/>
      <c r="E201" s="20"/>
      <c r="F201" s="20"/>
      <c r="G201" s="20"/>
      <c r="H201" s="20"/>
      <c r="I201" s="20"/>
      <c r="J201" s="20"/>
      <c r="K201" s="20"/>
      <c r="L201" s="20"/>
      <c r="M201" s="20"/>
      <c r="N201" s="20"/>
      <c r="O201" s="20"/>
      <c r="P201" s="20"/>
      <c r="Q201" s="20"/>
      <c r="R201" s="20"/>
      <c r="S201" s="20"/>
      <c r="T201" s="20"/>
      <c r="U201" s="20"/>
      <c r="V201" s="20"/>
      <c r="W201" s="20"/>
      <c r="X201" s="20"/>
      <c r="Y201" s="20"/>
      <c r="Z201" s="20"/>
      <c r="AA201" s="20"/>
    </row>
    <row r="202" spans="1:27">
      <c r="A202" s="20"/>
      <c r="B202" s="20"/>
      <c r="C202" s="20"/>
      <c r="D202" s="20"/>
      <c r="E202" s="20"/>
      <c r="F202" s="20"/>
      <c r="G202" s="20"/>
      <c r="H202" s="20"/>
      <c r="I202" s="20"/>
      <c r="J202" s="20"/>
      <c r="K202" s="20"/>
      <c r="L202" s="20"/>
      <c r="M202" s="20"/>
      <c r="N202" s="20"/>
      <c r="O202" s="20"/>
      <c r="P202" s="20"/>
      <c r="Q202" s="20"/>
      <c r="R202" s="20"/>
      <c r="S202" s="20"/>
      <c r="T202" s="20"/>
      <c r="U202" s="20"/>
      <c r="V202" s="20"/>
      <c r="W202" s="20"/>
      <c r="X202" s="20"/>
      <c r="Y202" s="20"/>
      <c r="Z202" s="20"/>
      <c r="AA202" s="20"/>
    </row>
    <row r="203" spans="1:27">
      <c r="A203" s="20"/>
      <c r="B203" s="20"/>
      <c r="C203" s="20"/>
      <c r="D203" s="20"/>
      <c r="E203" s="20"/>
      <c r="F203" s="20"/>
      <c r="G203" s="20"/>
      <c r="H203" s="20"/>
      <c r="I203" s="20"/>
      <c r="J203" s="20"/>
      <c r="K203" s="20"/>
      <c r="L203" s="20"/>
      <c r="M203" s="20"/>
      <c r="N203" s="20"/>
      <c r="O203" s="20"/>
      <c r="P203" s="20"/>
      <c r="Q203" s="20"/>
      <c r="R203" s="20"/>
      <c r="S203" s="20"/>
      <c r="T203" s="20"/>
      <c r="U203" s="20"/>
      <c r="V203" s="20"/>
      <c r="W203" s="20"/>
      <c r="X203" s="20"/>
      <c r="Y203" s="20"/>
      <c r="Z203" s="20"/>
      <c r="AA203" s="20"/>
    </row>
    <row r="204" spans="1:27">
      <c r="A204" s="20"/>
      <c r="B204" s="20"/>
      <c r="C204" s="20"/>
      <c r="D204" s="20"/>
      <c r="E204" s="20"/>
      <c r="F204" s="20"/>
      <c r="G204" s="20"/>
      <c r="H204" s="20"/>
      <c r="I204" s="20"/>
      <c r="J204" s="20"/>
      <c r="K204" s="20"/>
      <c r="L204" s="20"/>
      <c r="M204" s="20"/>
      <c r="N204" s="20"/>
      <c r="O204" s="20"/>
      <c r="P204" s="20"/>
      <c r="Q204" s="20"/>
      <c r="R204" s="20"/>
      <c r="S204" s="20"/>
      <c r="T204" s="20"/>
      <c r="U204" s="20"/>
      <c r="V204" s="20"/>
      <c r="W204" s="20"/>
      <c r="X204" s="20"/>
      <c r="Y204" s="20"/>
      <c r="Z204" s="20"/>
      <c r="AA204" s="20"/>
    </row>
    <row r="205" spans="1:27">
      <c r="A205" s="20"/>
      <c r="B205" s="20"/>
      <c r="C205" s="20"/>
      <c r="D205" s="20"/>
      <c r="E205" s="20"/>
      <c r="F205" s="20"/>
      <c r="G205" s="20"/>
      <c r="H205" s="20"/>
      <c r="I205" s="20"/>
      <c r="J205" s="20"/>
      <c r="K205" s="20"/>
      <c r="L205" s="20"/>
      <c r="M205" s="20"/>
      <c r="N205" s="20"/>
      <c r="O205" s="20"/>
      <c r="P205" s="20"/>
      <c r="Q205" s="20"/>
      <c r="R205" s="20"/>
      <c r="S205" s="20"/>
      <c r="T205" s="20"/>
      <c r="U205" s="20"/>
      <c r="V205" s="20"/>
      <c r="W205" s="20"/>
      <c r="X205" s="20"/>
      <c r="Y205" s="20"/>
      <c r="Z205" s="20"/>
      <c r="AA205" s="20"/>
    </row>
    <row r="206" spans="1:27">
      <c r="A206" s="20"/>
      <c r="B206" s="20"/>
      <c r="C206" s="20"/>
      <c r="D206" s="20"/>
      <c r="E206" s="20"/>
      <c r="F206" s="20"/>
      <c r="G206" s="20"/>
      <c r="H206" s="20"/>
      <c r="I206" s="20"/>
      <c r="J206" s="20"/>
      <c r="K206" s="20"/>
      <c r="L206" s="20"/>
      <c r="M206" s="20"/>
      <c r="N206" s="20"/>
      <c r="O206" s="20"/>
      <c r="P206" s="20"/>
      <c r="Q206" s="20"/>
      <c r="R206" s="20"/>
      <c r="S206" s="20"/>
      <c r="T206" s="20"/>
      <c r="U206" s="20"/>
      <c r="V206" s="20"/>
      <c r="W206" s="20"/>
      <c r="X206" s="20"/>
      <c r="Y206" s="20"/>
      <c r="Z206" s="20"/>
      <c r="AA206" s="20"/>
    </row>
    <row r="207" spans="1:27">
      <c r="A207" s="20"/>
      <c r="B207" s="20"/>
      <c r="C207" s="20"/>
      <c r="D207" s="20"/>
      <c r="E207" s="20"/>
      <c r="F207" s="20"/>
      <c r="G207" s="20"/>
      <c r="H207" s="20"/>
      <c r="I207" s="20"/>
      <c r="J207" s="20"/>
      <c r="K207" s="20"/>
      <c r="L207" s="20"/>
      <c r="M207" s="20"/>
      <c r="N207" s="20"/>
      <c r="O207" s="20"/>
      <c r="P207" s="20"/>
      <c r="Q207" s="20"/>
      <c r="R207" s="20"/>
      <c r="S207" s="20"/>
      <c r="T207" s="20"/>
      <c r="U207" s="20"/>
      <c r="V207" s="20"/>
      <c r="W207" s="20"/>
      <c r="X207" s="20"/>
      <c r="Y207" s="20"/>
      <c r="Z207" s="20"/>
      <c r="AA207" s="20"/>
    </row>
    <row r="208" spans="1:27">
      <c r="A208" s="20"/>
      <c r="B208" s="20"/>
      <c r="C208" s="20"/>
      <c r="D208" s="20"/>
      <c r="E208" s="20"/>
      <c r="F208" s="20"/>
      <c r="G208" s="20"/>
      <c r="H208" s="20"/>
      <c r="I208" s="20"/>
      <c r="J208" s="20"/>
      <c r="K208" s="20"/>
      <c r="L208" s="20"/>
      <c r="M208" s="20"/>
      <c r="N208" s="20"/>
      <c r="O208" s="20"/>
      <c r="P208" s="20"/>
      <c r="Q208" s="20"/>
      <c r="R208" s="20"/>
      <c r="S208" s="20"/>
      <c r="T208" s="20"/>
      <c r="U208" s="20"/>
      <c r="V208" s="20"/>
      <c r="W208" s="20"/>
      <c r="X208" s="20"/>
      <c r="Y208" s="20"/>
      <c r="Z208" s="20"/>
      <c r="AA208" s="20"/>
    </row>
    <row r="209" spans="1:27">
      <c r="A209" s="20"/>
      <c r="B209" s="20"/>
      <c r="C209" s="20"/>
      <c r="D209" s="20"/>
      <c r="E209" s="20"/>
      <c r="F209" s="20"/>
      <c r="G209" s="20"/>
      <c r="H209" s="20"/>
      <c r="I209" s="20"/>
      <c r="J209" s="20"/>
      <c r="K209" s="20"/>
      <c r="L209" s="20"/>
      <c r="M209" s="20"/>
      <c r="N209" s="20"/>
      <c r="O209" s="20"/>
      <c r="P209" s="20"/>
      <c r="Q209" s="20"/>
      <c r="R209" s="20"/>
      <c r="S209" s="20"/>
      <c r="T209" s="20"/>
      <c r="U209" s="20"/>
      <c r="V209" s="20"/>
      <c r="W209" s="20"/>
      <c r="X209" s="20"/>
      <c r="Y209" s="20"/>
      <c r="Z209" s="20"/>
      <c r="AA209" s="20"/>
    </row>
    <row r="210" spans="1:27">
      <c r="A210" s="20"/>
      <c r="B210" s="20"/>
      <c r="C210" s="20"/>
      <c r="D210" s="20"/>
      <c r="E210" s="20"/>
      <c r="F210" s="20"/>
      <c r="G210" s="20"/>
      <c r="H210" s="20"/>
      <c r="I210" s="20"/>
      <c r="J210" s="20"/>
      <c r="K210" s="20"/>
      <c r="L210" s="20"/>
      <c r="M210" s="20"/>
      <c r="N210" s="20"/>
      <c r="O210" s="20"/>
      <c r="P210" s="20"/>
      <c r="Q210" s="20"/>
      <c r="R210" s="20"/>
      <c r="S210" s="20"/>
      <c r="T210" s="20"/>
      <c r="U210" s="20"/>
      <c r="V210" s="20"/>
      <c r="W210" s="20"/>
      <c r="X210" s="20"/>
      <c r="Y210" s="20"/>
      <c r="Z210" s="20"/>
      <c r="AA210" s="20"/>
    </row>
    <row r="211" spans="1:27">
      <c r="A211" s="20"/>
      <c r="B211" s="20"/>
      <c r="C211" s="20"/>
      <c r="D211" s="20"/>
      <c r="E211" s="20"/>
      <c r="F211" s="20"/>
      <c r="G211" s="20"/>
      <c r="H211" s="20"/>
      <c r="I211" s="20"/>
      <c r="J211" s="20"/>
      <c r="K211" s="20"/>
      <c r="L211" s="20"/>
      <c r="M211" s="20"/>
      <c r="N211" s="20"/>
      <c r="O211" s="20"/>
      <c r="P211" s="20"/>
      <c r="Q211" s="20"/>
      <c r="R211" s="20"/>
      <c r="S211" s="20"/>
      <c r="T211" s="20"/>
      <c r="U211" s="20"/>
      <c r="V211" s="20"/>
      <c r="W211" s="20"/>
      <c r="X211" s="20"/>
      <c r="Y211" s="20"/>
      <c r="Z211" s="20"/>
      <c r="AA211" s="20"/>
    </row>
    <row r="212" spans="1:27">
      <c r="A212" s="20"/>
      <c r="B212" s="20"/>
      <c r="C212" s="20"/>
      <c r="D212" s="20"/>
      <c r="E212" s="20"/>
      <c r="F212" s="20"/>
      <c r="G212" s="20"/>
      <c r="H212" s="20"/>
      <c r="I212" s="20"/>
      <c r="J212" s="20"/>
      <c r="K212" s="20"/>
      <c r="L212" s="20"/>
      <c r="M212" s="20"/>
      <c r="N212" s="20"/>
      <c r="O212" s="20"/>
      <c r="P212" s="20"/>
      <c r="Q212" s="20"/>
      <c r="R212" s="20"/>
      <c r="S212" s="20"/>
      <c r="T212" s="20"/>
      <c r="U212" s="20"/>
      <c r="V212" s="20"/>
      <c r="W212" s="20"/>
      <c r="X212" s="20"/>
      <c r="Y212" s="20"/>
      <c r="Z212" s="20"/>
      <c r="AA212" s="20"/>
    </row>
    <row r="213" spans="1:27">
      <c r="A213" s="20"/>
      <c r="B213" s="20"/>
      <c r="C213" s="20"/>
      <c r="D213" s="20"/>
      <c r="E213" s="20"/>
      <c r="F213" s="20"/>
      <c r="G213" s="20"/>
      <c r="H213" s="20"/>
      <c r="I213" s="20"/>
      <c r="J213" s="20"/>
      <c r="K213" s="20"/>
      <c r="L213" s="20"/>
      <c r="M213" s="20"/>
      <c r="N213" s="20"/>
      <c r="O213" s="20"/>
      <c r="P213" s="20"/>
      <c r="Q213" s="20"/>
      <c r="R213" s="20"/>
      <c r="S213" s="20"/>
      <c r="T213" s="20"/>
      <c r="U213" s="20"/>
      <c r="V213" s="20"/>
      <c r="W213" s="20"/>
      <c r="X213" s="20"/>
      <c r="Y213" s="20"/>
      <c r="Z213" s="20"/>
      <c r="AA213" s="20"/>
    </row>
    <row r="214" spans="1:27">
      <c r="A214" s="20"/>
      <c r="B214" s="20"/>
      <c r="C214" s="20"/>
      <c r="D214" s="20"/>
      <c r="E214" s="20"/>
      <c r="F214" s="20"/>
      <c r="G214" s="20"/>
      <c r="H214" s="20"/>
      <c r="I214" s="20"/>
      <c r="J214" s="20"/>
      <c r="K214" s="20"/>
      <c r="L214" s="20"/>
      <c r="M214" s="20"/>
      <c r="N214" s="20"/>
      <c r="O214" s="20"/>
      <c r="P214" s="20"/>
      <c r="Q214" s="20"/>
      <c r="R214" s="20"/>
      <c r="S214" s="20"/>
      <c r="T214" s="20"/>
      <c r="U214" s="20"/>
      <c r="V214" s="20"/>
      <c r="W214" s="20"/>
      <c r="X214" s="20"/>
      <c r="Y214" s="20"/>
      <c r="Z214" s="20"/>
      <c r="AA214" s="20"/>
    </row>
    <row r="215" spans="1:27">
      <c r="A215" s="20"/>
      <c r="B215" s="20"/>
      <c r="C215" s="20"/>
      <c r="D215" s="20"/>
      <c r="E215" s="20"/>
      <c r="F215" s="20"/>
      <c r="G215" s="20"/>
      <c r="H215" s="20"/>
      <c r="I215" s="20"/>
      <c r="J215" s="20"/>
      <c r="K215" s="20"/>
      <c r="L215" s="20"/>
      <c r="M215" s="20"/>
      <c r="N215" s="20"/>
      <c r="O215" s="20"/>
      <c r="P215" s="20"/>
      <c r="Q215" s="20"/>
      <c r="R215" s="20"/>
      <c r="S215" s="20"/>
      <c r="T215" s="20"/>
      <c r="U215" s="20"/>
      <c r="V215" s="20"/>
      <c r="W215" s="20"/>
      <c r="X215" s="20"/>
      <c r="Y215" s="20"/>
      <c r="Z215" s="20"/>
      <c r="AA215" s="20"/>
    </row>
    <row r="216" spans="1:27">
      <c r="A216" s="20"/>
      <c r="B216" s="20"/>
      <c r="C216" s="20"/>
      <c r="D216" s="20"/>
      <c r="E216" s="20"/>
      <c r="F216" s="20"/>
      <c r="G216" s="20"/>
      <c r="H216" s="20"/>
      <c r="I216" s="20"/>
      <c r="J216" s="20"/>
      <c r="K216" s="20"/>
      <c r="L216" s="20"/>
      <c r="M216" s="20"/>
      <c r="N216" s="20"/>
      <c r="O216" s="20"/>
      <c r="P216" s="20"/>
      <c r="Q216" s="20"/>
      <c r="R216" s="20"/>
      <c r="S216" s="20"/>
      <c r="T216" s="20"/>
      <c r="U216" s="20"/>
      <c r="V216" s="20"/>
      <c r="W216" s="20"/>
      <c r="X216" s="20"/>
      <c r="Y216" s="20"/>
      <c r="Z216" s="20"/>
      <c r="AA216" s="20"/>
    </row>
    <row r="217" spans="1:27">
      <c r="A217" s="20"/>
      <c r="B217" s="20"/>
      <c r="C217" s="20"/>
      <c r="D217" s="20"/>
      <c r="E217" s="20"/>
      <c r="F217" s="20"/>
      <c r="G217" s="20"/>
      <c r="H217" s="20"/>
      <c r="I217" s="20"/>
      <c r="J217" s="20"/>
      <c r="K217" s="20"/>
      <c r="L217" s="20"/>
      <c r="M217" s="20"/>
      <c r="N217" s="20"/>
      <c r="O217" s="20"/>
      <c r="P217" s="20"/>
      <c r="Q217" s="20"/>
      <c r="R217" s="20"/>
      <c r="S217" s="20"/>
      <c r="T217" s="20"/>
      <c r="U217" s="20"/>
      <c r="V217" s="20"/>
      <c r="W217" s="20"/>
      <c r="X217" s="20"/>
      <c r="Y217" s="20"/>
      <c r="Z217" s="20"/>
      <c r="AA217" s="20"/>
    </row>
    <row r="218" spans="1:27">
      <c r="A218" s="20"/>
      <c r="B218" s="20"/>
      <c r="C218" s="20"/>
      <c r="D218" s="20"/>
      <c r="E218" s="20"/>
      <c r="F218" s="20"/>
      <c r="G218" s="20"/>
      <c r="H218" s="20"/>
      <c r="I218" s="20"/>
      <c r="J218" s="20"/>
      <c r="K218" s="20"/>
      <c r="L218" s="20"/>
      <c r="M218" s="20"/>
      <c r="N218" s="20"/>
      <c r="O218" s="20"/>
      <c r="P218" s="20"/>
      <c r="Q218" s="20"/>
      <c r="R218" s="20"/>
      <c r="S218" s="20"/>
      <c r="T218" s="20"/>
      <c r="U218" s="20"/>
      <c r="V218" s="20"/>
      <c r="W218" s="20"/>
      <c r="X218" s="20"/>
      <c r="Y218" s="20"/>
      <c r="Z218" s="20"/>
      <c r="AA218" s="20"/>
    </row>
    <row r="219" spans="1:27">
      <c r="A219" s="20"/>
      <c r="B219" s="20"/>
      <c r="C219" s="20"/>
      <c r="D219" s="20"/>
      <c r="E219" s="20"/>
      <c r="F219" s="20"/>
      <c r="G219" s="20"/>
      <c r="H219" s="20"/>
      <c r="I219" s="20"/>
      <c r="J219" s="20"/>
      <c r="K219" s="20"/>
      <c r="L219" s="20"/>
      <c r="M219" s="20"/>
      <c r="N219" s="20"/>
      <c r="O219" s="20"/>
      <c r="P219" s="20"/>
      <c r="Q219" s="20"/>
      <c r="R219" s="20"/>
      <c r="S219" s="20"/>
      <c r="T219" s="20"/>
      <c r="U219" s="20"/>
      <c r="V219" s="20"/>
      <c r="W219" s="20"/>
      <c r="X219" s="20"/>
      <c r="Y219" s="20"/>
      <c r="Z219" s="20"/>
      <c r="AA219" s="20"/>
    </row>
    <row r="220" spans="1:27">
      <c r="A220" s="20"/>
      <c r="B220" s="20"/>
      <c r="C220" s="20"/>
      <c r="D220" s="20"/>
      <c r="E220" s="20"/>
      <c r="F220" s="20"/>
      <c r="G220" s="20"/>
      <c r="H220" s="20"/>
      <c r="I220" s="20"/>
      <c r="J220" s="20"/>
      <c r="K220" s="20"/>
      <c r="L220" s="20"/>
      <c r="M220" s="20"/>
      <c r="N220" s="20"/>
      <c r="O220" s="20"/>
      <c r="P220" s="20"/>
      <c r="Q220" s="20"/>
      <c r="R220" s="20"/>
      <c r="S220" s="20"/>
      <c r="T220" s="20"/>
      <c r="U220" s="20"/>
      <c r="V220" s="20"/>
      <c r="W220" s="20"/>
      <c r="X220" s="20"/>
      <c r="Y220" s="20"/>
      <c r="Z220" s="20"/>
      <c r="AA220" s="20"/>
    </row>
    <row r="221" spans="1:27">
      <c r="A221" s="20"/>
      <c r="B221" s="20"/>
      <c r="C221" s="20"/>
      <c r="D221" s="20"/>
      <c r="E221" s="20"/>
      <c r="F221" s="20"/>
      <c r="G221" s="20"/>
      <c r="H221" s="20"/>
      <c r="I221" s="20"/>
      <c r="J221" s="20"/>
      <c r="K221" s="20"/>
      <c r="L221" s="20"/>
      <c r="M221" s="20"/>
      <c r="N221" s="20"/>
      <c r="O221" s="20"/>
      <c r="P221" s="20"/>
      <c r="Q221" s="20"/>
      <c r="R221" s="20"/>
      <c r="S221" s="20"/>
      <c r="T221" s="20"/>
      <c r="U221" s="20"/>
      <c r="V221" s="20"/>
      <c r="W221" s="20"/>
      <c r="X221" s="20"/>
      <c r="Y221" s="20"/>
      <c r="Z221" s="20"/>
      <c r="AA221" s="20"/>
    </row>
    <row r="222" spans="1:27">
      <c r="A222" s="20"/>
      <c r="B222" s="20"/>
      <c r="C222" s="20"/>
      <c r="D222" s="20"/>
      <c r="E222" s="20"/>
      <c r="F222" s="20"/>
      <c r="G222" s="20"/>
      <c r="H222" s="20"/>
      <c r="I222" s="20"/>
      <c r="J222" s="20"/>
      <c r="K222" s="20"/>
      <c r="L222" s="20"/>
      <c r="M222" s="20"/>
      <c r="N222" s="20"/>
      <c r="O222" s="20"/>
      <c r="U222" s="20"/>
      <c r="V222" s="20"/>
      <c r="W222" s="20"/>
      <c r="X222" s="20"/>
      <c r="Y222" s="20"/>
      <c r="Z222" s="20"/>
      <c r="AA222" s="20"/>
    </row>
    <row r="223" spans="1:27">
      <c r="A223" s="20"/>
      <c r="B223" s="20"/>
      <c r="C223" s="20"/>
      <c r="D223" s="20"/>
      <c r="E223" s="20"/>
      <c r="F223" s="20"/>
      <c r="G223" s="20"/>
      <c r="H223" s="20"/>
      <c r="I223" s="20"/>
      <c r="J223" s="20"/>
      <c r="K223" s="20"/>
      <c r="L223" s="20"/>
      <c r="M223" s="20"/>
      <c r="N223" s="20"/>
      <c r="O223" s="20"/>
    </row>
    <row r="224" spans="1:27">
      <c r="A224" s="20"/>
      <c r="B224" s="20"/>
      <c r="C224" s="20"/>
      <c r="D224" s="20"/>
      <c r="E224" s="20"/>
      <c r="F224" s="20"/>
      <c r="G224" s="20"/>
      <c r="H224" s="20"/>
      <c r="I224" s="20"/>
      <c r="J224" s="20"/>
      <c r="K224" s="20"/>
      <c r="L224" s="20"/>
      <c r="M224" s="20"/>
      <c r="N224" s="20"/>
      <c r="O224" s="20"/>
    </row>
    <row r="225" spans="1:15">
      <c r="A225" s="20"/>
      <c r="B225" s="20"/>
      <c r="C225" s="20"/>
      <c r="D225" s="20"/>
      <c r="E225" s="20"/>
      <c r="F225" s="20"/>
      <c r="G225" s="20"/>
      <c r="H225" s="20"/>
      <c r="I225" s="20"/>
      <c r="J225" s="20"/>
      <c r="K225" s="20"/>
      <c r="L225" s="20"/>
      <c r="M225" s="20"/>
      <c r="N225" s="20"/>
      <c r="O225" s="20"/>
    </row>
    <row r="226" spans="1:15">
      <c r="A226" s="20"/>
      <c r="B226" s="20"/>
      <c r="C226" s="20"/>
      <c r="D226" s="20"/>
      <c r="E226" s="20"/>
      <c r="F226" s="20"/>
      <c r="G226" s="20"/>
      <c r="H226" s="20"/>
      <c r="I226" s="20"/>
      <c r="J226" s="20"/>
      <c r="K226" s="20"/>
      <c r="L226" s="20"/>
      <c r="M226" s="20"/>
      <c r="N226" s="20"/>
      <c r="O226" s="20"/>
    </row>
    <row r="227" spans="1:15">
      <c r="A227" s="20"/>
      <c r="B227" s="20"/>
      <c r="C227" s="20"/>
      <c r="D227" s="20"/>
      <c r="E227" s="20"/>
      <c r="F227" s="20"/>
      <c r="G227" s="20"/>
      <c r="H227" s="20"/>
      <c r="I227" s="20"/>
      <c r="J227" s="20"/>
      <c r="K227" s="20"/>
      <c r="L227" s="20"/>
      <c r="M227" s="20"/>
      <c r="N227" s="20"/>
      <c r="O227" s="20"/>
    </row>
    <row r="228" spans="1:15">
      <c r="A228" s="20"/>
      <c r="B228" s="20"/>
      <c r="C228" s="20"/>
      <c r="D228" s="20"/>
      <c r="E228" s="20"/>
      <c r="F228" s="20"/>
      <c r="G228" s="20"/>
      <c r="H228" s="20"/>
      <c r="I228" s="20"/>
      <c r="J228" s="20"/>
      <c r="K228" s="20"/>
      <c r="L228" s="20"/>
      <c r="M228" s="20"/>
      <c r="N228" s="20"/>
      <c r="O228" s="20"/>
    </row>
    <row r="229" spans="1:15">
      <c r="A229" s="20"/>
      <c r="B229" s="20"/>
      <c r="C229" s="20"/>
      <c r="D229" s="20"/>
      <c r="E229" s="20"/>
      <c r="F229" s="20"/>
      <c r="G229" s="20"/>
      <c r="H229" s="20"/>
      <c r="I229" s="20"/>
      <c r="J229" s="20"/>
      <c r="K229" s="20"/>
      <c r="L229" s="20"/>
      <c r="M229" s="20"/>
      <c r="N229" s="20"/>
      <c r="O229" s="20"/>
    </row>
  </sheetData>
  <sheetProtection algorithmName="SHA-512" hashValue="4eE6gOG0b8HPCBxq/1USrQxQ5MH07qvqvT4pgtPs4Rhx0u61U9XSk1U2hzDJIY/T5sb6rfL3icxL6/gQr5yuAQ==" saltValue="CxjZBZGNuvgwDEYzIBCGLg==" spinCount="100000" sheet="1" selectLockedCells="1"/>
  <mergeCells count="7">
    <mergeCell ref="L20:M20"/>
    <mergeCell ref="L23:M23"/>
    <mergeCell ref="F3:K4"/>
    <mergeCell ref="D6:F6"/>
    <mergeCell ref="D8:F8"/>
    <mergeCell ref="M6:N6"/>
    <mergeCell ref="L15:M15"/>
  </mergeCells>
  <phoneticPr fontId="2" type="noConversion"/>
  <conditionalFormatting sqref="K12">
    <cfRule type="expression" dxfId="198" priority="4" stopIfTrue="1">
      <formula>$K$12</formula>
    </cfRule>
  </conditionalFormatting>
  <conditionalFormatting sqref="L15:M15">
    <cfRule type="expression" dxfId="197" priority="6" stopIfTrue="1">
      <formula>$L$15</formula>
    </cfRule>
  </conditionalFormatting>
  <conditionalFormatting sqref="L23:M23">
    <cfRule type="expression" dxfId="196" priority="7" stopIfTrue="1">
      <formula>$L$23</formula>
    </cfRule>
  </conditionalFormatting>
  <conditionalFormatting sqref="M12">
    <cfRule type="expression" dxfId="195" priority="5" stopIfTrue="1">
      <formula>$M$12</formula>
    </cfRule>
  </conditionalFormatting>
  <conditionalFormatting sqref="M17 L20:M20 M30">
    <cfRule type="cellIs" dxfId="194" priority="3" stopIfTrue="1" operator="equal">
      <formula>0</formula>
    </cfRule>
  </conditionalFormatting>
  <conditionalFormatting sqref="A223:U229 A16:O24 R16:T24 A1:AA1 A2:T15 A25:T222 U2:AA222">
    <cfRule type="expression" dxfId="193" priority="2" stopIfTrue="1">
      <formula>AND(A1&lt;&gt;"",OR(A1=0,A1="0"))</formula>
    </cfRule>
  </conditionalFormatting>
  <hyperlinks>
    <hyperlink ref="P30" location="'Guía de trabajo'!A20" display="'Guía de trabajo'!A20" xr:uid="{00000000-0004-0000-0500-000000000000}"/>
  </hyperlinks>
  <pageMargins left="0.74803149606299213" right="0.74803149606299213" top="0.98425196850393704" bottom="0.98425196850393704" header="0.47244094488188981" footer="0"/>
  <pageSetup paperSize="9" orientation="portrait" blackAndWhite="1" horizontalDpi="120" verticalDpi="144" r:id="rId1"/>
  <headerFooter alignWithMargins="0">
    <oddHeader xml:space="preserve">&amp;LPREFECTURA NAVAL ARGENTINA
</oddHeader>
  </headerFooter>
  <drawing r:id="rId2"/>
  <legacyDrawing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6"/>
  <dimension ref="A1:Y265"/>
  <sheetViews>
    <sheetView zoomScale="130" zoomScaleNormal="130" zoomScaleSheetLayoutView="120" workbookViewId="0">
      <selection activeCell="L18" sqref="L18:M18"/>
    </sheetView>
  </sheetViews>
  <sheetFormatPr baseColWidth="10" defaultRowHeight="13.2"/>
  <cols>
    <col min="1" max="3" width="5.6640625" customWidth="1"/>
    <col min="4" max="4" width="4.88671875" customWidth="1"/>
    <col min="5" max="6" width="5.6640625" customWidth="1"/>
    <col min="7" max="7" width="5.33203125" customWidth="1"/>
    <col min="8" max="8" width="5.6640625" customWidth="1"/>
    <col min="9" max="9" width="7" customWidth="1"/>
    <col min="10" max="12" width="5.6640625" customWidth="1"/>
    <col min="13" max="13" width="6.109375" customWidth="1"/>
    <col min="14" max="14" width="5.6640625" customWidth="1"/>
    <col min="15" max="15" width="3.44140625" customWidth="1"/>
    <col min="16" max="16" width="6.5546875" customWidth="1"/>
    <col min="17" max="17" width="11.44140625" hidden="1" customWidth="1"/>
  </cols>
  <sheetData>
    <row r="1" spans="1:25" ht="13.8" thickBot="1">
      <c r="A1" s="3"/>
      <c r="B1" s="3"/>
      <c r="C1" s="3"/>
      <c r="D1" s="3"/>
      <c r="E1" s="3"/>
      <c r="F1" s="3"/>
      <c r="G1" s="3"/>
      <c r="H1" s="3"/>
      <c r="I1" s="3"/>
      <c r="J1" s="3"/>
      <c r="K1" s="3"/>
      <c r="L1" s="3"/>
      <c r="M1" s="3"/>
      <c r="N1" s="3"/>
      <c r="O1" s="3"/>
      <c r="P1" s="20"/>
      <c r="Q1" s="20"/>
      <c r="R1" s="20"/>
      <c r="S1" s="20"/>
      <c r="T1" s="20"/>
      <c r="U1" s="20"/>
      <c r="V1" s="20"/>
      <c r="W1" s="20"/>
      <c r="X1" s="20"/>
      <c r="Y1" s="20"/>
    </row>
    <row r="2" spans="1:25" ht="13.8" thickTop="1">
      <c r="A2" s="192"/>
      <c r="B2" s="191"/>
      <c r="C2" s="191"/>
      <c r="D2" s="191"/>
      <c r="E2" s="191"/>
      <c r="F2" s="191"/>
      <c r="G2" s="191"/>
      <c r="H2" s="191"/>
      <c r="I2" s="191"/>
      <c r="J2" s="191"/>
      <c r="K2" s="191"/>
      <c r="L2" s="191"/>
      <c r="M2" s="191"/>
      <c r="N2" s="191"/>
      <c r="O2" s="201"/>
      <c r="P2" s="20"/>
      <c r="Q2" s="20"/>
      <c r="R2" s="20"/>
      <c r="S2" s="20"/>
      <c r="T2" s="20"/>
      <c r="U2" s="20"/>
      <c r="V2" s="20"/>
      <c r="W2" s="20"/>
      <c r="X2" s="20"/>
      <c r="Y2" s="20"/>
    </row>
    <row r="3" spans="1:25">
      <c r="A3" s="193"/>
      <c r="B3" s="168"/>
      <c r="C3" s="168"/>
      <c r="D3" s="380" t="s">
        <v>143</v>
      </c>
      <c r="E3" s="369"/>
      <c r="F3" s="369"/>
      <c r="G3" s="369"/>
      <c r="H3" s="369"/>
      <c r="I3" s="369"/>
      <c r="J3" s="369"/>
      <c r="K3" s="369"/>
      <c r="L3" s="369"/>
      <c r="M3" s="369"/>
      <c r="N3" s="168"/>
      <c r="O3" s="201"/>
      <c r="P3" s="20"/>
      <c r="Q3" s="20"/>
      <c r="R3" s="20"/>
      <c r="S3" s="20"/>
      <c r="T3" s="20"/>
      <c r="U3" s="20"/>
      <c r="V3" s="20"/>
      <c r="W3" s="20"/>
      <c r="X3" s="20"/>
      <c r="Y3" s="20"/>
    </row>
    <row r="4" spans="1:25">
      <c r="A4" s="194"/>
      <c r="B4" s="168"/>
      <c r="C4" s="168"/>
      <c r="D4" s="168"/>
      <c r="E4" s="168"/>
      <c r="F4" s="168"/>
      <c r="G4" s="168"/>
      <c r="H4" s="168"/>
      <c r="I4" s="168"/>
      <c r="J4" s="168"/>
      <c r="K4" s="168"/>
      <c r="L4" s="168"/>
      <c r="M4" s="168"/>
      <c r="N4" s="168"/>
      <c r="O4" s="201"/>
      <c r="P4" s="20"/>
      <c r="Q4" s="20"/>
      <c r="R4" s="20"/>
      <c r="S4" s="20"/>
      <c r="T4" s="20"/>
      <c r="U4" s="20"/>
      <c r="V4" s="20"/>
      <c r="W4" s="20"/>
      <c r="X4" s="20"/>
      <c r="Y4" s="20"/>
    </row>
    <row r="5" spans="1:25">
      <c r="A5" s="193"/>
      <c r="B5" s="168"/>
      <c r="C5" s="168"/>
      <c r="D5" s="168"/>
      <c r="E5" s="168"/>
      <c r="F5" s="168"/>
      <c r="G5" s="168"/>
      <c r="H5" s="168"/>
      <c r="I5" s="168"/>
      <c r="J5" s="168"/>
      <c r="K5" s="168"/>
      <c r="L5" s="168"/>
      <c r="M5" s="168"/>
      <c r="N5" s="168"/>
      <c r="O5" s="201"/>
      <c r="P5" s="20"/>
      <c r="Q5" s="20"/>
      <c r="R5" s="20"/>
      <c r="S5" s="20"/>
      <c r="T5" s="20"/>
      <c r="U5" s="20"/>
      <c r="V5" s="20"/>
      <c r="W5" s="20"/>
      <c r="X5" s="20"/>
      <c r="Y5" s="20"/>
    </row>
    <row r="6" spans="1:25">
      <c r="A6" s="193"/>
      <c r="B6" s="168"/>
      <c r="C6" s="168"/>
      <c r="D6" s="168"/>
      <c r="E6" s="168"/>
      <c r="F6" s="168"/>
      <c r="G6" s="168"/>
      <c r="H6" s="168"/>
      <c r="I6" s="168"/>
      <c r="J6" s="168"/>
      <c r="K6" s="168"/>
      <c r="L6" s="168"/>
      <c r="M6" s="168"/>
      <c r="N6" s="168"/>
      <c r="O6" s="201"/>
      <c r="P6" s="20"/>
      <c r="Q6" s="20"/>
      <c r="R6" s="20"/>
      <c r="S6" s="20"/>
      <c r="T6" s="20"/>
      <c r="U6" s="20"/>
      <c r="V6" s="20"/>
      <c r="W6" s="20"/>
      <c r="X6" s="20"/>
      <c r="Y6" s="20"/>
    </row>
    <row r="7" spans="1:25">
      <c r="A7" s="213" t="s">
        <v>0</v>
      </c>
      <c r="B7" s="206"/>
      <c r="C7" s="206"/>
      <c r="D7" s="310">
        <f>Datum!D7</f>
        <v>0</v>
      </c>
      <c r="E7" s="310"/>
      <c r="F7" s="310"/>
      <c r="G7" s="206"/>
      <c r="H7" s="206" t="s">
        <v>1</v>
      </c>
      <c r="I7" s="206"/>
      <c r="J7" s="1">
        <f>Datum!J7</f>
        <v>0</v>
      </c>
      <c r="K7" s="206"/>
      <c r="L7" s="206" t="s">
        <v>2</v>
      </c>
      <c r="M7" s="311">
        <f>Datum!N7</f>
        <v>0</v>
      </c>
      <c r="N7" s="312"/>
      <c r="O7" s="201"/>
      <c r="P7" s="20"/>
      <c r="Q7" s="20"/>
      <c r="R7" s="20"/>
      <c r="S7" s="20"/>
      <c r="T7" s="20"/>
      <c r="U7" s="20"/>
      <c r="V7" s="20"/>
      <c r="W7" s="20"/>
      <c r="X7" s="20"/>
      <c r="Y7" s="20"/>
    </row>
    <row r="8" spans="1:25">
      <c r="A8" s="193"/>
      <c r="B8" s="168"/>
      <c r="C8" s="168"/>
      <c r="D8" s="168"/>
      <c r="E8" s="168"/>
      <c r="F8" s="168"/>
      <c r="G8" s="168"/>
      <c r="H8" s="168"/>
      <c r="I8" s="168"/>
      <c r="J8" s="168"/>
      <c r="K8" s="168"/>
      <c r="L8" s="168"/>
      <c r="M8" s="168"/>
      <c r="N8" s="168"/>
      <c r="O8" s="201"/>
      <c r="P8" s="20"/>
      <c r="Q8" s="20"/>
      <c r="R8" s="20"/>
      <c r="S8" s="20"/>
      <c r="T8" s="20"/>
      <c r="U8" s="20"/>
      <c r="V8" s="20"/>
      <c r="W8" s="20"/>
      <c r="X8" s="20"/>
      <c r="Y8" s="20"/>
    </row>
    <row r="9" spans="1:25">
      <c r="A9" s="213" t="s">
        <v>3</v>
      </c>
      <c r="B9" s="206"/>
      <c r="C9" s="206"/>
      <c r="D9" s="310">
        <f>Datum!D9</f>
        <v>0</v>
      </c>
      <c r="E9" s="310"/>
      <c r="F9" s="310"/>
      <c r="G9" s="206"/>
      <c r="H9" s="206" t="s">
        <v>4</v>
      </c>
      <c r="I9" s="206"/>
      <c r="J9" s="1">
        <f>Datum!J9</f>
        <v>0</v>
      </c>
      <c r="K9" s="206" t="s">
        <v>5</v>
      </c>
      <c r="L9" s="168"/>
      <c r="M9" s="206"/>
      <c r="N9" s="1">
        <f>Datum!P9</f>
        <v>0</v>
      </c>
      <c r="O9" s="201"/>
      <c r="P9" s="20"/>
      <c r="Q9" s="20"/>
      <c r="R9" s="20"/>
      <c r="S9" s="20"/>
      <c r="T9" s="20"/>
      <c r="U9" s="20"/>
      <c r="V9" s="20"/>
      <c r="W9" s="20"/>
      <c r="X9" s="20"/>
      <c r="Y9" s="20"/>
    </row>
    <row r="10" spans="1:25">
      <c r="A10" s="193"/>
      <c r="B10" s="168"/>
      <c r="C10" s="168"/>
      <c r="D10" s="168"/>
      <c r="E10" s="168"/>
      <c r="F10" s="168"/>
      <c r="G10" s="168"/>
      <c r="H10" s="168"/>
      <c r="I10" s="168"/>
      <c r="J10" s="168"/>
      <c r="K10" s="168"/>
      <c r="L10" s="168"/>
      <c r="M10" s="168"/>
      <c r="N10" s="168"/>
      <c r="O10" s="201"/>
      <c r="P10" s="20"/>
      <c r="Q10" s="20"/>
      <c r="R10" s="20"/>
      <c r="S10" s="20"/>
      <c r="T10" s="20"/>
      <c r="U10" s="20"/>
      <c r="V10" s="20"/>
      <c r="W10" s="20"/>
      <c r="X10" s="20"/>
      <c r="Y10" s="20"/>
    </row>
    <row r="11" spans="1:25">
      <c r="A11" s="213" t="s">
        <v>6</v>
      </c>
      <c r="B11" s="168"/>
      <c r="C11" s="168"/>
      <c r="D11" s="372">
        <f>Datum!D11</f>
        <v>0</v>
      </c>
      <c r="E11" s="372"/>
      <c r="F11" s="372"/>
      <c r="G11" s="372"/>
      <c r="H11" s="372"/>
      <c r="I11" s="372"/>
      <c r="J11" s="168"/>
      <c r="K11" s="168"/>
      <c r="L11" s="168"/>
      <c r="M11" s="168"/>
      <c r="N11" s="168"/>
      <c r="O11" s="201"/>
      <c r="P11" s="20"/>
      <c r="Q11" s="20"/>
      <c r="R11" s="20"/>
      <c r="S11" s="20"/>
      <c r="T11" s="20"/>
      <c r="U11" s="20"/>
      <c r="V11" s="20"/>
      <c r="W11" s="20"/>
      <c r="X11" s="20"/>
      <c r="Y11" s="20"/>
    </row>
    <row r="12" spans="1:25">
      <c r="A12" s="193"/>
      <c r="B12" s="168"/>
      <c r="C12" s="168"/>
      <c r="D12" s="168"/>
      <c r="E12" s="168"/>
      <c r="F12" s="168"/>
      <c r="G12" s="168"/>
      <c r="H12" s="168"/>
      <c r="I12" s="168"/>
      <c r="J12" s="168"/>
      <c r="K12" s="168"/>
      <c r="L12" s="168"/>
      <c r="M12" s="168"/>
      <c r="N12" s="168"/>
      <c r="O12" s="201"/>
      <c r="P12" s="20"/>
      <c r="Q12" s="20"/>
      <c r="R12" s="20"/>
      <c r="S12" s="20"/>
      <c r="T12" s="20"/>
      <c r="U12" s="20"/>
      <c r="V12" s="20"/>
      <c r="W12" s="20"/>
      <c r="X12" s="20"/>
      <c r="Y12" s="20"/>
    </row>
    <row r="13" spans="1:25">
      <c r="A13" s="193"/>
      <c r="B13" s="172">
        <v>1</v>
      </c>
      <c r="C13" s="206" t="s">
        <v>129</v>
      </c>
      <c r="D13" s="206"/>
      <c r="E13" s="206"/>
      <c r="F13" s="206"/>
      <c r="G13" s="206"/>
      <c r="H13" s="206"/>
      <c r="I13" s="206"/>
      <c r="J13" s="206"/>
      <c r="K13" s="145">
        <f>VMS!J38</f>
        <v>0</v>
      </c>
      <c r="L13" s="172" t="s">
        <v>29</v>
      </c>
      <c r="M13" s="149">
        <f>VMS!M38</f>
        <v>0</v>
      </c>
      <c r="N13" s="206" t="s">
        <v>30</v>
      </c>
      <c r="O13" s="222"/>
      <c r="P13" s="20"/>
      <c r="Q13" s="20"/>
      <c r="R13" s="20"/>
      <c r="S13" s="20"/>
      <c r="T13" s="20"/>
      <c r="U13" s="20"/>
      <c r="V13" s="20"/>
      <c r="W13" s="20"/>
      <c r="X13" s="20"/>
      <c r="Y13" s="20"/>
    </row>
    <row r="14" spans="1:25">
      <c r="A14" s="193"/>
      <c r="B14" s="168"/>
      <c r="C14" s="206" t="s">
        <v>130</v>
      </c>
      <c r="D14" s="206"/>
      <c r="E14" s="206"/>
      <c r="F14" s="206"/>
      <c r="G14" s="206"/>
      <c r="H14" s="206"/>
      <c r="I14" s="206"/>
      <c r="J14" s="206"/>
      <c r="K14" s="206"/>
      <c r="L14" s="206"/>
      <c r="M14" s="168"/>
      <c r="N14" s="177"/>
      <c r="O14" s="221"/>
      <c r="P14" s="20"/>
      <c r="Q14" s="20"/>
      <c r="R14" s="20"/>
      <c r="S14" s="20"/>
      <c r="T14" s="20"/>
      <c r="U14" s="20"/>
      <c r="V14" s="20"/>
      <c r="W14" s="20"/>
      <c r="X14" s="20"/>
      <c r="Y14" s="20"/>
    </row>
    <row r="15" spans="1:25">
      <c r="A15" s="193"/>
      <c r="B15" s="168"/>
      <c r="C15" s="206"/>
      <c r="D15" s="206"/>
      <c r="E15" s="206"/>
      <c r="F15" s="206"/>
      <c r="G15" s="206"/>
      <c r="H15" s="206"/>
      <c r="I15" s="206"/>
      <c r="J15" s="206"/>
      <c r="K15" s="206"/>
      <c r="L15" s="206"/>
      <c r="M15" s="168"/>
      <c r="N15" s="177"/>
      <c r="O15" s="221"/>
      <c r="P15" s="20"/>
      <c r="Q15" s="20"/>
      <c r="R15" s="20"/>
      <c r="S15" s="20"/>
      <c r="T15" s="20"/>
      <c r="U15" s="20"/>
      <c r="V15" s="20"/>
      <c r="W15" s="20"/>
      <c r="X15" s="20"/>
      <c r="Y15" s="20"/>
    </row>
    <row r="16" spans="1:25">
      <c r="A16" s="193"/>
      <c r="B16" s="172">
        <v>2</v>
      </c>
      <c r="C16" s="206" t="s">
        <v>131</v>
      </c>
      <c r="D16" s="168"/>
      <c r="E16" s="168"/>
      <c r="F16" s="168"/>
      <c r="G16" s="168"/>
      <c r="H16" s="168"/>
      <c r="I16" s="168"/>
      <c r="J16" s="168"/>
      <c r="K16" s="168"/>
      <c r="L16" s="312">
        <f>IF(K13=0,0,IF(K13&gt;=181,K13-180,K13+180))</f>
        <v>0</v>
      </c>
      <c r="M16" s="312"/>
      <c r="N16" s="172" t="s">
        <v>29</v>
      </c>
      <c r="O16" s="228"/>
      <c r="P16" s="20"/>
      <c r="Q16" s="20"/>
      <c r="R16" s="20"/>
      <c r="S16" s="20"/>
      <c r="T16" s="20"/>
      <c r="U16" s="20"/>
      <c r="V16" s="20"/>
      <c r="W16" s="20"/>
      <c r="X16" s="20"/>
      <c r="Y16" s="20"/>
    </row>
    <row r="17" spans="1:25">
      <c r="A17" s="193"/>
      <c r="B17" s="172"/>
      <c r="C17" s="206"/>
      <c r="D17" s="168"/>
      <c r="E17" s="168"/>
      <c r="F17" s="168"/>
      <c r="G17" s="168"/>
      <c r="H17" s="168"/>
      <c r="I17" s="168"/>
      <c r="J17" s="168"/>
      <c r="K17" s="168"/>
      <c r="L17" s="211"/>
      <c r="M17" s="168"/>
      <c r="N17" s="168"/>
      <c r="O17" s="201"/>
      <c r="P17" s="20"/>
      <c r="Q17" s="20"/>
      <c r="R17" s="20"/>
      <c r="S17" s="20"/>
      <c r="T17" s="20"/>
      <c r="U17" s="20"/>
      <c r="V17" s="20"/>
      <c r="W17" s="20"/>
      <c r="X17" s="20"/>
      <c r="Y17" s="20"/>
    </row>
    <row r="18" spans="1:25">
      <c r="A18" s="193"/>
      <c r="B18" s="172">
        <v>3</v>
      </c>
      <c r="C18" s="206" t="s">
        <v>144</v>
      </c>
      <c r="D18" s="168"/>
      <c r="E18" s="168"/>
      <c r="F18" s="168"/>
      <c r="G18" s="168"/>
      <c r="H18" s="168"/>
      <c r="I18" s="168"/>
      <c r="J18" s="168"/>
      <c r="K18" s="168"/>
      <c r="L18" s="379"/>
      <c r="M18" s="379"/>
      <c r="N18" s="170" t="s">
        <v>30</v>
      </c>
      <c r="O18" s="204"/>
      <c r="P18" s="20"/>
      <c r="Q18" s="20"/>
      <c r="R18" s="20"/>
      <c r="S18" s="20"/>
      <c r="T18" s="20"/>
      <c r="U18" s="20"/>
      <c r="V18" s="20"/>
      <c r="W18" s="20"/>
      <c r="X18" s="20"/>
      <c r="Y18" s="20"/>
    </row>
    <row r="19" spans="1:25">
      <c r="A19" s="193"/>
      <c r="B19" s="168"/>
      <c r="C19" s="170" t="s">
        <v>145</v>
      </c>
      <c r="D19" s="168"/>
      <c r="E19" s="168"/>
      <c r="F19" s="168"/>
      <c r="G19" s="168"/>
      <c r="H19" s="168"/>
      <c r="I19" s="168"/>
      <c r="J19" s="168"/>
      <c r="K19" s="168"/>
      <c r="L19" s="168"/>
      <c r="M19" s="168"/>
      <c r="N19" s="168"/>
      <c r="O19" s="201"/>
      <c r="P19" s="20"/>
      <c r="Q19" s="20"/>
      <c r="R19" s="20"/>
      <c r="S19" s="20"/>
      <c r="T19" s="20"/>
      <c r="U19" s="20"/>
      <c r="V19" s="20"/>
      <c r="W19" s="20"/>
      <c r="X19" s="20"/>
      <c r="Y19" s="20"/>
    </row>
    <row r="20" spans="1:25">
      <c r="A20" s="194"/>
      <c r="B20" s="169"/>
      <c r="C20" s="169"/>
      <c r="D20" s="168"/>
      <c r="E20" s="168"/>
      <c r="F20" s="168"/>
      <c r="G20" s="168"/>
      <c r="H20" s="168"/>
      <c r="I20" s="168"/>
      <c r="J20" s="168"/>
      <c r="K20" s="168"/>
      <c r="L20" s="168"/>
      <c r="M20" s="168"/>
      <c r="N20" s="168"/>
      <c r="O20" s="201"/>
      <c r="P20" s="20"/>
      <c r="Q20" s="20"/>
      <c r="R20" s="20"/>
      <c r="S20" s="20"/>
      <c r="T20" s="20"/>
      <c r="U20" s="20"/>
      <c r="V20" s="20"/>
      <c r="W20" s="20"/>
      <c r="X20" s="20"/>
      <c r="Y20" s="20"/>
    </row>
    <row r="21" spans="1:25">
      <c r="A21" s="193"/>
      <c r="B21" s="172">
        <v>4</v>
      </c>
      <c r="C21" s="170" t="s">
        <v>146</v>
      </c>
      <c r="D21" s="168"/>
      <c r="E21" s="168"/>
      <c r="F21" s="168"/>
      <c r="G21" s="168"/>
      <c r="H21" s="168"/>
      <c r="I21" s="168"/>
      <c r="J21" s="168"/>
      <c r="K21" s="174" t="s">
        <v>134</v>
      </c>
      <c r="L21" s="305">
        <v>0</v>
      </c>
      <c r="M21" s="305"/>
      <c r="N21" s="172" t="s">
        <v>135</v>
      </c>
      <c r="O21" s="228"/>
      <c r="P21" s="20"/>
      <c r="Q21" s="20"/>
      <c r="R21" s="20"/>
      <c r="S21" s="20"/>
      <c r="T21" s="20"/>
      <c r="U21" s="20"/>
      <c r="V21" s="20"/>
      <c r="W21" s="20"/>
      <c r="X21" s="20"/>
      <c r="Y21" s="20"/>
    </row>
    <row r="22" spans="1:25">
      <c r="A22" s="193"/>
      <c r="B22" s="172"/>
      <c r="C22" s="170" t="s">
        <v>145</v>
      </c>
      <c r="D22" s="168"/>
      <c r="E22" s="168"/>
      <c r="F22" s="168"/>
      <c r="G22" s="168"/>
      <c r="H22" s="168"/>
      <c r="I22" s="168"/>
      <c r="J22" s="168"/>
      <c r="K22" s="168"/>
      <c r="L22" s="211"/>
      <c r="M22" s="168"/>
      <c r="N22" s="168"/>
      <c r="O22" s="201"/>
      <c r="P22" s="20"/>
      <c r="Q22" s="20"/>
      <c r="R22" s="20"/>
      <c r="S22" s="20"/>
      <c r="T22" s="20"/>
      <c r="U22" s="20"/>
      <c r="V22" s="20"/>
      <c r="W22" s="20"/>
      <c r="X22" s="20"/>
      <c r="Y22" s="20"/>
    </row>
    <row r="23" spans="1:25">
      <c r="A23" s="193"/>
      <c r="B23" s="168"/>
      <c r="C23" s="168"/>
      <c r="D23" s="168"/>
      <c r="E23" s="168"/>
      <c r="F23" s="168"/>
      <c r="G23" s="168"/>
      <c r="H23" s="168"/>
      <c r="I23" s="168"/>
      <c r="J23" s="168"/>
      <c r="K23" s="168"/>
      <c r="L23" s="168"/>
      <c r="M23" s="168"/>
      <c r="N23" s="168"/>
      <c r="O23" s="201"/>
      <c r="P23" s="20"/>
      <c r="Q23" s="20"/>
      <c r="R23" s="20"/>
      <c r="S23" s="20"/>
      <c r="T23" s="20"/>
      <c r="U23" s="20"/>
      <c r="V23" s="20"/>
      <c r="W23" s="20"/>
      <c r="X23" s="20"/>
      <c r="Y23" s="20"/>
    </row>
    <row r="24" spans="1:25">
      <c r="A24" s="193"/>
      <c r="B24" s="172">
        <v>5</v>
      </c>
      <c r="C24" s="206" t="s">
        <v>147</v>
      </c>
      <c r="D24" s="168"/>
      <c r="E24" s="168"/>
      <c r="F24" s="168"/>
      <c r="G24" s="168"/>
      <c r="H24" s="168"/>
      <c r="I24" s="168"/>
      <c r="J24" s="168"/>
      <c r="K24" s="168"/>
      <c r="L24" s="168"/>
      <c r="M24" s="168"/>
      <c r="N24" s="206"/>
      <c r="O24" s="222"/>
      <c r="P24" s="20"/>
      <c r="Q24" s="20">
        <f>L16-L21</f>
        <v>0</v>
      </c>
      <c r="R24" s="20"/>
      <c r="S24" s="20"/>
      <c r="T24" s="20"/>
      <c r="U24" s="20"/>
      <c r="V24" s="20"/>
      <c r="W24" s="20"/>
      <c r="X24" s="20"/>
      <c r="Y24" s="20"/>
    </row>
    <row r="25" spans="1:25">
      <c r="A25" s="193"/>
      <c r="B25" s="168"/>
      <c r="C25" s="168"/>
      <c r="D25" s="168"/>
      <c r="E25" s="168"/>
      <c r="F25" s="168"/>
      <c r="G25" s="168"/>
      <c r="H25" s="168"/>
      <c r="I25" s="168"/>
      <c r="J25" s="168"/>
      <c r="K25" s="168"/>
      <c r="L25" s="168"/>
      <c r="M25" s="168"/>
      <c r="N25" s="168"/>
      <c r="O25" s="201"/>
      <c r="P25" s="20"/>
      <c r="Q25" s="20">
        <f>L16+L21</f>
        <v>0</v>
      </c>
      <c r="R25" s="20"/>
      <c r="S25" s="20"/>
      <c r="T25" s="20"/>
      <c r="U25" s="20"/>
      <c r="V25" s="20"/>
      <c r="W25" s="20"/>
      <c r="X25" s="20"/>
      <c r="Y25" s="20"/>
    </row>
    <row r="26" spans="1:25">
      <c r="A26" s="194"/>
      <c r="B26" s="218" t="s">
        <v>105</v>
      </c>
      <c r="C26" s="170" t="s">
        <v>148</v>
      </c>
      <c r="D26" s="168"/>
      <c r="E26" s="168"/>
      <c r="F26" s="168"/>
      <c r="G26" s="168"/>
      <c r="H26" s="168"/>
      <c r="I26" s="168"/>
      <c r="J26" s="168"/>
      <c r="K26" s="168"/>
      <c r="L26" s="312">
        <f>IF(Q24&lt;0,Q24+360,Q24)</f>
        <v>0</v>
      </c>
      <c r="M26" s="312"/>
      <c r="N26" s="177" t="s">
        <v>29</v>
      </c>
      <c r="O26" s="221"/>
      <c r="P26" s="20"/>
      <c r="Q26" s="20"/>
      <c r="R26" s="20"/>
      <c r="S26" s="20"/>
      <c r="T26" s="20"/>
      <c r="U26" s="20"/>
      <c r="V26" s="20"/>
      <c r="W26" s="20"/>
      <c r="X26" s="20"/>
      <c r="Y26" s="20"/>
    </row>
    <row r="27" spans="1:25">
      <c r="A27" s="193"/>
      <c r="B27" s="206"/>
      <c r="C27" s="168"/>
      <c r="D27" s="168"/>
      <c r="E27" s="168"/>
      <c r="F27" s="168"/>
      <c r="G27" s="168"/>
      <c r="H27" s="168"/>
      <c r="I27" s="168"/>
      <c r="J27" s="168"/>
      <c r="K27" s="168"/>
      <c r="L27" s="168"/>
      <c r="M27" s="168"/>
      <c r="N27" s="168"/>
      <c r="O27" s="201"/>
      <c r="P27" s="20"/>
      <c r="Q27" s="20"/>
      <c r="R27" s="20"/>
      <c r="S27" s="20"/>
      <c r="T27" s="20"/>
      <c r="U27" s="20"/>
      <c r="V27" s="20"/>
      <c r="W27" s="20"/>
      <c r="X27" s="20"/>
      <c r="Y27" s="20"/>
    </row>
    <row r="28" spans="1:25">
      <c r="A28" s="193"/>
      <c r="B28" s="218" t="s">
        <v>107</v>
      </c>
      <c r="C28" s="170" t="s">
        <v>149</v>
      </c>
      <c r="D28" s="168"/>
      <c r="E28" s="168"/>
      <c r="F28" s="168"/>
      <c r="G28" s="168"/>
      <c r="H28" s="168"/>
      <c r="I28" s="168"/>
      <c r="J28" s="168"/>
      <c r="K28" s="168"/>
      <c r="L28" s="312">
        <f>IF(Q25&gt;=360,Q25-360,Q25)</f>
        <v>0</v>
      </c>
      <c r="M28" s="312"/>
      <c r="N28" s="177" t="s">
        <v>29</v>
      </c>
      <c r="O28" s="221"/>
      <c r="P28" s="20"/>
      <c r="Q28" s="20"/>
      <c r="R28" s="20"/>
      <c r="S28" s="20"/>
      <c r="T28" s="20"/>
      <c r="U28" s="20"/>
      <c r="V28" s="20"/>
      <c r="W28" s="20"/>
      <c r="X28" s="20"/>
      <c r="Y28" s="20"/>
    </row>
    <row r="29" spans="1:25">
      <c r="A29" s="193"/>
      <c r="B29" s="172"/>
      <c r="C29" s="206"/>
      <c r="D29" s="168"/>
      <c r="E29" s="168"/>
      <c r="F29" s="168"/>
      <c r="G29" s="168"/>
      <c r="H29" s="168"/>
      <c r="I29" s="168"/>
      <c r="J29" s="168"/>
      <c r="K29" s="168"/>
      <c r="L29" s="177"/>
      <c r="M29" s="168"/>
      <c r="N29" s="206"/>
      <c r="O29" s="222"/>
      <c r="P29" s="20"/>
      <c r="Q29" s="20"/>
      <c r="R29" s="20"/>
      <c r="S29" s="20"/>
      <c r="T29" s="20"/>
      <c r="U29" s="20"/>
      <c r="V29" s="20"/>
      <c r="W29" s="20"/>
      <c r="X29" s="20"/>
      <c r="Y29" s="20"/>
    </row>
    <row r="30" spans="1:25">
      <c r="A30" s="193"/>
      <c r="B30" s="172">
        <v>6</v>
      </c>
      <c r="C30" s="170" t="s">
        <v>37</v>
      </c>
      <c r="D30" s="168"/>
      <c r="E30" s="168"/>
      <c r="F30" s="168"/>
      <c r="G30" s="168"/>
      <c r="H30" s="168"/>
      <c r="I30" s="168"/>
      <c r="J30" s="168"/>
      <c r="K30" s="168"/>
      <c r="L30" s="168"/>
      <c r="M30" s="168"/>
      <c r="N30" s="168"/>
      <c r="O30" s="201"/>
      <c r="P30" s="20"/>
      <c r="Q30" s="20"/>
      <c r="R30" s="20"/>
      <c r="S30" s="20"/>
      <c r="T30" s="20"/>
      <c r="U30" s="20"/>
      <c r="V30" s="20"/>
      <c r="W30" s="20"/>
      <c r="X30" s="20"/>
      <c r="Y30" s="20"/>
    </row>
    <row r="31" spans="1:25">
      <c r="A31" s="193"/>
      <c r="B31" s="172"/>
      <c r="C31" s="206"/>
      <c r="D31" s="168"/>
      <c r="E31" s="168"/>
      <c r="F31" s="168"/>
      <c r="G31" s="168"/>
      <c r="H31" s="168"/>
      <c r="I31" s="168"/>
      <c r="J31" s="168"/>
      <c r="K31" s="168"/>
      <c r="L31" s="168"/>
      <c r="M31" s="168"/>
      <c r="N31" s="206"/>
      <c r="O31" s="222"/>
      <c r="P31" s="20"/>
      <c r="Q31" s="20"/>
      <c r="R31" s="20"/>
      <c r="S31" s="20"/>
      <c r="T31" s="20"/>
      <c r="U31" s="20"/>
      <c r="V31" s="20"/>
      <c r="W31" s="20"/>
      <c r="X31" s="20"/>
      <c r="Y31" s="20"/>
    </row>
    <row r="32" spans="1:25">
      <c r="A32" s="193"/>
      <c r="B32" s="218" t="s">
        <v>105</v>
      </c>
      <c r="C32" s="170" t="s">
        <v>150</v>
      </c>
      <c r="D32" s="168"/>
      <c r="E32" s="168"/>
      <c r="F32" s="168"/>
      <c r="G32" s="168"/>
      <c r="H32" s="168"/>
      <c r="I32" s="168"/>
      <c r="J32" s="168"/>
      <c r="K32" s="5" t="str">
        <f>IF(L18=0,"0",L26)</f>
        <v>0</v>
      </c>
      <c r="L32" s="177" t="s">
        <v>29</v>
      </c>
      <c r="M32" s="9">
        <f>L18</f>
        <v>0</v>
      </c>
      <c r="N32" s="206" t="s">
        <v>30</v>
      </c>
      <c r="O32" s="222"/>
      <c r="P32" s="20"/>
      <c r="Q32" s="20"/>
      <c r="R32" s="20"/>
      <c r="S32" s="20"/>
      <c r="T32" s="20"/>
      <c r="U32" s="20"/>
      <c r="V32" s="20"/>
      <c r="W32" s="20"/>
      <c r="X32" s="20"/>
      <c r="Y32" s="20"/>
    </row>
    <row r="33" spans="1:25">
      <c r="A33" s="194"/>
      <c r="B33" s="206"/>
      <c r="C33" s="168"/>
      <c r="D33" s="168"/>
      <c r="E33" s="168"/>
      <c r="F33" s="168"/>
      <c r="G33" s="168"/>
      <c r="H33" s="168"/>
      <c r="I33" s="168"/>
      <c r="J33" s="168"/>
      <c r="K33" s="168"/>
      <c r="L33" s="168"/>
      <c r="M33" s="168"/>
      <c r="N33" s="168"/>
      <c r="O33" s="201"/>
      <c r="P33" s="20"/>
      <c r="Q33" s="20"/>
      <c r="R33" s="20"/>
      <c r="S33" s="20"/>
      <c r="T33" s="20"/>
      <c r="U33" s="20"/>
      <c r="V33" s="20"/>
      <c r="W33" s="20"/>
      <c r="X33" s="20"/>
      <c r="Y33" s="20"/>
    </row>
    <row r="34" spans="1:25">
      <c r="A34" s="193"/>
      <c r="B34" s="218" t="s">
        <v>107</v>
      </c>
      <c r="C34" s="170" t="s">
        <v>151</v>
      </c>
      <c r="D34" s="168"/>
      <c r="E34" s="168"/>
      <c r="F34" s="168"/>
      <c r="G34" s="168"/>
      <c r="H34" s="168"/>
      <c r="I34" s="168"/>
      <c r="J34" s="168"/>
      <c r="K34" s="5" t="str">
        <f>IF(L18=0,"0",L28)</f>
        <v>0</v>
      </c>
      <c r="L34" s="177" t="s">
        <v>29</v>
      </c>
      <c r="M34" s="9">
        <f>L18</f>
        <v>0</v>
      </c>
      <c r="N34" s="206" t="s">
        <v>30</v>
      </c>
      <c r="O34" s="222"/>
      <c r="P34" s="20"/>
      <c r="Q34" s="20"/>
      <c r="R34" s="20"/>
      <c r="S34" s="20"/>
      <c r="T34" s="20"/>
      <c r="U34" s="20"/>
      <c r="V34" s="20"/>
      <c r="W34" s="20"/>
      <c r="X34" s="20"/>
      <c r="Y34" s="20"/>
    </row>
    <row r="35" spans="1:25">
      <c r="A35" s="193"/>
      <c r="B35" s="168"/>
      <c r="C35" s="168"/>
      <c r="D35" s="168"/>
      <c r="E35" s="168"/>
      <c r="F35" s="168"/>
      <c r="G35" s="168"/>
      <c r="H35" s="168"/>
      <c r="I35" s="168"/>
      <c r="J35" s="168"/>
      <c r="K35" s="168"/>
      <c r="L35" s="168"/>
      <c r="M35" s="168"/>
      <c r="N35" s="168"/>
      <c r="O35" s="201"/>
      <c r="P35" s="20"/>
      <c r="Q35" s="20"/>
      <c r="R35" s="20"/>
      <c r="S35" s="20"/>
      <c r="T35" s="20"/>
      <c r="U35" s="20"/>
      <c r="V35" s="20"/>
      <c r="W35" s="20"/>
      <c r="X35" s="20"/>
      <c r="Y35" s="20"/>
    </row>
    <row r="36" spans="1:25">
      <c r="A36" s="193"/>
      <c r="B36" s="172">
        <v>7</v>
      </c>
      <c r="C36" s="206" t="s">
        <v>152</v>
      </c>
      <c r="D36" s="168"/>
      <c r="E36" s="168"/>
      <c r="F36" s="168"/>
      <c r="G36" s="168"/>
      <c r="H36" s="168"/>
      <c r="I36" s="168"/>
      <c r="J36" s="168"/>
      <c r="K36" s="168"/>
      <c r="L36" s="379"/>
      <c r="M36" s="379"/>
      <c r="N36" s="170" t="s">
        <v>30</v>
      </c>
      <c r="O36" s="204"/>
      <c r="P36" s="51" t="s">
        <v>337</v>
      </c>
      <c r="Q36" s="20"/>
      <c r="R36" s="20"/>
      <c r="S36" s="20"/>
      <c r="T36" s="20"/>
      <c r="U36" s="20"/>
      <c r="V36" s="20"/>
      <c r="W36" s="20"/>
      <c r="X36" s="20"/>
      <c r="Y36" s="20"/>
    </row>
    <row r="37" spans="1:25">
      <c r="A37" s="193"/>
      <c r="B37" s="168"/>
      <c r="C37" s="170" t="s">
        <v>145</v>
      </c>
      <c r="D37" s="168"/>
      <c r="E37" s="168"/>
      <c r="F37" s="168"/>
      <c r="G37" s="168"/>
      <c r="H37" s="168"/>
      <c r="I37" s="168"/>
      <c r="J37" s="168"/>
      <c r="K37" s="168"/>
      <c r="L37" s="168"/>
      <c r="M37" s="168"/>
      <c r="N37" s="168"/>
      <c r="O37" s="201"/>
      <c r="P37" s="20"/>
      <c r="Q37" s="20"/>
      <c r="R37" s="20"/>
      <c r="S37" s="20"/>
      <c r="T37" s="20"/>
      <c r="U37" s="20"/>
      <c r="V37" s="20"/>
      <c r="W37" s="20"/>
      <c r="X37" s="20"/>
      <c r="Y37" s="20"/>
    </row>
    <row r="38" spans="1:25">
      <c r="A38" s="193"/>
      <c r="B38" s="172"/>
      <c r="C38" s="206"/>
      <c r="D38" s="168"/>
      <c r="E38" s="168"/>
      <c r="F38" s="168"/>
      <c r="G38" s="168"/>
      <c r="H38" s="168"/>
      <c r="I38" s="168"/>
      <c r="J38" s="168"/>
      <c r="K38" s="168"/>
      <c r="L38" s="168"/>
      <c r="M38" s="168"/>
      <c r="N38" s="206"/>
      <c r="O38" s="222"/>
      <c r="P38" s="20"/>
      <c r="Q38" s="20"/>
      <c r="R38" s="20"/>
      <c r="S38" s="20"/>
      <c r="T38" s="20"/>
      <c r="U38" s="20"/>
      <c r="V38" s="20"/>
      <c r="W38" s="20"/>
      <c r="X38" s="20"/>
      <c r="Y38" s="20"/>
    </row>
    <row r="39" spans="1:25">
      <c r="A39" s="193"/>
      <c r="B39" s="172">
        <v>8</v>
      </c>
      <c r="C39" s="168" t="s">
        <v>153</v>
      </c>
      <c r="D39" s="168"/>
      <c r="E39" s="168"/>
      <c r="F39" s="168"/>
      <c r="G39" s="168"/>
      <c r="H39" s="168"/>
      <c r="I39" s="168"/>
      <c r="J39" s="168"/>
      <c r="K39" s="168"/>
      <c r="L39" s="168"/>
      <c r="M39" s="168"/>
      <c r="N39" s="168"/>
      <c r="O39" s="201"/>
      <c r="P39" s="20"/>
      <c r="Q39" s="20"/>
      <c r="R39" s="20"/>
      <c r="S39" s="20"/>
      <c r="T39" s="20"/>
      <c r="U39" s="20"/>
      <c r="V39" s="20"/>
      <c r="W39" s="20"/>
      <c r="X39" s="20"/>
      <c r="Y39" s="20"/>
    </row>
    <row r="40" spans="1:25" ht="13.8" thickBot="1">
      <c r="A40" s="226"/>
      <c r="B40" s="227"/>
      <c r="C40" s="199"/>
      <c r="D40" s="199"/>
      <c r="E40" s="199"/>
      <c r="F40" s="199"/>
      <c r="G40" s="199"/>
      <c r="H40" s="199"/>
      <c r="I40" s="199"/>
      <c r="J40" s="199"/>
      <c r="K40" s="199"/>
      <c r="L40" s="199"/>
      <c r="M40" s="199"/>
      <c r="N40" s="199"/>
      <c r="O40" s="201"/>
      <c r="P40" s="20"/>
      <c r="Q40" s="20"/>
      <c r="R40" s="20"/>
      <c r="S40" s="20"/>
      <c r="T40" s="20"/>
      <c r="U40" s="20"/>
      <c r="V40" s="20"/>
      <c r="W40" s="20"/>
      <c r="X40" s="20"/>
      <c r="Y40" s="20"/>
    </row>
    <row r="41" spans="1:25" ht="13.8" thickTop="1">
      <c r="A41" s="20"/>
      <c r="B41" s="20"/>
      <c r="C41" s="20"/>
      <c r="D41" s="20"/>
      <c r="E41" s="20"/>
      <c r="F41" s="20"/>
      <c r="G41" s="20"/>
      <c r="H41" s="20"/>
      <c r="I41" s="20"/>
      <c r="J41" s="20"/>
      <c r="K41" s="20"/>
      <c r="L41" s="20"/>
      <c r="M41" s="20"/>
      <c r="N41" s="20"/>
      <c r="O41" s="20"/>
      <c r="P41" s="20"/>
      <c r="Q41" s="20"/>
      <c r="R41" s="20"/>
      <c r="S41" s="20"/>
      <c r="T41" s="20"/>
      <c r="U41" s="20"/>
      <c r="V41" s="20"/>
      <c r="W41" s="20"/>
      <c r="X41" s="20"/>
      <c r="Y41" s="20"/>
    </row>
    <row r="42" spans="1:25">
      <c r="A42" s="20"/>
      <c r="B42" s="40"/>
      <c r="C42" s="39"/>
      <c r="D42" s="20"/>
      <c r="E42" s="20"/>
      <c r="F42" s="20"/>
      <c r="G42" s="20"/>
      <c r="H42" s="20"/>
      <c r="I42" s="20"/>
      <c r="J42" s="20"/>
      <c r="K42" s="20"/>
      <c r="L42" s="26"/>
      <c r="M42" s="20"/>
      <c r="N42" s="39"/>
      <c r="O42" s="39"/>
      <c r="P42" s="20"/>
      <c r="Q42" s="20"/>
      <c r="R42" s="20"/>
      <c r="S42" s="20"/>
      <c r="T42" s="20"/>
      <c r="U42" s="20"/>
      <c r="V42" s="20"/>
      <c r="W42" s="20"/>
      <c r="X42" s="20"/>
      <c r="Y42" s="20"/>
    </row>
    <row r="43" spans="1:25">
      <c r="A43" s="20"/>
      <c r="B43" s="20"/>
      <c r="C43" s="20"/>
      <c r="D43" s="20"/>
      <c r="E43" s="20"/>
      <c r="F43" s="20"/>
      <c r="G43" s="20"/>
      <c r="H43" s="20"/>
      <c r="I43" s="20"/>
      <c r="J43" s="20"/>
      <c r="K43" s="20"/>
      <c r="L43" s="20"/>
      <c r="M43" s="20"/>
      <c r="N43" s="20"/>
      <c r="O43" s="20"/>
      <c r="P43" s="20"/>
      <c r="Q43" s="20"/>
      <c r="R43" s="20"/>
      <c r="S43" s="20"/>
      <c r="T43" s="20"/>
      <c r="U43" s="20"/>
      <c r="V43" s="20"/>
      <c r="W43" s="20"/>
      <c r="X43" s="20"/>
      <c r="Y43" s="20"/>
    </row>
    <row r="44" spans="1:25">
      <c r="A44" s="20"/>
      <c r="B44" s="40"/>
      <c r="C44" s="39"/>
      <c r="D44" s="20"/>
      <c r="E44" s="20"/>
      <c r="F44" s="20"/>
      <c r="G44" s="20"/>
      <c r="H44" s="20"/>
      <c r="I44" s="20"/>
      <c r="J44" s="20"/>
      <c r="K44" s="20"/>
      <c r="L44" s="26"/>
      <c r="M44" s="20"/>
      <c r="N44" s="39"/>
      <c r="O44" s="39"/>
      <c r="P44" s="20"/>
      <c r="Q44" s="20"/>
      <c r="R44" s="20"/>
      <c r="S44" s="20"/>
      <c r="T44" s="20"/>
      <c r="U44" s="20"/>
      <c r="V44" s="20"/>
      <c r="W44" s="20"/>
      <c r="X44" s="20"/>
      <c r="Y44" s="20"/>
    </row>
    <row r="45" spans="1:25">
      <c r="A45" s="20"/>
      <c r="B45" s="20"/>
      <c r="C45" s="20"/>
      <c r="D45" s="20"/>
      <c r="E45" s="20"/>
      <c r="F45" s="20"/>
      <c r="G45" s="20"/>
      <c r="H45" s="20"/>
      <c r="I45" s="20"/>
      <c r="J45" s="20"/>
      <c r="K45" s="20"/>
      <c r="L45" s="20"/>
      <c r="M45" s="20"/>
      <c r="N45" s="20"/>
      <c r="O45" s="20"/>
      <c r="P45" s="20"/>
      <c r="Q45" s="20"/>
      <c r="R45" s="20"/>
      <c r="S45" s="20"/>
      <c r="T45" s="20"/>
      <c r="U45" s="20"/>
      <c r="V45" s="20"/>
      <c r="W45" s="20"/>
      <c r="X45" s="20"/>
      <c r="Y45" s="20"/>
    </row>
    <row r="46" spans="1:25">
      <c r="A46" s="20"/>
      <c r="B46" s="40"/>
      <c r="C46" s="39"/>
      <c r="D46" s="20"/>
      <c r="E46" s="20"/>
      <c r="F46" s="20"/>
      <c r="G46" s="20"/>
      <c r="H46" s="20"/>
      <c r="I46" s="20"/>
      <c r="J46" s="20"/>
      <c r="K46" s="20"/>
      <c r="L46" s="20"/>
      <c r="M46" s="20"/>
      <c r="N46" s="39"/>
      <c r="O46" s="39"/>
      <c r="P46" s="20"/>
      <c r="Q46" s="20"/>
      <c r="R46" s="20"/>
      <c r="S46" s="20"/>
      <c r="T46" s="20"/>
      <c r="U46" s="20"/>
      <c r="V46" s="20"/>
      <c r="W46" s="20"/>
      <c r="X46" s="20"/>
      <c r="Y46" s="20"/>
    </row>
    <row r="47" spans="1:25">
      <c r="A47" s="20"/>
      <c r="B47" s="20"/>
      <c r="C47" s="20"/>
      <c r="D47" s="20"/>
      <c r="E47" s="20"/>
      <c r="F47" s="20"/>
      <c r="G47" s="20"/>
      <c r="H47" s="20"/>
      <c r="I47" s="20"/>
      <c r="J47" s="20"/>
      <c r="K47" s="20"/>
      <c r="L47" s="20"/>
      <c r="M47" s="20"/>
      <c r="N47" s="20"/>
      <c r="O47" s="20"/>
      <c r="P47" s="20"/>
      <c r="Q47" s="20"/>
      <c r="R47" s="20"/>
      <c r="S47" s="20"/>
      <c r="T47" s="20"/>
      <c r="U47" s="20"/>
      <c r="V47" s="20"/>
      <c r="W47" s="20"/>
      <c r="X47" s="20"/>
      <c r="Y47" s="20"/>
    </row>
    <row r="48" spans="1:25">
      <c r="A48" s="20"/>
      <c r="B48" s="20"/>
      <c r="C48" s="20"/>
      <c r="D48" s="20"/>
      <c r="E48" s="20"/>
      <c r="F48" s="20"/>
      <c r="G48" s="20"/>
      <c r="H48" s="20"/>
      <c r="I48" s="20"/>
      <c r="J48" s="20"/>
      <c r="K48" s="20"/>
      <c r="L48" s="20"/>
      <c r="M48" s="20"/>
      <c r="N48" s="20"/>
      <c r="O48" s="20"/>
      <c r="P48" s="20"/>
      <c r="Q48" s="20"/>
      <c r="R48" s="20"/>
      <c r="S48" s="20"/>
      <c r="T48" s="20"/>
      <c r="U48" s="20"/>
      <c r="V48" s="20"/>
      <c r="W48" s="20"/>
      <c r="X48" s="20"/>
      <c r="Y48" s="20"/>
    </row>
    <row r="49" spans="1:25">
      <c r="A49" s="20"/>
      <c r="B49" s="20"/>
      <c r="C49" s="20"/>
      <c r="D49" s="20"/>
      <c r="E49" s="20"/>
      <c r="F49" s="20"/>
      <c r="G49" s="20"/>
      <c r="H49" s="20"/>
      <c r="I49" s="20"/>
      <c r="J49" s="20"/>
      <c r="K49" s="20"/>
      <c r="L49" s="20"/>
      <c r="M49" s="20"/>
      <c r="N49" s="20"/>
      <c r="O49" s="20"/>
      <c r="P49" s="20"/>
      <c r="Q49" s="20"/>
      <c r="R49" s="20"/>
      <c r="S49" s="20"/>
      <c r="T49" s="20"/>
      <c r="U49" s="20"/>
      <c r="V49" s="20"/>
      <c r="W49" s="20"/>
      <c r="X49" s="20"/>
      <c r="Y49" s="20"/>
    </row>
    <row r="50" spans="1:25">
      <c r="A50" s="20"/>
      <c r="B50" s="20"/>
      <c r="C50" s="20"/>
      <c r="D50" s="20"/>
      <c r="E50" s="20"/>
      <c r="F50" s="20"/>
      <c r="G50" s="20"/>
      <c r="H50" s="20"/>
      <c r="I50" s="20"/>
      <c r="J50" s="20"/>
      <c r="K50" s="20"/>
      <c r="L50" s="20"/>
      <c r="M50" s="20"/>
      <c r="N50" s="20"/>
      <c r="O50" s="20"/>
      <c r="P50" s="20"/>
      <c r="Q50" s="20"/>
      <c r="R50" s="20"/>
      <c r="S50" s="20"/>
      <c r="T50" s="20"/>
      <c r="U50" s="20"/>
      <c r="V50" s="20"/>
      <c r="W50" s="20"/>
      <c r="X50" s="20"/>
      <c r="Y50" s="20"/>
    </row>
    <row r="51" spans="1:25">
      <c r="A51" s="20"/>
      <c r="B51" s="20"/>
      <c r="C51" s="20"/>
      <c r="D51" s="20"/>
      <c r="E51" s="20"/>
      <c r="F51" s="20"/>
      <c r="G51" s="20"/>
      <c r="H51" s="20"/>
      <c r="I51" s="20"/>
      <c r="J51" s="20"/>
      <c r="K51" s="20"/>
      <c r="L51" s="20"/>
      <c r="M51" s="20"/>
      <c r="N51" s="20"/>
      <c r="O51" s="20"/>
      <c r="P51" s="20"/>
      <c r="Q51" s="20"/>
      <c r="R51" s="20"/>
      <c r="S51" s="20"/>
      <c r="T51" s="20"/>
      <c r="U51" s="20"/>
      <c r="V51" s="20"/>
      <c r="W51" s="20"/>
      <c r="X51" s="20"/>
      <c r="Y51" s="20"/>
    </row>
    <row r="52" spans="1:25">
      <c r="A52" s="20"/>
      <c r="B52" s="20"/>
      <c r="C52" s="20"/>
      <c r="D52" s="20"/>
      <c r="E52" s="20"/>
      <c r="F52" s="20"/>
      <c r="G52" s="20"/>
      <c r="H52" s="20"/>
      <c r="I52" s="20"/>
      <c r="J52" s="20"/>
      <c r="K52" s="20"/>
      <c r="L52" s="20"/>
      <c r="M52" s="20"/>
      <c r="N52" s="20"/>
      <c r="O52" s="20"/>
      <c r="P52" s="20"/>
      <c r="Q52" s="20"/>
      <c r="R52" s="20"/>
      <c r="S52" s="20"/>
      <c r="T52" s="20"/>
      <c r="U52" s="20"/>
      <c r="V52" s="20"/>
      <c r="W52" s="20"/>
      <c r="X52" s="20"/>
      <c r="Y52" s="20"/>
    </row>
    <row r="53" spans="1:25">
      <c r="A53" s="20"/>
      <c r="B53" s="20"/>
      <c r="C53" s="20"/>
      <c r="D53" s="20"/>
      <c r="E53" s="20"/>
      <c r="F53" s="20"/>
      <c r="G53" s="20"/>
      <c r="H53" s="20"/>
      <c r="I53" s="20"/>
      <c r="J53" s="20"/>
      <c r="K53" s="20"/>
      <c r="L53" s="20"/>
      <c r="M53" s="20"/>
      <c r="N53" s="20"/>
      <c r="O53" s="20"/>
      <c r="P53" s="20"/>
      <c r="Q53" s="20"/>
      <c r="R53" s="20"/>
      <c r="S53" s="20"/>
      <c r="T53" s="20"/>
      <c r="U53" s="20"/>
      <c r="V53" s="20"/>
      <c r="W53" s="20"/>
      <c r="X53" s="20"/>
      <c r="Y53" s="20"/>
    </row>
    <row r="54" spans="1:25">
      <c r="A54" s="20"/>
      <c r="B54" s="20"/>
      <c r="C54" s="20"/>
      <c r="D54" s="20"/>
      <c r="E54" s="20"/>
      <c r="F54" s="20"/>
      <c r="G54" s="20"/>
      <c r="H54" s="20"/>
      <c r="I54" s="20"/>
      <c r="J54" s="20"/>
      <c r="K54" s="20"/>
      <c r="L54" s="20"/>
      <c r="M54" s="20"/>
      <c r="N54" s="20"/>
      <c r="O54" s="20"/>
      <c r="P54" s="20"/>
      <c r="Q54" s="20"/>
      <c r="R54" s="20"/>
      <c r="S54" s="20"/>
      <c r="T54" s="20"/>
      <c r="U54" s="20"/>
      <c r="V54" s="20"/>
      <c r="W54" s="20"/>
      <c r="X54" s="20"/>
      <c r="Y54" s="20"/>
    </row>
    <row r="55" spans="1:25">
      <c r="A55" s="20"/>
      <c r="B55" s="20"/>
      <c r="C55" s="20"/>
      <c r="D55" s="20"/>
      <c r="E55" s="20"/>
      <c r="F55" s="20"/>
      <c r="G55" s="20"/>
      <c r="H55" s="20"/>
      <c r="I55" s="20"/>
      <c r="J55" s="20"/>
      <c r="K55" s="20"/>
      <c r="L55" s="20"/>
      <c r="M55" s="20"/>
      <c r="N55" s="20"/>
      <c r="O55" s="20"/>
      <c r="P55" s="20"/>
      <c r="Q55" s="20"/>
      <c r="R55" s="20"/>
      <c r="S55" s="20"/>
      <c r="T55" s="20"/>
      <c r="U55" s="20"/>
      <c r="V55" s="20"/>
      <c r="W55" s="20"/>
      <c r="X55" s="20"/>
      <c r="Y55" s="20"/>
    </row>
    <row r="56" spans="1:25">
      <c r="A56" s="20"/>
      <c r="B56" s="20"/>
      <c r="C56" s="20"/>
      <c r="D56" s="20"/>
      <c r="E56" s="20"/>
      <c r="F56" s="20"/>
      <c r="G56" s="20"/>
      <c r="H56" s="20"/>
      <c r="I56" s="20"/>
      <c r="J56" s="20"/>
      <c r="K56" s="20"/>
      <c r="L56" s="20"/>
      <c r="M56" s="20"/>
      <c r="N56" s="20"/>
      <c r="O56" s="20"/>
      <c r="P56" s="20"/>
      <c r="Q56" s="20"/>
      <c r="R56" s="20"/>
      <c r="S56" s="20"/>
      <c r="T56" s="20"/>
      <c r="U56" s="20"/>
      <c r="V56" s="20"/>
      <c r="W56" s="20"/>
      <c r="X56" s="20"/>
      <c r="Y56" s="20"/>
    </row>
    <row r="57" spans="1:25">
      <c r="A57" s="20"/>
      <c r="B57" s="20"/>
      <c r="C57" s="20"/>
      <c r="D57" s="20"/>
      <c r="E57" s="20"/>
      <c r="F57" s="20"/>
      <c r="G57" s="20"/>
      <c r="H57" s="20"/>
      <c r="I57" s="20"/>
      <c r="J57" s="20"/>
      <c r="K57" s="20"/>
      <c r="L57" s="20"/>
      <c r="M57" s="20"/>
      <c r="N57" s="20"/>
      <c r="O57" s="20"/>
      <c r="P57" s="20"/>
      <c r="Q57" s="20"/>
      <c r="R57" s="20"/>
      <c r="S57" s="20"/>
      <c r="T57" s="20"/>
      <c r="U57" s="20"/>
      <c r="V57" s="20"/>
      <c r="W57" s="20"/>
      <c r="X57" s="20"/>
      <c r="Y57" s="20"/>
    </row>
    <row r="58" spans="1:25">
      <c r="A58" s="20"/>
      <c r="B58" s="20"/>
      <c r="C58" s="20"/>
      <c r="D58" s="20"/>
      <c r="E58" s="20"/>
      <c r="F58" s="20"/>
      <c r="G58" s="20"/>
      <c r="H58" s="20"/>
      <c r="I58" s="20"/>
      <c r="J58" s="20"/>
      <c r="K58" s="20"/>
      <c r="L58" s="20"/>
      <c r="M58" s="20"/>
      <c r="N58" s="20"/>
      <c r="O58" s="20"/>
      <c r="P58" s="20"/>
      <c r="Q58" s="20"/>
      <c r="R58" s="20"/>
      <c r="S58" s="20"/>
      <c r="T58" s="20"/>
      <c r="U58" s="20"/>
      <c r="V58" s="20"/>
      <c r="W58" s="20"/>
      <c r="X58" s="20"/>
      <c r="Y58" s="20"/>
    </row>
    <row r="59" spans="1:25">
      <c r="A59" s="38"/>
      <c r="B59" s="38"/>
      <c r="C59" s="20"/>
      <c r="D59" s="20"/>
      <c r="E59" s="20"/>
      <c r="F59" s="20"/>
      <c r="G59" s="20"/>
      <c r="H59" s="20"/>
      <c r="I59" s="20"/>
      <c r="J59" s="20"/>
      <c r="K59" s="20"/>
      <c r="L59" s="20"/>
      <c r="M59" s="20"/>
      <c r="N59" s="20"/>
      <c r="O59" s="20"/>
      <c r="P59" s="20"/>
      <c r="Q59" s="20"/>
      <c r="R59" s="20"/>
      <c r="S59" s="20"/>
      <c r="T59" s="20"/>
      <c r="U59" s="20"/>
      <c r="V59" s="20"/>
      <c r="W59" s="20"/>
      <c r="X59" s="20"/>
      <c r="Y59" s="20"/>
    </row>
    <row r="60" spans="1:25">
      <c r="A60" s="20"/>
      <c r="B60" s="39"/>
      <c r="C60" s="20"/>
      <c r="D60" s="20"/>
      <c r="E60" s="20"/>
      <c r="F60" s="20"/>
      <c r="G60" s="20"/>
      <c r="H60" s="20"/>
      <c r="I60" s="20"/>
      <c r="J60" s="20"/>
      <c r="K60" s="20"/>
      <c r="L60" s="20"/>
      <c r="M60" s="20"/>
      <c r="N60" s="20"/>
      <c r="O60" s="20"/>
      <c r="P60" s="20"/>
      <c r="Q60" s="20"/>
      <c r="R60" s="20"/>
      <c r="S60" s="20"/>
      <c r="T60" s="20"/>
      <c r="U60" s="20"/>
      <c r="V60" s="20"/>
      <c r="W60" s="20"/>
      <c r="X60" s="20"/>
      <c r="Y60" s="20"/>
    </row>
    <row r="61" spans="1:25">
      <c r="A61" s="20"/>
      <c r="B61" s="39"/>
      <c r="C61" s="20"/>
      <c r="D61" s="20"/>
      <c r="E61" s="20"/>
      <c r="F61" s="20"/>
      <c r="G61" s="20"/>
      <c r="H61" s="20"/>
      <c r="I61" s="20"/>
      <c r="J61" s="20"/>
      <c r="K61" s="20"/>
      <c r="L61" s="20"/>
      <c r="M61" s="20"/>
      <c r="N61" s="20"/>
      <c r="O61" s="20"/>
      <c r="P61" s="20"/>
      <c r="Q61" s="20"/>
      <c r="R61" s="20"/>
      <c r="S61" s="20"/>
      <c r="T61" s="20"/>
      <c r="U61" s="20"/>
      <c r="V61" s="20"/>
      <c r="W61" s="20"/>
      <c r="X61" s="20"/>
      <c r="Y61" s="20"/>
    </row>
    <row r="62" spans="1:25">
      <c r="A62" s="20"/>
      <c r="B62" s="20"/>
      <c r="C62" s="20"/>
      <c r="D62" s="20"/>
      <c r="E62" s="20"/>
      <c r="F62" s="20"/>
      <c r="G62" s="20"/>
      <c r="H62" s="20"/>
      <c r="I62" s="20"/>
      <c r="J62" s="20"/>
      <c r="K62" s="20"/>
      <c r="L62" s="20"/>
      <c r="M62" s="20"/>
      <c r="N62" s="20"/>
      <c r="O62" s="20"/>
      <c r="P62" s="20"/>
      <c r="Q62" s="20"/>
      <c r="R62" s="20"/>
      <c r="S62" s="20"/>
      <c r="T62" s="20"/>
      <c r="U62" s="20"/>
      <c r="V62" s="20"/>
      <c r="W62" s="20"/>
      <c r="X62" s="20"/>
      <c r="Y62" s="20"/>
    </row>
    <row r="63" spans="1:25">
      <c r="A63" s="20"/>
      <c r="B63" s="20"/>
      <c r="C63" s="20"/>
      <c r="D63" s="20"/>
      <c r="E63" s="20"/>
      <c r="F63" s="20"/>
      <c r="G63" s="20"/>
      <c r="H63" s="20"/>
      <c r="I63" s="39"/>
      <c r="J63" s="20"/>
      <c r="K63" s="20"/>
      <c r="L63" s="39"/>
      <c r="M63" s="20"/>
      <c r="N63" s="20"/>
      <c r="O63" s="20"/>
      <c r="P63" s="20"/>
      <c r="Q63" s="20"/>
      <c r="R63" s="20"/>
      <c r="S63" s="20"/>
      <c r="T63" s="20"/>
      <c r="U63" s="20"/>
      <c r="V63" s="20"/>
      <c r="W63" s="20"/>
      <c r="X63" s="20"/>
      <c r="Y63" s="20"/>
    </row>
    <row r="64" spans="1:25">
      <c r="A64" s="20"/>
      <c r="B64" s="20"/>
      <c r="C64" s="20"/>
      <c r="D64" s="20"/>
      <c r="E64" s="20"/>
      <c r="F64" s="20"/>
      <c r="G64" s="20"/>
      <c r="H64" s="20"/>
      <c r="I64" s="39"/>
      <c r="J64" s="20"/>
      <c r="K64" s="20"/>
      <c r="L64" s="39"/>
      <c r="M64" s="20"/>
      <c r="N64" s="20"/>
      <c r="O64" s="20"/>
      <c r="P64" s="20"/>
      <c r="Q64" s="20"/>
      <c r="R64" s="20"/>
      <c r="S64" s="20"/>
      <c r="T64" s="20"/>
      <c r="U64" s="20"/>
      <c r="V64" s="20"/>
      <c r="W64" s="20"/>
      <c r="X64" s="20"/>
      <c r="Y64" s="20"/>
    </row>
    <row r="65" spans="1:25">
      <c r="A65" s="20"/>
      <c r="B65" s="20"/>
      <c r="C65" s="20"/>
      <c r="D65" s="20"/>
      <c r="E65" s="20"/>
      <c r="F65" s="20"/>
      <c r="G65" s="20"/>
      <c r="H65" s="20"/>
      <c r="I65" s="20"/>
      <c r="J65" s="20"/>
      <c r="K65" s="20"/>
      <c r="L65" s="20"/>
      <c r="M65" s="20"/>
      <c r="N65" s="20"/>
      <c r="O65" s="20"/>
      <c r="P65" s="20"/>
      <c r="Q65" s="20"/>
      <c r="R65" s="20"/>
      <c r="S65" s="20"/>
      <c r="T65" s="20"/>
      <c r="U65" s="20"/>
      <c r="V65" s="20"/>
      <c r="W65" s="20"/>
      <c r="X65" s="20"/>
      <c r="Y65" s="20"/>
    </row>
    <row r="66" spans="1:25">
      <c r="A66" s="20"/>
      <c r="B66" s="40"/>
      <c r="C66" s="39"/>
      <c r="D66" s="20"/>
      <c r="E66" s="20"/>
      <c r="F66" s="20"/>
      <c r="G66" s="20"/>
      <c r="H66" s="20"/>
      <c r="I66" s="20"/>
      <c r="J66" s="20"/>
      <c r="K66" s="20"/>
      <c r="L66" s="20"/>
      <c r="M66" s="20"/>
      <c r="N66" s="20"/>
      <c r="O66" s="20"/>
      <c r="P66" s="20"/>
      <c r="Q66" s="20"/>
      <c r="R66" s="20"/>
      <c r="S66" s="20"/>
      <c r="T66" s="20"/>
      <c r="U66" s="20"/>
      <c r="V66" s="20"/>
      <c r="W66" s="20"/>
      <c r="X66" s="20"/>
      <c r="Y66" s="20"/>
    </row>
    <row r="67" spans="1:25">
      <c r="A67" s="20"/>
      <c r="B67" s="20"/>
      <c r="C67" s="20"/>
      <c r="D67" s="20"/>
      <c r="E67" s="20"/>
      <c r="F67" s="20"/>
      <c r="G67" s="20"/>
      <c r="H67" s="20"/>
      <c r="I67" s="20"/>
      <c r="J67" s="20"/>
      <c r="K67" s="20"/>
      <c r="L67" s="20"/>
      <c r="M67" s="20"/>
      <c r="N67" s="20"/>
      <c r="O67" s="20"/>
      <c r="P67" s="20"/>
      <c r="Q67" s="20"/>
      <c r="R67" s="20"/>
      <c r="S67" s="20"/>
      <c r="T67" s="20"/>
      <c r="U67" s="20"/>
      <c r="V67" s="20"/>
      <c r="W67" s="20"/>
      <c r="X67" s="20"/>
      <c r="Y67" s="20"/>
    </row>
    <row r="68" spans="1:25">
      <c r="A68" s="20"/>
      <c r="B68" s="40"/>
      <c r="C68" s="39"/>
      <c r="D68" s="20"/>
      <c r="E68" s="20"/>
      <c r="F68" s="20"/>
      <c r="G68" s="20"/>
      <c r="H68" s="20"/>
      <c r="I68" s="20"/>
      <c r="J68" s="20"/>
      <c r="K68" s="20"/>
      <c r="L68" s="39"/>
      <c r="M68" s="20"/>
      <c r="N68" s="20"/>
      <c r="O68" s="20"/>
      <c r="P68" s="39"/>
      <c r="Q68" s="20"/>
      <c r="R68" s="20"/>
      <c r="S68" s="20"/>
      <c r="T68" s="20"/>
      <c r="U68" s="20"/>
      <c r="V68" s="20"/>
      <c r="W68" s="20"/>
      <c r="X68" s="20"/>
      <c r="Y68" s="20"/>
    </row>
    <row r="69" spans="1:25">
      <c r="A69" s="20"/>
      <c r="B69" s="20"/>
      <c r="C69" s="20"/>
      <c r="D69" s="20"/>
      <c r="E69" s="20"/>
      <c r="F69" s="20"/>
      <c r="G69" s="20"/>
      <c r="H69" s="20"/>
      <c r="I69" s="20"/>
      <c r="J69" s="20"/>
      <c r="K69" s="20"/>
      <c r="L69" s="20"/>
      <c r="M69" s="20"/>
      <c r="N69" s="20"/>
      <c r="O69" s="20"/>
      <c r="P69" s="20"/>
      <c r="Q69" s="20"/>
      <c r="R69" s="20"/>
      <c r="S69" s="20"/>
      <c r="T69" s="20"/>
      <c r="U69" s="20"/>
      <c r="V69" s="20"/>
      <c r="W69" s="20"/>
      <c r="X69" s="20"/>
      <c r="Y69" s="20"/>
    </row>
    <row r="70" spans="1:25">
      <c r="A70" s="20"/>
      <c r="B70" s="40"/>
      <c r="C70" s="39"/>
      <c r="D70" s="20"/>
      <c r="E70" s="20"/>
      <c r="F70" s="20"/>
      <c r="G70" s="20"/>
      <c r="H70" s="20"/>
      <c r="I70" s="20"/>
      <c r="J70" s="20"/>
      <c r="K70" s="20"/>
      <c r="L70" s="39"/>
      <c r="M70" s="20"/>
      <c r="N70" s="20"/>
      <c r="O70" s="20"/>
      <c r="P70" s="39"/>
      <c r="Q70" s="20"/>
      <c r="R70" s="20"/>
      <c r="S70" s="20"/>
      <c r="T70" s="20"/>
      <c r="U70" s="20"/>
      <c r="V70" s="20"/>
      <c r="W70" s="20"/>
      <c r="X70" s="20"/>
      <c r="Y70" s="20"/>
    </row>
    <row r="71" spans="1:25">
      <c r="A71" s="20"/>
      <c r="B71" s="20"/>
      <c r="C71" s="41"/>
      <c r="D71" s="20"/>
      <c r="E71" s="20"/>
      <c r="F71" s="20"/>
      <c r="G71" s="20"/>
      <c r="H71" s="20"/>
      <c r="I71" s="20"/>
      <c r="J71" s="20"/>
      <c r="K71" s="20"/>
      <c r="L71" s="20"/>
      <c r="M71" s="20"/>
      <c r="N71" s="20"/>
      <c r="O71" s="20"/>
      <c r="P71" s="20"/>
      <c r="Q71" s="20"/>
      <c r="R71" s="20"/>
      <c r="S71" s="20"/>
      <c r="T71" s="20"/>
      <c r="U71" s="20"/>
      <c r="V71" s="20"/>
      <c r="W71" s="20"/>
      <c r="X71" s="20"/>
      <c r="Y71" s="20"/>
    </row>
    <row r="72" spans="1:25">
      <c r="A72" s="20"/>
      <c r="B72" s="20"/>
      <c r="C72" s="20"/>
      <c r="D72" s="20"/>
      <c r="E72" s="20"/>
      <c r="F72" s="20"/>
      <c r="G72" s="20"/>
      <c r="H72" s="20"/>
      <c r="I72" s="20"/>
      <c r="J72" s="20"/>
      <c r="K72" s="20"/>
      <c r="L72" s="20"/>
      <c r="M72" s="20"/>
      <c r="N72" s="20"/>
      <c r="O72" s="20"/>
      <c r="P72" s="20"/>
      <c r="Q72" s="20"/>
      <c r="R72" s="20"/>
      <c r="S72" s="20"/>
      <c r="T72" s="20"/>
      <c r="U72" s="20"/>
      <c r="V72" s="20"/>
      <c r="W72" s="20"/>
      <c r="X72" s="20"/>
      <c r="Y72" s="20"/>
    </row>
    <row r="73" spans="1:25">
      <c r="A73" s="20"/>
      <c r="B73" s="40"/>
      <c r="C73" s="39"/>
      <c r="D73" s="20"/>
      <c r="E73" s="20"/>
      <c r="F73" s="20"/>
      <c r="G73" s="20"/>
      <c r="H73" s="20"/>
      <c r="I73" s="20"/>
      <c r="J73" s="20"/>
      <c r="K73" s="20"/>
      <c r="L73" s="20"/>
      <c r="M73" s="20"/>
      <c r="N73" s="20"/>
      <c r="O73" s="20"/>
      <c r="P73" s="39"/>
      <c r="Q73" s="20"/>
      <c r="R73" s="20"/>
      <c r="S73" s="20"/>
      <c r="T73" s="20"/>
      <c r="U73" s="20"/>
      <c r="V73" s="20"/>
      <c r="W73" s="20"/>
      <c r="X73" s="20"/>
      <c r="Y73" s="20"/>
    </row>
    <row r="74" spans="1:25">
      <c r="A74" s="20"/>
      <c r="B74" s="20"/>
      <c r="C74" s="41"/>
      <c r="D74" s="20"/>
      <c r="E74" s="20"/>
      <c r="F74" s="20"/>
      <c r="G74" s="20"/>
      <c r="H74" s="20"/>
      <c r="I74" s="20"/>
      <c r="J74" s="20"/>
      <c r="K74" s="20"/>
      <c r="L74" s="20"/>
      <c r="M74" s="20"/>
      <c r="N74" s="20"/>
      <c r="O74" s="20"/>
      <c r="P74" s="20"/>
      <c r="Q74" s="20"/>
      <c r="R74" s="20"/>
      <c r="S74" s="20"/>
      <c r="T74" s="20"/>
      <c r="U74" s="20"/>
      <c r="V74" s="20"/>
      <c r="W74" s="20"/>
      <c r="X74" s="20"/>
      <c r="Y74" s="20"/>
    </row>
    <row r="75" spans="1:25">
      <c r="A75" s="20"/>
      <c r="B75" s="20"/>
      <c r="C75" s="20"/>
      <c r="D75" s="20"/>
      <c r="E75" s="20"/>
      <c r="F75" s="20"/>
      <c r="G75" s="20"/>
      <c r="H75" s="20"/>
      <c r="I75" s="20"/>
      <c r="J75" s="20"/>
      <c r="K75" s="20"/>
      <c r="L75" s="20"/>
      <c r="M75" s="20"/>
      <c r="N75" s="20"/>
      <c r="O75" s="20"/>
      <c r="P75" s="20"/>
      <c r="Q75" s="20"/>
      <c r="R75" s="20"/>
      <c r="S75" s="20"/>
      <c r="T75" s="20"/>
      <c r="U75" s="20"/>
      <c r="V75" s="20"/>
      <c r="W75" s="20"/>
      <c r="X75" s="20"/>
      <c r="Y75" s="20"/>
    </row>
    <row r="76" spans="1:25">
      <c r="A76" s="38"/>
      <c r="B76" s="38"/>
      <c r="C76" s="20"/>
      <c r="D76" s="20"/>
      <c r="E76" s="20"/>
      <c r="F76" s="20"/>
      <c r="G76" s="20"/>
      <c r="H76" s="20"/>
      <c r="I76" s="20"/>
      <c r="J76" s="20"/>
      <c r="K76" s="20"/>
      <c r="L76" s="20"/>
      <c r="M76" s="20"/>
      <c r="N76" s="20"/>
      <c r="O76" s="20"/>
      <c r="P76" s="20"/>
      <c r="Q76" s="20"/>
      <c r="R76" s="20"/>
      <c r="S76" s="20"/>
      <c r="T76" s="20"/>
      <c r="U76" s="20"/>
      <c r="V76" s="20"/>
      <c r="W76" s="20"/>
      <c r="X76" s="20"/>
      <c r="Y76" s="20"/>
    </row>
    <row r="77" spans="1:25">
      <c r="A77" s="20"/>
      <c r="B77" s="20"/>
      <c r="C77" s="42"/>
      <c r="D77" s="20"/>
      <c r="E77" s="20"/>
      <c r="F77" s="20"/>
      <c r="G77" s="20"/>
      <c r="H77" s="20"/>
      <c r="I77" s="20"/>
      <c r="J77" s="20"/>
      <c r="K77" s="20"/>
      <c r="L77" s="20"/>
      <c r="M77" s="20"/>
      <c r="N77" s="20"/>
      <c r="O77" s="20"/>
      <c r="P77" s="20"/>
      <c r="Q77" s="20"/>
      <c r="R77" s="20"/>
      <c r="S77" s="20"/>
      <c r="T77" s="20"/>
      <c r="U77" s="20"/>
      <c r="V77" s="20"/>
      <c r="W77" s="20"/>
      <c r="X77" s="20"/>
      <c r="Y77" s="20"/>
    </row>
    <row r="78" spans="1:25">
      <c r="A78" s="20"/>
      <c r="B78" s="20"/>
      <c r="C78" s="39"/>
      <c r="D78" s="20"/>
      <c r="E78" s="20"/>
      <c r="F78" s="20"/>
      <c r="G78" s="20"/>
      <c r="H78" s="20"/>
      <c r="I78" s="20"/>
      <c r="J78" s="20"/>
      <c r="K78" s="20"/>
      <c r="L78" s="20"/>
      <c r="M78" s="20"/>
      <c r="N78" s="20"/>
      <c r="O78" s="20"/>
      <c r="P78" s="20"/>
      <c r="Q78" s="20"/>
      <c r="R78" s="20"/>
      <c r="S78" s="20"/>
      <c r="T78" s="20"/>
      <c r="U78" s="20"/>
      <c r="V78" s="20"/>
      <c r="W78" s="20"/>
      <c r="X78" s="20"/>
      <c r="Y78" s="20"/>
    </row>
    <row r="79" spans="1:25">
      <c r="A79" s="20"/>
      <c r="B79" s="20"/>
      <c r="C79" s="20"/>
      <c r="D79" s="20"/>
      <c r="E79" s="20"/>
      <c r="F79" s="20"/>
      <c r="G79" s="20"/>
      <c r="H79" s="20"/>
      <c r="I79" s="20"/>
      <c r="J79" s="20"/>
      <c r="K79" s="20"/>
      <c r="L79" s="20"/>
      <c r="M79" s="20"/>
      <c r="N79" s="20"/>
      <c r="O79" s="20"/>
      <c r="P79" s="20"/>
      <c r="Q79" s="20"/>
      <c r="R79" s="20"/>
      <c r="S79" s="20"/>
      <c r="T79" s="20"/>
      <c r="U79" s="20"/>
      <c r="V79" s="20"/>
      <c r="W79" s="20"/>
      <c r="X79" s="20"/>
      <c r="Y79" s="20"/>
    </row>
    <row r="80" spans="1:25">
      <c r="A80" s="20"/>
      <c r="B80" s="40"/>
      <c r="C80" s="39"/>
      <c r="D80" s="20"/>
      <c r="E80" s="20"/>
      <c r="F80" s="20"/>
      <c r="G80" s="20"/>
      <c r="H80" s="20"/>
      <c r="I80" s="20"/>
      <c r="J80" s="20"/>
      <c r="K80" s="20"/>
      <c r="L80" s="20"/>
      <c r="M80" s="20"/>
      <c r="N80" s="20"/>
      <c r="O80" s="20"/>
      <c r="P80" s="20"/>
      <c r="Q80" s="20"/>
      <c r="R80" s="20"/>
      <c r="S80" s="20"/>
      <c r="T80" s="20"/>
      <c r="U80" s="20"/>
      <c r="V80" s="20"/>
      <c r="W80" s="20"/>
      <c r="X80" s="20"/>
      <c r="Y80" s="20"/>
    </row>
    <row r="81" spans="1:25">
      <c r="A81" s="20"/>
      <c r="B81" s="20"/>
      <c r="C81" s="39"/>
      <c r="D81" s="20"/>
      <c r="E81" s="20"/>
      <c r="F81" s="20"/>
      <c r="G81" s="20"/>
      <c r="H81" s="20"/>
      <c r="I81" s="20"/>
      <c r="J81" s="20"/>
      <c r="K81" s="20"/>
      <c r="L81" s="20"/>
      <c r="M81" s="20"/>
      <c r="N81" s="20"/>
      <c r="O81" s="20"/>
      <c r="P81" s="20"/>
      <c r="Q81" s="20"/>
      <c r="R81" s="20"/>
      <c r="S81" s="20"/>
      <c r="T81" s="20"/>
      <c r="U81" s="20"/>
      <c r="V81" s="20"/>
      <c r="W81" s="20"/>
      <c r="X81" s="20"/>
      <c r="Y81" s="20"/>
    </row>
    <row r="82" spans="1:25">
      <c r="A82" s="20"/>
      <c r="B82" s="20"/>
      <c r="C82" s="20"/>
      <c r="D82" s="20"/>
      <c r="E82" s="20"/>
      <c r="F82" s="20"/>
      <c r="G82" s="20"/>
      <c r="H82" s="20"/>
      <c r="I82" s="20"/>
      <c r="J82" s="20"/>
      <c r="K82" s="20"/>
      <c r="L82" s="20"/>
      <c r="M82" s="20"/>
      <c r="N82" s="20"/>
      <c r="O82" s="20"/>
      <c r="P82" s="20"/>
      <c r="Q82" s="20"/>
      <c r="R82" s="20"/>
      <c r="S82" s="20"/>
      <c r="T82" s="20"/>
      <c r="U82" s="20"/>
      <c r="V82" s="20"/>
      <c r="W82" s="20"/>
      <c r="X82" s="20"/>
      <c r="Y82" s="20"/>
    </row>
    <row r="83" spans="1:25">
      <c r="A83" s="20"/>
      <c r="B83" s="40"/>
      <c r="C83" s="39"/>
      <c r="D83" s="20"/>
      <c r="E83" s="20"/>
      <c r="F83" s="20"/>
      <c r="G83" s="20"/>
      <c r="H83" s="20"/>
      <c r="I83" s="20"/>
      <c r="J83" s="20"/>
      <c r="K83" s="20"/>
      <c r="L83" s="20"/>
      <c r="M83" s="20"/>
      <c r="N83" s="20"/>
      <c r="O83" s="20"/>
      <c r="P83" s="20"/>
      <c r="Q83" s="20"/>
      <c r="R83" s="20"/>
      <c r="S83" s="20"/>
      <c r="T83" s="20"/>
      <c r="U83" s="20"/>
      <c r="V83" s="20"/>
      <c r="W83" s="20"/>
      <c r="X83" s="20"/>
      <c r="Y83" s="20"/>
    </row>
    <row r="84" spans="1:25">
      <c r="A84" s="20"/>
      <c r="B84" s="20"/>
      <c r="C84" s="39"/>
      <c r="D84" s="20"/>
      <c r="E84" s="20"/>
      <c r="F84" s="20"/>
      <c r="G84" s="20"/>
      <c r="H84" s="20"/>
      <c r="I84" s="20"/>
      <c r="J84" s="20"/>
      <c r="K84" s="20"/>
      <c r="L84" s="20"/>
      <c r="M84" s="20"/>
      <c r="N84" s="20"/>
      <c r="O84" s="20"/>
      <c r="P84" s="20"/>
      <c r="Q84" s="20"/>
      <c r="R84" s="20"/>
      <c r="S84" s="20"/>
      <c r="T84" s="20"/>
      <c r="U84" s="20"/>
      <c r="V84" s="20"/>
      <c r="W84" s="20"/>
      <c r="X84" s="20"/>
      <c r="Y84" s="20"/>
    </row>
    <row r="85" spans="1:25">
      <c r="A85" s="20"/>
      <c r="B85" s="20"/>
      <c r="C85" s="20"/>
      <c r="D85" s="20"/>
      <c r="E85" s="20"/>
      <c r="F85" s="20"/>
      <c r="G85" s="20"/>
      <c r="H85" s="20"/>
      <c r="I85" s="20"/>
      <c r="J85" s="20"/>
      <c r="K85" s="20"/>
      <c r="L85" s="20"/>
      <c r="M85" s="20"/>
      <c r="N85" s="20"/>
      <c r="O85" s="20"/>
      <c r="P85" s="20"/>
      <c r="Q85" s="20"/>
      <c r="R85" s="20"/>
      <c r="S85" s="20"/>
      <c r="T85" s="20"/>
      <c r="U85" s="20"/>
      <c r="V85" s="20"/>
      <c r="W85" s="20"/>
      <c r="X85" s="20"/>
      <c r="Y85" s="20"/>
    </row>
    <row r="86" spans="1:25">
      <c r="A86" s="20"/>
      <c r="B86" s="40"/>
      <c r="C86" s="43"/>
      <c r="D86" s="20"/>
      <c r="E86" s="20"/>
      <c r="F86" s="20"/>
      <c r="G86" s="20"/>
      <c r="H86" s="20"/>
      <c r="I86" s="20"/>
      <c r="J86" s="20"/>
      <c r="K86" s="20"/>
      <c r="L86" s="20"/>
      <c r="M86" s="20"/>
      <c r="N86" s="20"/>
      <c r="O86" s="20"/>
      <c r="P86" s="39"/>
      <c r="Q86" s="20"/>
      <c r="R86" s="20"/>
      <c r="S86" s="20"/>
      <c r="T86" s="20"/>
      <c r="U86" s="20"/>
      <c r="V86" s="20"/>
      <c r="W86" s="20"/>
      <c r="X86" s="20"/>
      <c r="Y86" s="20"/>
    </row>
    <row r="87" spans="1:25">
      <c r="A87" s="20"/>
      <c r="B87" s="20"/>
      <c r="C87" s="20"/>
      <c r="D87" s="20"/>
      <c r="E87" s="20"/>
      <c r="F87" s="20"/>
      <c r="G87" s="20"/>
      <c r="H87" s="20"/>
      <c r="I87" s="20"/>
      <c r="J87" s="20"/>
      <c r="K87" s="20"/>
      <c r="L87" s="20"/>
      <c r="M87" s="20"/>
      <c r="N87" s="20"/>
      <c r="O87" s="20"/>
      <c r="P87" s="20"/>
      <c r="Q87" s="20"/>
      <c r="R87" s="20"/>
      <c r="S87" s="20"/>
      <c r="T87" s="20"/>
      <c r="U87" s="20"/>
      <c r="V87" s="20"/>
      <c r="W87" s="20"/>
      <c r="X87" s="20"/>
      <c r="Y87" s="20"/>
    </row>
    <row r="88" spans="1:25">
      <c r="A88" s="38"/>
      <c r="B88" s="38"/>
      <c r="C88" s="20"/>
      <c r="D88" s="20"/>
      <c r="E88" s="20"/>
      <c r="F88" s="20"/>
      <c r="G88" s="20"/>
      <c r="H88" s="20"/>
      <c r="I88" s="20"/>
      <c r="J88" s="20"/>
      <c r="K88" s="20"/>
      <c r="L88" s="20"/>
      <c r="M88" s="20"/>
      <c r="N88" s="20"/>
      <c r="O88" s="20"/>
      <c r="P88" s="20"/>
      <c r="Q88" s="20"/>
      <c r="R88" s="20"/>
      <c r="S88" s="20"/>
      <c r="T88" s="20"/>
      <c r="U88" s="20"/>
      <c r="V88" s="20"/>
      <c r="W88" s="20"/>
      <c r="X88" s="20"/>
      <c r="Y88" s="20"/>
    </row>
    <row r="89" spans="1:25">
      <c r="A89" s="20"/>
      <c r="B89" s="39"/>
      <c r="C89" s="20"/>
      <c r="D89" s="20"/>
      <c r="E89" s="20"/>
      <c r="F89" s="20"/>
      <c r="G89" s="20"/>
      <c r="H89" s="20"/>
      <c r="I89" s="20"/>
      <c r="J89" s="20"/>
      <c r="K89" s="20"/>
      <c r="L89" s="20"/>
      <c r="M89" s="20"/>
      <c r="N89" s="20"/>
      <c r="O89" s="20"/>
      <c r="P89" s="20"/>
      <c r="Q89" s="20"/>
      <c r="R89" s="20"/>
      <c r="S89" s="20"/>
      <c r="T89" s="20"/>
      <c r="U89" s="20"/>
      <c r="V89" s="20"/>
      <c r="W89" s="20"/>
      <c r="X89" s="20"/>
      <c r="Y89" s="20"/>
    </row>
    <row r="90" spans="1:25">
      <c r="A90" s="20"/>
      <c r="B90" s="20"/>
      <c r="C90" s="20"/>
      <c r="D90" s="20"/>
      <c r="E90" s="20"/>
      <c r="F90" s="20"/>
      <c r="G90" s="20"/>
      <c r="H90" s="20"/>
      <c r="I90" s="20"/>
      <c r="J90" s="20"/>
      <c r="K90" s="20"/>
      <c r="L90" s="20"/>
      <c r="M90" s="20"/>
      <c r="N90" s="20"/>
      <c r="O90" s="20"/>
      <c r="P90" s="20"/>
      <c r="Q90" s="20"/>
      <c r="R90" s="20"/>
      <c r="S90" s="20"/>
      <c r="T90" s="20"/>
      <c r="U90" s="20"/>
      <c r="V90" s="20"/>
      <c r="W90" s="20"/>
      <c r="X90" s="20"/>
      <c r="Y90" s="20"/>
    </row>
    <row r="91" spans="1:25">
      <c r="A91" s="20"/>
      <c r="B91" s="40"/>
      <c r="C91" s="39"/>
      <c r="D91" s="20"/>
      <c r="E91" s="20"/>
      <c r="F91" s="20"/>
      <c r="G91" s="20"/>
      <c r="H91" s="20"/>
      <c r="I91" s="20"/>
      <c r="J91" s="20"/>
      <c r="K91" s="20"/>
      <c r="L91" s="20"/>
      <c r="M91" s="20"/>
      <c r="N91" s="20"/>
      <c r="O91" s="20"/>
      <c r="P91" s="39"/>
      <c r="Q91" s="20"/>
      <c r="R91" s="20"/>
      <c r="S91" s="20"/>
      <c r="T91" s="20"/>
      <c r="U91" s="20"/>
      <c r="V91" s="20"/>
      <c r="W91" s="20"/>
      <c r="X91" s="20"/>
      <c r="Y91" s="20"/>
    </row>
    <row r="92" spans="1:25">
      <c r="A92" s="20"/>
      <c r="B92" s="20"/>
      <c r="C92" s="20"/>
      <c r="D92" s="20"/>
      <c r="E92" s="20"/>
      <c r="F92" s="20"/>
      <c r="G92" s="20"/>
      <c r="H92" s="20"/>
      <c r="I92" s="20"/>
      <c r="J92" s="20"/>
      <c r="K92" s="20"/>
      <c r="L92" s="20"/>
      <c r="M92" s="20"/>
      <c r="N92" s="20"/>
      <c r="O92" s="20"/>
      <c r="P92" s="20"/>
      <c r="Q92" s="20"/>
      <c r="R92" s="20"/>
      <c r="S92" s="20"/>
      <c r="T92" s="20"/>
      <c r="U92" s="20"/>
      <c r="V92" s="20"/>
      <c r="W92" s="20"/>
      <c r="X92" s="20"/>
      <c r="Y92" s="20"/>
    </row>
    <row r="93" spans="1:25">
      <c r="A93" s="20"/>
      <c r="B93" s="40"/>
      <c r="C93" s="39"/>
      <c r="D93" s="20"/>
      <c r="E93" s="20"/>
      <c r="F93" s="20"/>
      <c r="G93" s="20"/>
      <c r="H93" s="20"/>
      <c r="I93" s="20"/>
      <c r="J93" s="20"/>
      <c r="K93" s="20"/>
      <c r="L93" s="20"/>
      <c r="M93" s="20"/>
      <c r="N93" s="20"/>
      <c r="O93" s="20"/>
      <c r="P93" s="39"/>
      <c r="Q93" s="20"/>
      <c r="R93" s="20"/>
      <c r="S93" s="20"/>
      <c r="T93" s="20"/>
      <c r="U93" s="20"/>
      <c r="V93" s="20"/>
      <c r="W93" s="20"/>
      <c r="X93" s="20"/>
      <c r="Y93" s="20"/>
    </row>
    <row r="94" spans="1:25">
      <c r="A94" s="20"/>
      <c r="B94" s="20"/>
      <c r="C94" s="20"/>
      <c r="D94" s="20"/>
      <c r="E94" s="20"/>
      <c r="F94" s="20"/>
      <c r="G94" s="20"/>
      <c r="H94" s="20"/>
      <c r="I94" s="20"/>
      <c r="J94" s="20"/>
      <c r="K94" s="20"/>
      <c r="L94" s="20"/>
      <c r="M94" s="20"/>
      <c r="N94" s="20"/>
      <c r="O94" s="20"/>
      <c r="P94" s="20"/>
      <c r="Q94" s="20"/>
      <c r="R94" s="20"/>
      <c r="S94" s="20"/>
      <c r="T94" s="20"/>
      <c r="U94" s="20"/>
      <c r="V94" s="20"/>
      <c r="W94" s="20"/>
      <c r="X94" s="20"/>
      <c r="Y94" s="20"/>
    </row>
    <row r="95" spans="1:25">
      <c r="A95" s="20"/>
      <c r="B95" s="40"/>
      <c r="C95" s="39"/>
      <c r="D95" s="20"/>
      <c r="E95" s="20"/>
      <c r="F95" s="20"/>
      <c r="G95" s="20"/>
      <c r="H95" s="20"/>
      <c r="I95" s="20"/>
      <c r="J95" s="20"/>
      <c r="K95" s="20"/>
      <c r="L95" s="20"/>
      <c r="M95" s="20"/>
      <c r="N95" s="20"/>
      <c r="O95" s="20"/>
      <c r="P95" s="20"/>
      <c r="Q95" s="20"/>
      <c r="R95" s="20"/>
      <c r="S95" s="20"/>
      <c r="T95" s="20"/>
      <c r="U95" s="20"/>
      <c r="V95" s="20"/>
      <c r="W95" s="20"/>
      <c r="X95" s="20"/>
      <c r="Y95" s="20"/>
    </row>
    <row r="96" spans="1:25">
      <c r="A96" s="20"/>
      <c r="B96" s="20"/>
      <c r="C96" s="20"/>
      <c r="D96" s="20"/>
      <c r="E96" s="20"/>
      <c r="F96" s="20"/>
      <c r="G96" s="20"/>
      <c r="H96" s="20"/>
      <c r="I96" s="20"/>
      <c r="J96" s="20"/>
      <c r="K96" s="20"/>
      <c r="L96" s="20"/>
      <c r="M96" s="20"/>
      <c r="N96" s="20"/>
      <c r="O96" s="20"/>
      <c r="P96" s="20"/>
      <c r="Q96" s="20"/>
      <c r="R96" s="20"/>
      <c r="S96" s="20"/>
      <c r="T96" s="20"/>
      <c r="U96" s="20"/>
      <c r="V96" s="20"/>
      <c r="W96" s="20"/>
      <c r="X96" s="20"/>
      <c r="Y96" s="20"/>
    </row>
    <row r="97" spans="1:25">
      <c r="A97" s="20"/>
      <c r="B97" s="40"/>
      <c r="C97" s="39"/>
      <c r="D97" s="20"/>
      <c r="E97" s="20"/>
      <c r="F97" s="20"/>
      <c r="G97" s="20"/>
      <c r="H97" s="20"/>
      <c r="I97" s="20"/>
      <c r="J97" s="20"/>
      <c r="K97" s="20"/>
      <c r="L97" s="20"/>
      <c r="M97" s="20"/>
      <c r="N97" s="20"/>
      <c r="O97" s="20"/>
      <c r="P97" s="20"/>
      <c r="Q97" s="20"/>
      <c r="R97" s="20"/>
      <c r="S97" s="20"/>
      <c r="T97" s="20"/>
      <c r="U97" s="20"/>
      <c r="V97" s="20"/>
      <c r="W97" s="20"/>
      <c r="X97" s="20"/>
      <c r="Y97" s="20"/>
    </row>
    <row r="98" spans="1:25">
      <c r="A98" s="20"/>
      <c r="B98" s="20"/>
      <c r="C98" s="20"/>
      <c r="D98" s="20"/>
      <c r="E98" s="20"/>
      <c r="F98" s="20"/>
      <c r="G98" s="20"/>
      <c r="H98" s="20"/>
      <c r="I98" s="20"/>
      <c r="J98" s="20"/>
      <c r="K98" s="20"/>
      <c r="L98" s="20"/>
      <c r="M98" s="20"/>
      <c r="N98" s="20"/>
      <c r="O98" s="20"/>
      <c r="P98" s="20"/>
      <c r="Q98" s="20"/>
      <c r="R98" s="20"/>
      <c r="S98" s="20"/>
      <c r="T98" s="20"/>
      <c r="U98" s="20"/>
      <c r="V98" s="20"/>
      <c r="W98" s="20"/>
      <c r="X98" s="20"/>
      <c r="Y98" s="20"/>
    </row>
    <row r="99" spans="1:25">
      <c r="A99" s="20"/>
      <c r="B99" s="20"/>
      <c r="C99" s="20"/>
      <c r="D99" s="20"/>
      <c r="E99" s="20"/>
      <c r="F99" s="20"/>
      <c r="G99" s="20"/>
      <c r="H99" s="20"/>
      <c r="I99" s="20"/>
      <c r="J99" s="20"/>
      <c r="K99" s="20"/>
      <c r="L99" s="20"/>
      <c r="M99" s="20"/>
      <c r="N99" s="20"/>
      <c r="O99" s="20"/>
      <c r="P99" s="20"/>
      <c r="Q99" s="20"/>
      <c r="R99" s="20"/>
      <c r="S99" s="20"/>
      <c r="T99" s="20"/>
      <c r="U99" s="20"/>
      <c r="V99" s="20"/>
      <c r="W99" s="20"/>
      <c r="X99" s="20"/>
      <c r="Y99" s="20"/>
    </row>
    <row r="100" spans="1:25">
      <c r="A100" s="20"/>
      <c r="B100" s="20"/>
      <c r="C100" s="20"/>
      <c r="D100" s="20"/>
      <c r="E100" s="20"/>
      <c r="F100" s="20"/>
      <c r="G100" s="20"/>
      <c r="H100" s="20"/>
      <c r="I100" s="20"/>
      <c r="J100" s="20"/>
      <c r="K100" s="20"/>
      <c r="L100" s="20"/>
      <c r="M100" s="20"/>
      <c r="N100" s="20"/>
      <c r="O100" s="20"/>
      <c r="P100" s="20"/>
      <c r="Q100" s="20"/>
      <c r="R100" s="20"/>
      <c r="S100" s="20"/>
      <c r="T100" s="20"/>
      <c r="U100" s="20"/>
      <c r="V100" s="20"/>
      <c r="W100" s="20"/>
      <c r="X100" s="20"/>
      <c r="Y100" s="20"/>
    </row>
    <row r="101" spans="1:25">
      <c r="A101" s="20"/>
      <c r="B101" s="20"/>
      <c r="C101" s="20"/>
      <c r="D101" s="20"/>
      <c r="E101" s="20"/>
      <c r="F101" s="20"/>
      <c r="G101" s="20"/>
      <c r="H101" s="20"/>
      <c r="I101" s="20"/>
      <c r="J101" s="20"/>
      <c r="K101" s="20"/>
      <c r="L101" s="20"/>
      <c r="M101" s="20"/>
      <c r="N101" s="20"/>
      <c r="O101" s="20"/>
      <c r="P101" s="20"/>
      <c r="Q101" s="20"/>
      <c r="R101" s="20"/>
      <c r="S101" s="20"/>
      <c r="T101" s="20"/>
      <c r="U101" s="20"/>
      <c r="V101" s="20"/>
      <c r="W101" s="20"/>
      <c r="X101" s="20"/>
      <c r="Y101" s="20"/>
    </row>
    <row r="102" spans="1:25">
      <c r="A102" s="20"/>
      <c r="B102" s="20"/>
      <c r="C102" s="20"/>
      <c r="D102" s="20"/>
      <c r="E102" s="20"/>
      <c r="F102" s="20"/>
      <c r="G102" s="20"/>
      <c r="H102" s="20"/>
      <c r="I102" s="20"/>
      <c r="J102" s="20"/>
      <c r="K102" s="20"/>
      <c r="L102" s="20"/>
      <c r="M102" s="20"/>
      <c r="N102" s="20"/>
      <c r="O102" s="20"/>
      <c r="P102" s="20"/>
      <c r="Q102" s="20"/>
      <c r="R102" s="20"/>
      <c r="S102" s="20"/>
      <c r="T102" s="20"/>
      <c r="U102" s="20"/>
      <c r="V102" s="20"/>
      <c r="W102" s="20"/>
      <c r="X102" s="20"/>
      <c r="Y102" s="20"/>
    </row>
    <row r="103" spans="1:25">
      <c r="A103" s="20"/>
      <c r="B103" s="20"/>
      <c r="C103" s="20"/>
      <c r="D103" s="20"/>
      <c r="E103" s="20"/>
      <c r="F103" s="20"/>
      <c r="G103" s="20"/>
      <c r="H103" s="20"/>
      <c r="I103" s="20"/>
      <c r="J103" s="20"/>
      <c r="K103" s="20"/>
      <c r="L103" s="20"/>
      <c r="M103" s="20"/>
      <c r="N103" s="20"/>
      <c r="O103" s="20"/>
      <c r="P103" s="20"/>
      <c r="Q103" s="20"/>
      <c r="R103" s="20"/>
      <c r="S103" s="20"/>
      <c r="T103" s="20"/>
      <c r="U103" s="20"/>
      <c r="V103" s="20"/>
      <c r="W103" s="20"/>
      <c r="X103" s="20"/>
      <c r="Y103" s="20"/>
    </row>
    <row r="104" spans="1:25">
      <c r="A104" s="20"/>
      <c r="B104" s="20"/>
      <c r="C104" s="20"/>
      <c r="D104" s="20"/>
      <c r="E104" s="20"/>
      <c r="F104" s="20"/>
      <c r="G104" s="20"/>
      <c r="H104" s="20"/>
      <c r="I104" s="20"/>
      <c r="J104" s="20"/>
      <c r="K104" s="20"/>
      <c r="L104" s="20"/>
      <c r="M104" s="20"/>
      <c r="N104" s="20"/>
      <c r="O104" s="20"/>
      <c r="P104" s="20"/>
      <c r="Q104" s="20"/>
      <c r="R104" s="20"/>
      <c r="S104" s="20"/>
      <c r="T104" s="20"/>
      <c r="U104" s="20"/>
      <c r="V104" s="20"/>
      <c r="W104" s="20"/>
      <c r="X104" s="20"/>
      <c r="Y104" s="20"/>
    </row>
    <row r="105" spans="1:25">
      <c r="A105" s="20"/>
      <c r="B105" s="20"/>
      <c r="C105" s="20"/>
      <c r="D105" s="20"/>
      <c r="E105" s="20"/>
      <c r="F105" s="20"/>
      <c r="G105" s="20"/>
      <c r="H105" s="20"/>
      <c r="I105" s="20"/>
      <c r="J105" s="20"/>
      <c r="K105" s="20"/>
      <c r="L105" s="20"/>
      <c r="M105" s="20"/>
      <c r="N105" s="20"/>
      <c r="O105" s="20"/>
      <c r="P105" s="20"/>
      <c r="Q105" s="20"/>
      <c r="R105" s="20"/>
      <c r="S105" s="20"/>
      <c r="T105" s="20"/>
      <c r="U105" s="20"/>
      <c r="V105" s="20"/>
      <c r="W105" s="20"/>
      <c r="X105" s="20"/>
      <c r="Y105" s="20"/>
    </row>
    <row r="106" spans="1:25">
      <c r="A106" s="20"/>
      <c r="B106" s="20"/>
      <c r="C106" s="20"/>
      <c r="D106" s="20"/>
      <c r="E106" s="20"/>
      <c r="F106" s="20"/>
      <c r="G106" s="20"/>
      <c r="H106" s="20"/>
      <c r="I106" s="20"/>
      <c r="J106" s="20"/>
      <c r="K106" s="20"/>
      <c r="L106" s="20"/>
      <c r="M106" s="20"/>
      <c r="N106" s="20"/>
      <c r="O106" s="20"/>
      <c r="P106" s="20"/>
      <c r="Q106" s="20"/>
      <c r="R106" s="20"/>
      <c r="S106" s="20"/>
      <c r="T106" s="20"/>
      <c r="U106" s="20"/>
      <c r="V106" s="20"/>
      <c r="W106" s="20"/>
      <c r="X106" s="20"/>
      <c r="Y106" s="20"/>
    </row>
    <row r="107" spans="1:25">
      <c r="A107" s="20"/>
      <c r="B107" s="20"/>
      <c r="C107" s="20"/>
      <c r="D107" s="20"/>
      <c r="E107" s="20"/>
      <c r="F107" s="20"/>
      <c r="G107" s="20"/>
      <c r="H107" s="20"/>
      <c r="I107" s="20"/>
      <c r="J107" s="20"/>
      <c r="K107" s="20"/>
      <c r="L107" s="20"/>
      <c r="M107" s="20"/>
      <c r="N107" s="20"/>
      <c r="O107" s="20"/>
      <c r="P107" s="20"/>
      <c r="Q107" s="20"/>
      <c r="R107" s="20"/>
      <c r="S107" s="20"/>
      <c r="T107" s="20"/>
      <c r="U107" s="20"/>
      <c r="V107" s="20"/>
      <c r="W107" s="20"/>
      <c r="X107" s="20"/>
      <c r="Y107" s="20"/>
    </row>
    <row r="108" spans="1:25">
      <c r="A108" s="20"/>
      <c r="B108" s="20"/>
      <c r="C108" s="20"/>
      <c r="D108" s="20"/>
      <c r="E108" s="20"/>
      <c r="F108" s="20"/>
      <c r="G108" s="20"/>
      <c r="H108" s="20"/>
      <c r="I108" s="20"/>
      <c r="J108" s="20"/>
      <c r="K108" s="20"/>
      <c r="L108" s="20"/>
      <c r="M108" s="20"/>
      <c r="N108" s="20"/>
      <c r="O108" s="20"/>
      <c r="P108" s="20"/>
      <c r="Q108" s="20"/>
      <c r="R108" s="20"/>
      <c r="S108" s="20"/>
      <c r="T108" s="20"/>
      <c r="U108" s="20"/>
      <c r="V108" s="20"/>
      <c r="W108" s="20"/>
      <c r="X108" s="20"/>
      <c r="Y108" s="20"/>
    </row>
    <row r="109" spans="1:25">
      <c r="A109" s="20"/>
      <c r="B109" s="20"/>
      <c r="C109" s="20"/>
      <c r="D109" s="20"/>
      <c r="E109" s="20"/>
      <c r="F109" s="20"/>
      <c r="G109" s="20"/>
      <c r="H109" s="20"/>
      <c r="I109" s="20"/>
      <c r="J109" s="20"/>
      <c r="K109" s="20"/>
      <c r="L109" s="20"/>
      <c r="M109" s="20"/>
      <c r="N109" s="20"/>
      <c r="O109" s="20"/>
      <c r="P109" s="20"/>
      <c r="Q109" s="20"/>
      <c r="R109" s="20"/>
      <c r="S109" s="20"/>
      <c r="T109" s="20"/>
      <c r="U109" s="20"/>
      <c r="V109" s="20"/>
      <c r="W109" s="20"/>
      <c r="X109" s="20"/>
      <c r="Y109" s="20"/>
    </row>
    <row r="110" spans="1:25">
      <c r="A110" s="20"/>
      <c r="B110" s="20"/>
      <c r="C110" s="20"/>
      <c r="D110" s="20"/>
      <c r="E110" s="20"/>
      <c r="F110" s="20"/>
      <c r="G110" s="20"/>
      <c r="H110" s="20"/>
      <c r="I110" s="20"/>
      <c r="J110" s="20"/>
      <c r="K110" s="20"/>
      <c r="L110" s="20"/>
      <c r="M110" s="20"/>
      <c r="N110" s="20"/>
      <c r="O110" s="20"/>
      <c r="P110" s="20"/>
      <c r="Q110" s="20"/>
      <c r="R110" s="20"/>
      <c r="S110" s="20"/>
      <c r="T110" s="20"/>
      <c r="U110" s="20"/>
      <c r="V110" s="20"/>
      <c r="W110" s="20"/>
      <c r="X110" s="20"/>
      <c r="Y110" s="20"/>
    </row>
    <row r="111" spans="1:25">
      <c r="A111" s="20"/>
      <c r="B111" s="20"/>
      <c r="C111" s="20"/>
      <c r="D111" s="20"/>
      <c r="E111" s="20"/>
      <c r="F111" s="20"/>
      <c r="G111" s="20"/>
      <c r="H111" s="20"/>
      <c r="I111" s="20"/>
      <c r="J111" s="20"/>
      <c r="K111" s="20"/>
      <c r="L111" s="20"/>
      <c r="M111" s="20"/>
      <c r="N111" s="20"/>
      <c r="O111" s="20"/>
      <c r="P111" s="20"/>
      <c r="Q111" s="20"/>
      <c r="R111" s="20"/>
      <c r="S111" s="20"/>
      <c r="T111" s="20"/>
      <c r="U111" s="20"/>
      <c r="V111" s="20"/>
      <c r="W111" s="20"/>
      <c r="X111" s="20"/>
      <c r="Y111" s="20"/>
    </row>
    <row r="112" spans="1:25">
      <c r="A112" s="20"/>
      <c r="B112" s="20"/>
      <c r="C112" s="20"/>
      <c r="D112" s="20"/>
      <c r="E112" s="20"/>
      <c r="F112" s="20"/>
      <c r="G112" s="20"/>
      <c r="H112" s="20"/>
      <c r="I112" s="20"/>
      <c r="J112" s="20"/>
      <c r="K112" s="20"/>
      <c r="L112" s="20"/>
      <c r="M112" s="20"/>
      <c r="N112" s="20"/>
      <c r="O112" s="20"/>
      <c r="P112" s="20"/>
      <c r="Q112" s="20"/>
      <c r="R112" s="20"/>
      <c r="S112" s="20"/>
      <c r="T112" s="20"/>
      <c r="U112" s="20"/>
      <c r="V112" s="20"/>
      <c r="W112" s="20"/>
      <c r="X112" s="20"/>
      <c r="Y112" s="20"/>
    </row>
    <row r="113" spans="1:25">
      <c r="A113" s="20"/>
      <c r="B113" s="20"/>
      <c r="C113" s="20"/>
      <c r="D113" s="20"/>
      <c r="E113" s="20"/>
      <c r="F113" s="20"/>
      <c r="G113" s="20"/>
      <c r="H113" s="20"/>
      <c r="I113" s="20"/>
      <c r="J113" s="20"/>
      <c r="K113" s="20"/>
      <c r="L113" s="20"/>
      <c r="M113" s="20"/>
      <c r="N113" s="20"/>
      <c r="O113" s="20"/>
      <c r="P113" s="20"/>
      <c r="Q113" s="20"/>
      <c r="R113" s="20"/>
      <c r="S113" s="20"/>
      <c r="T113" s="20"/>
      <c r="U113" s="20"/>
      <c r="V113" s="20"/>
      <c r="W113" s="20"/>
      <c r="X113" s="20"/>
      <c r="Y113" s="20"/>
    </row>
    <row r="114" spans="1:25">
      <c r="A114" s="20"/>
      <c r="B114" s="20"/>
      <c r="C114" s="20"/>
      <c r="D114" s="20"/>
      <c r="E114" s="20"/>
      <c r="F114" s="20"/>
      <c r="G114" s="20"/>
      <c r="H114" s="20"/>
      <c r="I114" s="20"/>
      <c r="J114" s="20"/>
      <c r="K114" s="20"/>
      <c r="L114" s="20"/>
      <c r="M114" s="20"/>
      <c r="N114" s="20"/>
      <c r="O114" s="20"/>
      <c r="P114" s="20"/>
      <c r="Q114" s="20"/>
      <c r="R114" s="20"/>
      <c r="S114" s="20"/>
      <c r="T114" s="20"/>
      <c r="U114" s="20"/>
      <c r="V114" s="20"/>
      <c r="W114" s="20"/>
      <c r="X114" s="20"/>
      <c r="Y114" s="20"/>
    </row>
    <row r="115" spans="1:25">
      <c r="A115" s="20"/>
      <c r="B115" s="20"/>
      <c r="C115" s="20"/>
      <c r="D115" s="20"/>
      <c r="E115" s="20"/>
      <c r="F115" s="20"/>
      <c r="G115" s="20"/>
      <c r="H115" s="20"/>
      <c r="I115" s="20"/>
      <c r="J115" s="20"/>
      <c r="K115" s="20"/>
      <c r="L115" s="20"/>
      <c r="M115" s="20"/>
      <c r="N115" s="20"/>
      <c r="O115" s="20"/>
      <c r="P115" s="20"/>
      <c r="Q115" s="20"/>
      <c r="R115" s="20"/>
      <c r="S115" s="20"/>
      <c r="T115" s="20"/>
      <c r="U115" s="20"/>
      <c r="V115" s="20"/>
      <c r="W115" s="20"/>
      <c r="X115" s="20"/>
      <c r="Y115" s="20"/>
    </row>
    <row r="116" spans="1:25">
      <c r="A116" s="20"/>
      <c r="B116" s="20"/>
      <c r="C116" s="20"/>
      <c r="D116" s="20"/>
      <c r="E116" s="20"/>
      <c r="F116" s="20"/>
      <c r="G116" s="20"/>
      <c r="H116" s="20"/>
      <c r="I116" s="20"/>
      <c r="J116" s="20"/>
      <c r="K116" s="20"/>
      <c r="L116" s="20"/>
      <c r="M116" s="20"/>
      <c r="N116" s="20"/>
      <c r="O116" s="20"/>
      <c r="P116" s="20"/>
      <c r="Q116" s="20"/>
      <c r="R116" s="20"/>
      <c r="S116" s="20"/>
      <c r="T116" s="20"/>
      <c r="U116" s="20"/>
      <c r="V116" s="20"/>
      <c r="W116" s="20"/>
      <c r="X116" s="20"/>
      <c r="Y116" s="20"/>
    </row>
    <row r="117" spans="1:25">
      <c r="A117" s="20"/>
      <c r="B117" s="20"/>
      <c r="C117" s="20"/>
      <c r="D117" s="20"/>
      <c r="E117" s="20"/>
      <c r="F117" s="20"/>
      <c r="G117" s="20"/>
      <c r="H117" s="20"/>
      <c r="I117" s="20"/>
      <c r="J117" s="20"/>
      <c r="K117" s="20"/>
      <c r="L117" s="20"/>
      <c r="M117" s="20"/>
      <c r="N117" s="20"/>
      <c r="O117" s="20"/>
      <c r="P117" s="20"/>
      <c r="Q117" s="20"/>
      <c r="R117" s="20"/>
      <c r="S117" s="20"/>
      <c r="T117" s="20"/>
      <c r="U117" s="20"/>
      <c r="V117" s="20"/>
      <c r="W117" s="20"/>
      <c r="X117" s="20"/>
      <c r="Y117" s="20"/>
    </row>
    <row r="118" spans="1:25">
      <c r="A118" s="20"/>
      <c r="B118" s="20"/>
      <c r="C118" s="20"/>
      <c r="D118" s="20"/>
      <c r="E118" s="20"/>
      <c r="F118" s="20"/>
      <c r="G118" s="20"/>
      <c r="H118" s="20"/>
      <c r="I118" s="20"/>
      <c r="J118" s="20"/>
      <c r="K118" s="20"/>
      <c r="L118" s="20"/>
      <c r="M118" s="20"/>
      <c r="N118" s="20"/>
      <c r="O118" s="20"/>
      <c r="P118" s="20"/>
      <c r="Q118" s="20"/>
      <c r="R118" s="20"/>
      <c r="S118" s="20"/>
      <c r="T118" s="20"/>
      <c r="U118" s="20"/>
      <c r="V118" s="20"/>
      <c r="W118" s="20"/>
      <c r="X118" s="20"/>
      <c r="Y118" s="20"/>
    </row>
    <row r="119" spans="1:25">
      <c r="A119" s="20"/>
      <c r="B119" s="20"/>
      <c r="C119" s="20"/>
      <c r="D119" s="20"/>
      <c r="E119" s="20"/>
      <c r="F119" s="20"/>
      <c r="G119" s="20"/>
      <c r="H119" s="20"/>
      <c r="I119" s="20"/>
      <c r="J119" s="20"/>
      <c r="K119" s="20"/>
      <c r="L119" s="20"/>
      <c r="M119" s="20"/>
      <c r="N119" s="20"/>
      <c r="O119" s="20"/>
      <c r="P119" s="20"/>
      <c r="Q119" s="20"/>
      <c r="R119" s="20"/>
      <c r="S119" s="20"/>
      <c r="T119" s="20"/>
      <c r="U119" s="20"/>
      <c r="V119" s="20"/>
      <c r="W119" s="20"/>
      <c r="X119" s="20"/>
      <c r="Y119" s="20"/>
    </row>
    <row r="120" spans="1:25">
      <c r="A120" s="20"/>
      <c r="B120" s="20"/>
      <c r="C120" s="20"/>
      <c r="D120" s="20"/>
      <c r="E120" s="20"/>
      <c r="F120" s="20"/>
      <c r="G120" s="20"/>
      <c r="H120" s="20"/>
      <c r="I120" s="20"/>
      <c r="J120" s="20"/>
      <c r="K120" s="20"/>
      <c r="L120" s="20"/>
      <c r="M120" s="20"/>
      <c r="N120" s="20"/>
      <c r="O120" s="20"/>
      <c r="P120" s="20"/>
      <c r="Q120" s="20"/>
      <c r="R120" s="20"/>
      <c r="S120" s="20"/>
      <c r="T120" s="20"/>
      <c r="U120" s="20"/>
      <c r="V120" s="20"/>
      <c r="W120" s="20"/>
      <c r="X120" s="20"/>
      <c r="Y120" s="20"/>
    </row>
    <row r="121" spans="1:25">
      <c r="A121" s="20"/>
      <c r="B121" s="20"/>
      <c r="C121" s="20"/>
      <c r="D121" s="20"/>
      <c r="E121" s="20"/>
      <c r="F121" s="20"/>
      <c r="G121" s="20"/>
      <c r="H121" s="20"/>
      <c r="I121" s="20"/>
      <c r="J121" s="20"/>
      <c r="K121" s="20"/>
      <c r="L121" s="20"/>
      <c r="M121" s="20"/>
      <c r="N121" s="20"/>
      <c r="O121" s="20"/>
      <c r="P121" s="20"/>
      <c r="Q121" s="20"/>
      <c r="R121" s="20"/>
      <c r="S121" s="20"/>
      <c r="T121" s="20"/>
      <c r="U121" s="20"/>
      <c r="V121" s="20"/>
      <c r="W121" s="20"/>
      <c r="X121" s="20"/>
      <c r="Y121" s="20"/>
    </row>
    <row r="122" spans="1:25">
      <c r="A122" s="20"/>
      <c r="B122" s="20"/>
      <c r="C122" s="20"/>
      <c r="D122" s="20"/>
      <c r="E122" s="20"/>
      <c r="F122" s="20"/>
      <c r="G122" s="20"/>
      <c r="H122" s="20"/>
      <c r="I122" s="20"/>
      <c r="J122" s="20"/>
      <c r="K122" s="20"/>
      <c r="L122" s="20"/>
      <c r="M122" s="20"/>
      <c r="N122" s="20"/>
      <c r="O122" s="20"/>
      <c r="P122" s="20"/>
      <c r="Q122" s="20"/>
      <c r="R122" s="20"/>
      <c r="S122" s="20"/>
      <c r="T122" s="20"/>
      <c r="U122" s="20"/>
      <c r="V122" s="20"/>
      <c r="W122" s="20"/>
      <c r="X122" s="20"/>
      <c r="Y122" s="20"/>
    </row>
    <row r="123" spans="1:25">
      <c r="A123" s="20"/>
      <c r="B123" s="20"/>
      <c r="C123" s="20"/>
      <c r="D123" s="20"/>
      <c r="E123" s="20"/>
      <c r="F123" s="20"/>
      <c r="G123" s="20"/>
      <c r="H123" s="20"/>
      <c r="I123" s="20"/>
      <c r="J123" s="20"/>
      <c r="K123" s="20"/>
      <c r="L123" s="20"/>
      <c r="M123" s="20"/>
      <c r="N123" s="20"/>
      <c r="O123" s="20"/>
      <c r="P123" s="20"/>
      <c r="Q123" s="20"/>
      <c r="R123" s="20"/>
      <c r="S123" s="20"/>
      <c r="T123" s="20"/>
      <c r="U123" s="20"/>
      <c r="V123" s="20"/>
      <c r="W123" s="20"/>
      <c r="X123" s="20"/>
      <c r="Y123" s="20"/>
    </row>
    <row r="124" spans="1:25">
      <c r="A124" s="20"/>
      <c r="B124" s="20"/>
      <c r="C124" s="20"/>
      <c r="D124" s="20"/>
      <c r="E124" s="20"/>
      <c r="F124" s="20"/>
      <c r="G124" s="20"/>
      <c r="H124" s="20"/>
      <c r="I124" s="20"/>
      <c r="J124" s="20"/>
      <c r="K124" s="20"/>
      <c r="L124" s="20"/>
      <c r="M124" s="20"/>
      <c r="N124" s="20"/>
      <c r="O124" s="20"/>
      <c r="P124" s="20"/>
      <c r="Q124" s="20"/>
      <c r="R124" s="20"/>
      <c r="S124" s="20"/>
      <c r="T124" s="20"/>
      <c r="U124" s="20"/>
      <c r="V124" s="20"/>
      <c r="W124" s="20"/>
      <c r="X124" s="20"/>
      <c r="Y124" s="20"/>
    </row>
    <row r="125" spans="1:25">
      <c r="A125" s="20"/>
      <c r="B125" s="20"/>
      <c r="C125" s="20"/>
      <c r="D125" s="20"/>
      <c r="E125" s="20"/>
      <c r="F125" s="20"/>
      <c r="G125" s="20"/>
      <c r="H125" s="20"/>
      <c r="I125" s="20"/>
      <c r="J125" s="20"/>
      <c r="K125" s="20"/>
      <c r="L125" s="20"/>
      <c r="M125" s="20"/>
      <c r="N125" s="20"/>
      <c r="O125" s="20"/>
      <c r="P125" s="20"/>
      <c r="Q125" s="20"/>
      <c r="R125" s="20"/>
      <c r="S125" s="20"/>
      <c r="T125" s="20"/>
      <c r="U125" s="20"/>
      <c r="V125" s="20"/>
      <c r="W125" s="20"/>
      <c r="X125" s="20"/>
      <c r="Y125" s="20"/>
    </row>
    <row r="126" spans="1:25">
      <c r="A126" s="20"/>
      <c r="B126" s="20"/>
      <c r="C126" s="20"/>
      <c r="D126" s="20"/>
      <c r="E126" s="20"/>
      <c r="F126" s="20"/>
      <c r="G126" s="20"/>
      <c r="H126" s="20"/>
      <c r="I126" s="20"/>
      <c r="J126" s="20"/>
      <c r="K126" s="20"/>
      <c r="L126" s="20"/>
      <c r="M126" s="20"/>
      <c r="N126" s="20"/>
      <c r="O126" s="20"/>
      <c r="P126" s="20"/>
      <c r="Q126" s="20"/>
      <c r="R126" s="20"/>
      <c r="S126" s="20"/>
      <c r="T126" s="20"/>
      <c r="U126" s="20"/>
      <c r="V126" s="20"/>
      <c r="W126" s="20"/>
      <c r="X126" s="20"/>
      <c r="Y126" s="20"/>
    </row>
    <row r="127" spans="1:25">
      <c r="A127" s="20"/>
      <c r="B127" s="20"/>
      <c r="C127" s="20"/>
      <c r="D127" s="20"/>
      <c r="E127" s="20"/>
      <c r="F127" s="20"/>
      <c r="G127" s="20"/>
      <c r="H127" s="20"/>
      <c r="I127" s="20"/>
      <c r="J127" s="20"/>
      <c r="K127" s="20"/>
      <c r="L127" s="20"/>
      <c r="M127" s="20"/>
      <c r="N127" s="20"/>
      <c r="O127" s="20"/>
      <c r="P127" s="20"/>
      <c r="Q127" s="20"/>
      <c r="R127" s="20"/>
      <c r="S127" s="20"/>
      <c r="T127" s="20"/>
      <c r="U127" s="20"/>
      <c r="V127" s="20"/>
      <c r="W127" s="20"/>
      <c r="X127" s="20"/>
      <c r="Y127" s="20"/>
    </row>
    <row r="128" spans="1:25">
      <c r="A128" s="20"/>
      <c r="B128" s="20"/>
      <c r="C128" s="20"/>
      <c r="D128" s="20"/>
      <c r="E128" s="20"/>
      <c r="F128" s="20"/>
      <c r="G128" s="20"/>
      <c r="H128" s="20"/>
      <c r="I128" s="20"/>
      <c r="J128" s="20"/>
      <c r="K128" s="20"/>
      <c r="L128" s="20"/>
      <c r="M128" s="20"/>
      <c r="N128" s="20"/>
      <c r="O128" s="20"/>
      <c r="P128" s="20"/>
      <c r="Q128" s="20"/>
      <c r="R128" s="20"/>
      <c r="S128" s="20"/>
      <c r="T128" s="20"/>
      <c r="U128" s="20"/>
      <c r="V128" s="20"/>
      <c r="W128" s="20"/>
      <c r="X128" s="20"/>
      <c r="Y128" s="20"/>
    </row>
    <row r="129" spans="1:25">
      <c r="A129" s="20"/>
      <c r="B129" s="20"/>
      <c r="C129" s="20"/>
      <c r="D129" s="20"/>
      <c r="E129" s="20"/>
      <c r="F129" s="20"/>
      <c r="G129" s="20"/>
      <c r="H129" s="20"/>
      <c r="I129" s="20"/>
      <c r="J129" s="20"/>
      <c r="K129" s="20"/>
      <c r="L129" s="20"/>
      <c r="M129" s="20"/>
      <c r="N129" s="20"/>
      <c r="O129" s="20"/>
      <c r="P129" s="20"/>
      <c r="Q129" s="20"/>
      <c r="R129" s="20"/>
      <c r="S129" s="20"/>
      <c r="T129" s="20"/>
      <c r="U129" s="20"/>
      <c r="V129" s="20"/>
      <c r="W129" s="20"/>
      <c r="X129" s="20"/>
      <c r="Y129" s="20"/>
    </row>
    <row r="130" spans="1:25">
      <c r="A130" s="20"/>
      <c r="B130" s="20"/>
      <c r="C130" s="20"/>
      <c r="D130" s="20"/>
      <c r="E130" s="20"/>
      <c r="F130" s="20"/>
      <c r="G130" s="20"/>
      <c r="H130" s="20"/>
      <c r="I130" s="20"/>
      <c r="J130" s="20"/>
      <c r="K130" s="20"/>
      <c r="L130" s="20"/>
      <c r="M130" s="20"/>
      <c r="N130" s="20"/>
      <c r="O130" s="20"/>
      <c r="P130" s="20"/>
      <c r="Q130" s="20"/>
      <c r="R130" s="20"/>
      <c r="S130" s="20"/>
      <c r="T130" s="20"/>
      <c r="U130" s="20"/>
      <c r="V130" s="20"/>
      <c r="W130" s="20"/>
      <c r="X130" s="20"/>
      <c r="Y130" s="20"/>
    </row>
    <row r="131" spans="1:25">
      <c r="A131" s="20"/>
      <c r="B131" s="20"/>
      <c r="C131" s="20"/>
      <c r="D131" s="20"/>
      <c r="E131" s="20"/>
      <c r="F131" s="20"/>
      <c r="G131" s="20"/>
      <c r="H131" s="20"/>
      <c r="I131" s="20"/>
      <c r="J131" s="20"/>
      <c r="K131" s="20"/>
      <c r="L131" s="20"/>
      <c r="M131" s="20"/>
      <c r="N131" s="20"/>
      <c r="O131" s="20"/>
      <c r="P131" s="20"/>
      <c r="Q131" s="20"/>
      <c r="R131" s="20"/>
      <c r="S131" s="20"/>
      <c r="T131" s="20"/>
      <c r="U131" s="20"/>
      <c r="V131" s="20"/>
      <c r="W131" s="20"/>
      <c r="X131" s="20"/>
      <c r="Y131" s="20"/>
    </row>
    <row r="132" spans="1:25">
      <c r="A132" s="20"/>
      <c r="B132" s="20"/>
      <c r="C132" s="20"/>
      <c r="D132" s="20"/>
      <c r="E132" s="20"/>
      <c r="F132" s="20"/>
      <c r="G132" s="20"/>
      <c r="H132" s="20"/>
      <c r="I132" s="20"/>
      <c r="J132" s="20"/>
      <c r="K132" s="20"/>
      <c r="L132" s="20"/>
      <c r="M132" s="20"/>
      <c r="N132" s="20"/>
      <c r="O132" s="20"/>
      <c r="P132" s="20"/>
      <c r="Q132" s="20"/>
      <c r="R132" s="20"/>
      <c r="S132" s="20"/>
      <c r="T132" s="20"/>
      <c r="U132" s="20"/>
      <c r="V132" s="20"/>
      <c r="W132" s="20"/>
      <c r="X132" s="20"/>
      <c r="Y132" s="20"/>
    </row>
    <row r="133" spans="1:25">
      <c r="A133" s="20"/>
      <c r="B133" s="20"/>
      <c r="C133" s="20"/>
      <c r="D133" s="20"/>
      <c r="E133" s="20"/>
      <c r="F133" s="20"/>
      <c r="G133" s="20"/>
      <c r="H133" s="20"/>
      <c r="I133" s="20"/>
      <c r="J133" s="20"/>
      <c r="K133" s="20"/>
      <c r="L133" s="20"/>
      <c r="M133" s="20"/>
      <c r="N133" s="20"/>
      <c r="O133" s="20"/>
      <c r="P133" s="20"/>
      <c r="Q133" s="20"/>
      <c r="R133" s="20"/>
      <c r="S133" s="20"/>
      <c r="T133" s="20"/>
      <c r="U133" s="20"/>
      <c r="V133" s="20"/>
      <c r="W133" s="20"/>
      <c r="X133" s="20"/>
      <c r="Y133" s="20"/>
    </row>
    <row r="134" spans="1:25">
      <c r="A134" s="20"/>
      <c r="B134" s="20"/>
      <c r="C134" s="20"/>
      <c r="D134" s="20"/>
      <c r="E134" s="20"/>
      <c r="F134" s="20"/>
      <c r="G134" s="20"/>
      <c r="H134" s="20"/>
      <c r="I134" s="20"/>
      <c r="J134" s="20"/>
      <c r="K134" s="20"/>
      <c r="L134" s="20"/>
      <c r="M134" s="20"/>
      <c r="N134" s="20"/>
      <c r="O134" s="20"/>
      <c r="P134" s="20"/>
      <c r="Q134" s="20"/>
      <c r="R134" s="20"/>
      <c r="S134" s="20"/>
      <c r="T134" s="20"/>
      <c r="U134" s="20"/>
      <c r="V134" s="20"/>
      <c r="W134" s="20"/>
      <c r="X134" s="20"/>
      <c r="Y134" s="20"/>
    </row>
    <row r="135" spans="1:25">
      <c r="A135" s="20"/>
      <c r="B135" s="20"/>
      <c r="C135" s="20"/>
      <c r="D135" s="20"/>
      <c r="E135" s="20"/>
      <c r="F135" s="20"/>
      <c r="G135" s="20"/>
      <c r="H135" s="20"/>
      <c r="I135" s="20"/>
      <c r="J135" s="20"/>
      <c r="K135" s="20"/>
      <c r="L135" s="20"/>
      <c r="M135" s="20"/>
      <c r="N135" s="20"/>
      <c r="O135" s="20"/>
      <c r="P135" s="20"/>
      <c r="Q135" s="20"/>
      <c r="R135" s="20"/>
      <c r="S135" s="20"/>
      <c r="T135" s="20"/>
      <c r="U135" s="20"/>
      <c r="V135" s="20"/>
      <c r="W135" s="20"/>
      <c r="X135" s="20"/>
      <c r="Y135" s="20"/>
    </row>
    <row r="136" spans="1:25">
      <c r="A136" s="20"/>
      <c r="B136" s="20"/>
      <c r="C136" s="20"/>
      <c r="D136" s="20"/>
      <c r="E136" s="20"/>
      <c r="F136" s="20"/>
      <c r="G136" s="20"/>
      <c r="H136" s="20"/>
      <c r="I136" s="20"/>
      <c r="J136" s="20"/>
      <c r="K136" s="20"/>
      <c r="L136" s="20"/>
      <c r="M136" s="20"/>
      <c r="N136" s="20"/>
      <c r="O136" s="20"/>
      <c r="P136" s="20"/>
      <c r="Q136" s="20"/>
      <c r="R136" s="20"/>
      <c r="S136" s="20"/>
      <c r="T136" s="20"/>
      <c r="U136" s="20"/>
      <c r="V136" s="20"/>
      <c r="W136" s="20"/>
      <c r="X136" s="20"/>
      <c r="Y136" s="20"/>
    </row>
    <row r="137" spans="1:25">
      <c r="A137" s="20"/>
      <c r="B137" s="20"/>
      <c r="C137" s="20"/>
      <c r="D137" s="20"/>
      <c r="E137" s="20"/>
      <c r="F137" s="20"/>
      <c r="G137" s="20"/>
      <c r="H137" s="20"/>
      <c r="I137" s="20"/>
      <c r="J137" s="20"/>
      <c r="K137" s="20"/>
      <c r="L137" s="20"/>
      <c r="M137" s="20"/>
      <c r="N137" s="20"/>
      <c r="O137" s="20"/>
      <c r="P137" s="20"/>
      <c r="Q137" s="20"/>
      <c r="R137" s="20"/>
      <c r="S137" s="20"/>
      <c r="T137" s="20"/>
      <c r="U137" s="20"/>
      <c r="V137" s="20"/>
      <c r="W137" s="20"/>
      <c r="X137" s="20"/>
      <c r="Y137" s="20"/>
    </row>
    <row r="138" spans="1:25">
      <c r="A138" s="20"/>
      <c r="B138" s="20"/>
      <c r="C138" s="20"/>
      <c r="D138" s="20"/>
      <c r="E138" s="20"/>
      <c r="F138" s="20"/>
      <c r="G138" s="20"/>
      <c r="H138" s="20"/>
      <c r="I138" s="20"/>
      <c r="J138" s="20"/>
      <c r="K138" s="20"/>
      <c r="L138" s="20"/>
      <c r="M138" s="20"/>
      <c r="N138" s="20"/>
      <c r="O138" s="20"/>
      <c r="P138" s="20"/>
      <c r="Q138" s="20"/>
      <c r="R138" s="20"/>
      <c r="S138" s="20"/>
      <c r="T138" s="20"/>
      <c r="U138" s="20"/>
      <c r="V138" s="20"/>
      <c r="W138" s="20"/>
      <c r="X138" s="20"/>
      <c r="Y138" s="20"/>
    </row>
    <row r="139" spans="1:25">
      <c r="A139" s="20"/>
      <c r="B139" s="20"/>
      <c r="C139" s="20"/>
      <c r="D139" s="20"/>
      <c r="E139" s="20"/>
      <c r="F139" s="20"/>
      <c r="G139" s="20"/>
      <c r="H139" s="20"/>
      <c r="I139" s="20"/>
      <c r="J139" s="20"/>
      <c r="K139" s="20"/>
      <c r="L139" s="20"/>
      <c r="M139" s="20"/>
      <c r="N139" s="20"/>
      <c r="O139" s="20"/>
      <c r="P139" s="20"/>
      <c r="Q139" s="20"/>
      <c r="R139" s="20"/>
      <c r="S139" s="20"/>
      <c r="T139" s="20"/>
      <c r="U139" s="20"/>
      <c r="V139" s="20"/>
      <c r="W139" s="20"/>
      <c r="X139" s="20"/>
      <c r="Y139" s="20"/>
    </row>
    <row r="140" spans="1:25">
      <c r="A140" s="20"/>
      <c r="B140" s="20"/>
      <c r="C140" s="20"/>
      <c r="D140" s="20"/>
      <c r="E140" s="20"/>
      <c r="F140" s="20"/>
      <c r="G140" s="20"/>
      <c r="H140" s="20"/>
      <c r="I140" s="20"/>
      <c r="J140" s="20"/>
      <c r="K140" s="20"/>
      <c r="L140" s="20"/>
      <c r="M140" s="20"/>
      <c r="N140" s="20"/>
      <c r="O140" s="20"/>
      <c r="P140" s="20"/>
      <c r="Q140" s="20"/>
      <c r="R140" s="20"/>
      <c r="S140" s="20"/>
      <c r="T140" s="20"/>
      <c r="U140" s="20"/>
      <c r="V140" s="20"/>
      <c r="W140" s="20"/>
      <c r="X140" s="20"/>
      <c r="Y140" s="20"/>
    </row>
    <row r="141" spans="1:25">
      <c r="A141" s="20"/>
      <c r="B141" s="20"/>
      <c r="C141" s="20"/>
      <c r="D141" s="20"/>
      <c r="E141" s="20"/>
      <c r="F141" s="20"/>
      <c r="G141" s="20"/>
      <c r="H141" s="20"/>
      <c r="I141" s="20"/>
      <c r="J141" s="20"/>
      <c r="K141" s="20"/>
      <c r="L141" s="20"/>
      <c r="M141" s="20"/>
      <c r="N141" s="20"/>
      <c r="O141" s="20"/>
      <c r="P141" s="20"/>
      <c r="Q141" s="20"/>
      <c r="R141" s="20"/>
      <c r="S141" s="20"/>
      <c r="T141" s="20"/>
      <c r="U141" s="20"/>
      <c r="V141" s="20"/>
      <c r="W141" s="20"/>
      <c r="X141" s="20"/>
      <c r="Y141" s="20"/>
    </row>
    <row r="142" spans="1:25">
      <c r="A142" s="20"/>
      <c r="B142" s="20"/>
      <c r="C142" s="20"/>
      <c r="D142" s="20"/>
      <c r="E142" s="20"/>
      <c r="F142" s="20"/>
      <c r="G142" s="20"/>
      <c r="H142" s="20"/>
      <c r="I142" s="20"/>
      <c r="J142" s="20"/>
      <c r="K142" s="20"/>
      <c r="L142" s="20"/>
      <c r="M142" s="20"/>
      <c r="N142" s="20"/>
      <c r="O142" s="20"/>
      <c r="P142" s="20"/>
      <c r="Q142" s="20"/>
      <c r="R142" s="20"/>
      <c r="S142" s="20"/>
      <c r="T142" s="20"/>
      <c r="U142" s="20"/>
      <c r="V142" s="20"/>
      <c r="W142" s="20"/>
      <c r="X142" s="20"/>
      <c r="Y142" s="20"/>
    </row>
    <row r="143" spans="1:25">
      <c r="A143" s="20"/>
      <c r="B143" s="20"/>
      <c r="C143" s="20"/>
      <c r="D143" s="20"/>
      <c r="E143" s="20"/>
      <c r="F143" s="20"/>
      <c r="G143" s="20"/>
      <c r="H143" s="20"/>
      <c r="I143" s="20"/>
      <c r="J143" s="20"/>
      <c r="K143" s="20"/>
      <c r="L143" s="20"/>
      <c r="M143" s="20"/>
      <c r="N143" s="20"/>
      <c r="O143" s="20"/>
      <c r="P143" s="20"/>
      <c r="Q143" s="20"/>
      <c r="R143" s="20"/>
      <c r="S143" s="20"/>
      <c r="T143" s="20"/>
      <c r="U143" s="20"/>
      <c r="V143" s="20"/>
      <c r="W143" s="20"/>
      <c r="X143" s="20"/>
      <c r="Y143" s="20"/>
    </row>
    <row r="144" spans="1:25">
      <c r="A144" s="20"/>
      <c r="B144" s="20"/>
      <c r="C144" s="20"/>
      <c r="D144" s="20"/>
      <c r="E144" s="20"/>
      <c r="F144" s="20"/>
      <c r="G144" s="20"/>
      <c r="H144" s="20"/>
      <c r="I144" s="20"/>
      <c r="J144" s="20"/>
      <c r="K144" s="20"/>
      <c r="L144" s="20"/>
      <c r="M144" s="20"/>
      <c r="N144" s="20"/>
      <c r="O144" s="20"/>
      <c r="P144" s="20"/>
      <c r="Q144" s="20"/>
      <c r="R144" s="20"/>
      <c r="S144" s="20"/>
      <c r="T144" s="20"/>
      <c r="U144" s="20"/>
      <c r="V144" s="20"/>
      <c r="W144" s="20"/>
      <c r="X144" s="20"/>
      <c r="Y144" s="20"/>
    </row>
    <row r="145" spans="1:25">
      <c r="A145" s="20"/>
      <c r="B145" s="20"/>
      <c r="C145" s="20"/>
      <c r="D145" s="20"/>
      <c r="E145" s="20"/>
      <c r="F145" s="20"/>
      <c r="G145" s="20"/>
      <c r="H145" s="20"/>
      <c r="I145" s="20"/>
      <c r="J145" s="20"/>
      <c r="K145" s="20"/>
      <c r="L145" s="20"/>
      <c r="M145" s="20"/>
      <c r="N145" s="20"/>
      <c r="O145" s="20"/>
      <c r="P145" s="20"/>
      <c r="Q145" s="20"/>
      <c r="R145" s="20"/>
      <c r="S145" s="20"/>
      <c r="T145" s="20"/>
      <c r="U145" s="20"/>
      <c r="V145" s="20"/>
      <c r="W145" s="20"/>
      <c r="X145" s="20"/>
      <c r="Y145" s="20"/>
    </row>
    <row r="146" spans="1:25">
      <c r="A146" s="20"/>
      <c r="B146" s="20"/>
      <c r="C146" s="20"/>
      <c r="D146" s="20"/>
      <c r="E146" s="20"/>
      <c r="F146" s="20"/>
      <c r="G146" s="20"/>
      <c r="H146" s="20"/>
      <c r="I146" s="20"/>
      <c r="J146" s="20"/>
      <c r="K146" s="20"/>
      <c r="L146" s="20"/>
      <c r="M146" s="20"/>
      <c r="N146" s="20"/>
      <c r="O146" s="20"/>
      <c r="P146" s="20"/>
      <c r="Q146" s="20"/>
      <c r="R146" s="20"/>
      <c r="S146" s="20"/>
      <c r="T146" s="20"/>
      <c r="U146" s="20"/>
      <c r="V146" s="20"/>
      <c r="W146" s="20"/>
      <c r="X146" s="20"/>
      <c r="Y146" s="20"/>
    </row>
    <row r="147" spans="1:25">
      <c r="A147" s="20"/>
      <c r="B147" s="20"/>
      <c r="C147" s="20"/>
      <c r="D147" s="20"/>
      <c r="E147" s="20"/>
      <c r="F147" s="20"/>
      <c r="G147" s="20"/>
      <c r="H147" s="20"/>
      <c r="I147" s="20"/>
      <c r="J147" s="20"/>
      <c r="K147" s="20"/>
      <c r="L147" s="20"/>
      <c r="M147" s="20"/>
      <c r="N147" s="20"/>
      <c r="O147" s="20"/>
      <c r="P147" s="20"/>
      <c r="Q147" s="20"/>
      <c r="R147" s="20"/>
      <c r="S147" s="20"/>
      <c r="T147" s="20"/>
      <c r="U147" s="20"/>
      <c r="V147" s="20"/>
      <c r="W147" s="20"/>
      <c r="X147" s="20"/>
      <c r="Y147" s="20"/>
    </row>
    <row r="148" spans="1:25">
      <c r="A148" s="20"/>
      <c r="B148" s="20"/>
      <c r="C148" s="20"/>
      <c r="D148" s="20"/>
      <c r="E148" s="20"/>
      <c r="F148" s="20"/>
      <c r="G148" s="20"/>
      <c r="H148" s="20"/>
      <c r="I148" s="20"/>
      <c r="J148" s="20"/>
      <c r="K148" s="20"/>
      <c r="L148" s="20"/>
      <c r="M148" s="20"/>
      <c r="N148" s="20"/>
      <c r="O148" s="20"/>
      <c r="P148" s="20"/>
      <c r="Q148" s="20"/>
      <c r="R148" s="20"/>
      <c r="S148" s="20"/>
      <c r="T148" s="20"/>
      <c r="U148" s="20"/>
      <c r="V148" s="20"/>
      <c r="W148" s="20"/>
      <c r="X148" s="20"/>
      <c r="Y148" s="20"/>
    </row>
    <row r="149" spans="1:25">
      <c r="A149" s="20"/>
      <c r="B149" s="20"/>
      <c r="C149" s="20"/>
      <c r="D149" s="20"/>
      <c r="E149" s="20"/>
      <c r="F149" s="20"/>
      <c r="G149" s="20"/>
      <c r="H149" s="20"/>
      <c r="I149" s="20"/>
      <c r="J149" s="20"/>
      <c r="K149" s="20"/>
      <c r="L149" s="20"/>
      <c r="M149" s="20"/>
      <c r="N149" s="20"/>
      <c r="O149" s="20"/>
      <c r="P149" s="20"/>
      <c r="Q149" s="20"/>
      <c r="R149" s="20"/>
      <c r="S149" s="20"/>
      <c r="T149" s="20"/>
      <c r="U149" s="20"/>
      <c r="V149" s="20"/>
      <c r="W149" s="20"/>
      <c r="X149" s="20"/>
      <c r="Y149" s="20"/>
    </row>
    <row r="150" spans="1:25">
      <c r="A150" s="20"/>
      <c r="B150" s="20"/>
      <c r="C150" s="20"/>
      <c r="D150" s="20"/>
      <c r="E150" s="20"/>
      <c r="F150" s="20"/>
      <c r="G150" s="20"/>
      <c r="H150" s="20"/>
      <c r="I150" s="20"/>
      <c r="J150" s="20"/>
      <c r="K150" s="20"/>
      <c r="L150" s="20"/>
      <c r="M150" s="20"/>
      <c r="N150" s="20"/>
      <c r="O150" s="20"/>
      <c r="P150" s="20"/>
      <c r="Q150" s="20"/>
      <c r="R150" s="20"/>
      <c r="S150" s="20"/>
      <c r="T150" s="20"/>
      <c r="U150" s="20"/>
      <c r="V150" s="20"/>
      <c r="W150" s="20"/>
      <c r="X150" s="20"/>
      <c r="Y150" s="20"/>
    </row>
    <row r="151" spans="1:25">
      <c r="A151" s="20"/>
      <c r="B151" s="20"/>
      <c r="C151" s="20"/>
      <c r="D151" s="20"/>
      <c r="E151" s="20"/>
      <c r="F151" s="20"/>
      <c r="G151" s="20"/>
      <c r="H151" s="20"/>
      <c r="I151" s="20"/>
      <c r="J151" s="20"/>
      <c r="K151" s="20"/>
      <c r="L151" s="20"/>
      <c r="M151" s="20"/>
      <c r="N151" s="20"/>
      <c r="O151" s="20"/>
      <c r="P151" s="20"/>
      <c r="Q151" s="20"/>
      <c r="R151" s="20"/>
      <c r="S151" s="20"/>
      <c r="T151" s="20"/>
      <c r="U151" s="20"/>
      <c r="V151" s="20"/>
      <c r="W151" s="20"/>
      <c r="X151" s="20"/>
      <c r="Y151" s="20"/>
    </row>
    <row r="152" spans="1:25">
      <c r="A152" s="20"/>
      <c r="B152" s="20"/>
      <c r="C152" s="20"/>
      <c r="D152" s="20"/>
      <c r="E152" s="20"/>
      <c r="F152" s="20"/>
      <c r="G152" s="20"/>
      <c r="H152" s="20"/>
      <c r="I152" s="20"/>
      <c r="J152" s="20"/>
      <c r="K152" s="20"/>
      <c r="L152" s="20"/>
      <c r="M152" s="20"/>
      <c r="N152" s="20"/>
      <c r="O152" s="20"/>
      <c r="P152" s="20"/>
      <c r="Q152" s="20"/>
      <c r="R152" s="20"/>
      <c r="S152" s="20"/>
      <c r="T152" s="20"/>
      <c r="U152" s="20"/>
      <c r="V152" s="20"/>
      <c r="W152" s="20"/>
      <c r="X152" s="20"/>
      <c r="Y152" s="20"/>
    </row>
    <row r="153" spans="1:25">
      <c r="A153" s="20"/>
      <c r="B153" s="20"/>
      <c r="C153" s="20"/>
      <c r="D153" s="20"/>
      <c r="E153" s="20"/>
      <c r="F153" s="20"/>
      <c r="G153" s="20"/>
      <c r="H153" s="20"/>
      <c r="I153" s="20"/>
      <c r="J153" s="20"/>
      <c r="K153" s="20"/>
      <c r="L153" s="20"/>
      <c r="M153" s="20"/>
      <c r="N153" s="20"/>
      <c r="O153" s="20"/>
      <c r="P153" s="20"/>
      <c r="Q153" s="20"/>
      <c r="R153" s="20"/>
      <c r="S153" s="20"/>
      <c r="T153" s="20"/>
      <c r="U153" s="20"/>
      <c r="V153" s="20"/>
      <c r="W153" s="20"/>
      <c r="X153" s="20"/>
      <c r="Y153" s="20"/>
    </row>
    <row r="154" spans="1:25">
      <c r="A154" s="20"/>
      <c r="B154" s="20"/>
      <c r="C154" s="20"/>
      <c r="D154" s="20"/>
      <c r="E154" s="20"/>
      <c r="F154" s="20"/>
      <c r="G154" s="20"/>
      <c r="H154" s="20"/>
      <c r="I154" s="20"/>
      <c r="J154" s="20"/>
      <c r="K154" s="20"/>
      <c r="L154" s="20"/>
      <c r="M154" s="20"/>
      <c r="N154" s="20"/>
      <c r="O154" s="20"/>
      <c r="P154" s="20"/>
      <c r="Q154" s="20"/>
      <c r="R154" s="20"/>
      <c r="S154" s="20"/>
      <c r="T154" s="20"/>
      <c r="U154" s="20"/>
      <c r="V154" s="20"/>
      <c r="W154" s="20"/>
      <c r="X154" s="20"/>
      <c r="Y154" s="20"/>
    </row>
    <row r="155" spans="1:25">
      <c r="A155" s="20"/>
      <c r="B155" s="20"/>
      <c r="C155" s="20"/>
      <c r="D155" s="20"/>
      <c r="E155" s="20"/>
      <c r="F155" s="20"/>
      <c r="G155" s="20"/>
      <c r="H155" s="20"/>
      <c r="I155" s="20"/>
      <c r="J155" s="20"/>
      <c r="K155" s="20"/>
      <c r="L155" s="20"/>
      <c r="M155" s="20"/>
      <c r="N155" s="20"/>
      <c r="O155" s="20"/>
      <c r="P155" s="20"/>
      <c r="Q155" s="20"/>
      <c r="R155" s="20"/>
      <c r="S155" s="20"/>
      <c r="T155" s="20"/>
      <c r="U155" s="20"/>
      <c r="V155" s="20"/>
      <c r="W155" s="20"/>
      <c r="X155" s="20"/>
      <c r="Y155" s="20"/>
    </row>
    <row r="156" spans="1:25">
      <c r="A156" s="20"/>
      <c r="B156" s="20"/>
      <c r="C156" s="20"/>
      <c r="D156" s="20"/>
      <c r="E156" s="20"/>
      <c r="F156" s="20"/>
      <c r="G156" s="20"/>
      <c r="H156" s="20"/>
      <c r="I156" s="20"/>
      <c r="J156" s="20"/>
      <c r="K156" s="20"/>
      <c r="L156" s="20"/>
      <c r="M156" s="20"/>
      <c r="N156" s="20"/>
      <c r="O156" s="20"/>
      <c r="P156" s="20"/>
      <c r="Q156" s="20"/>
      <c r="R156" s="20"/>
      <c r="S156" s="20"/>
      <c r="T156" s="20"/>
      <c r="U156" s="20"/>
      <c r="V156" s="20"/>
      <c r="W156" s="20"/>
      <c r="X156" s="20"/>
      <c r="Y156" s="20"/>
    </row>
    <row r="157" spans="1:25">
      <c r="A157" s="20"/>
      <c r="B157" s="20"/>
      <c r="C157" s="20"/>
      <c r="D157" s="20"/>
      <c r="E157" s="20"/>
      <c r="F157" s="20"/>
      <c r="G157" s="20"/>
      <c r="H157" s="20"/>
      <c r="I157" s="20"/>
      <c r="J157" s="20"/>
      <c r="K157" s="20"/>
      <c r="L157" s="20"/>
      <c r="M157" s="20"/>
      <c r="N157" s="20"/>
      <c r="O157" s="20"/>
      <c r="P157" s="20"/>
      <c r="Q157" s="20"/>
      <c r="R157" s="20"/>
      <c r="S157" s="20"/>
      <c r="T157" s="20"/>
      <c r="U157" s="20"/>
      <c r="V157" s="20"/>
      <c r="W157" s="20"/>
      <c r="X157" s="20"/>
      <c r="Y157" s="20"/>
    </row>
    <row r="158" spans="1:25">
      <c r="A158" s="20"/>
      <c r="B158" s="20"/>
      <c r="C158" s="20"/>
      <c r="D158" s="20"/>
      <c r="E158" s="20"/>
      <c r="F158" s="20"/>
      <c r="G158" s="20"/>
      <c r="H158" s="20"/>
      <c r="I158" s="20"/>
      <c r="J158" s="20"/>
      <c r="K158" s="20"/>
      <c r="L158" s="20"/>
      <c r="M158" s="20"/>
      <c r="N158" s="20"/>
      <c r="O158" s="20"/>
      <c r="P158" s="20"/>
      <c r="Q158" s="20"/>
      <c r="R158" s="20"/>
      <c r="S158" s="20"/>
      <c r="T158" s="20"/>
      <c r="U158" s="20"/>
      <c r="V158" s="20"/>
      <c r="W158" s="20"/>
      <c r="X158" s="20"/>
      <c r="Y158" s="20"/>
    </row>
    <row r="159" spans="1:25">
      <c r="A159" s="20"/>
      <c r="B159" s="20"/>
      <c r="C159" s="20"/>
      <c r="D159" s="20"/>
      <c r="E159" s="20"/>
      <c r="F159" s="20"/>
      <c r="G159" s="20"/>
      <c r="H159" s="20"/>
      <c r="I159" s="20"/>
      <c r="J159" s="20"/>
      <c r="K159" s="20"/>
      <c r="L159" s="20"/>
      <c r="M159" s="20"/>
      <c r="N159" s="20"/>
      <c r="O159" s="20"/>
      <c r="P159" s="20"/>
      <c r="Q159" s="20"/>
      <c r="R159" s="20"/>
      <c r="S159" s="20"/>
      <c r="T159" s="20"/>
      <c r="U159" s="20"/>
      <c r="V159" s="20"/>
      <c r="W159" s="20"/>
      <c r="X159" s="20"/>
      <c r="Y159" s="20"/>
    </row>
    <row r="160" spans="1:25">
      <c r="A160" s="20"/>
      <c r="B160" s="20"/>
      <c r="C160" s="20"/>
      <c r="D160" s="20"/>
      <c r="E160" s="20"/>
      <c r="F160" s="20"/>
      <c r="G160" s="20"/>
      <c r="H160" s="20"/>
      <c r="I160" s="20"/>
      <c r="J160" s="20"/>
      <c r="K160" s="20"/>
      <c r="L160" s="20"/>
      <c r="M160" s="20"/>
      <c r="N160" s="20"/>
      <c r="O160" s="20"/>
      <c r="P160" s="20"/>
      <c r="Q160" s="20"/>
      <c r="R160" s="20"/>
      <c r="S160" s="20"/>
      <c r="T160" s="20"/>
      <c r="U160" s="20"/>
      <c r="V160" s="20"/>
      <c r="W160" s="20"/>
      <c r="X160" s="20"/>
      <c r="Y160" s="20"/>
    </row>
    <row r="161" spans="1:25">
      <c r="A161" s="20"/>
      <c r="B161" s="20"/>
      <c r="C161" s="20"/>
      <c r="D161" s="20"/>
      <c r="E161" s="20"/>
      <c r="F161" s="20"/>
      <c r="G161" s="20"/>
      <c r="H161" s="20"/>
      <c r="I161" s="20"/>
      <c r="J161" s="20"/>
      <c r="K161" s="20"/>
      <c r="L161" s="20"/>
      <c r="M161" s="20"/>
      <c r="N161" s="20"/>
      <c r="O161" s="20"/>
      <c r="P161" s="20"/>
      <c r="Q161" s="20"/>
      <c r="R161" s="20"/>
      <c r="S161" s="20"/>
      <c r="T161" s="20"/>
      <c r="U161" s="20"/>
      <c r="V161" s="20"/>
      <c r="W161" s="20"/>
      <c r="X161" s="20"/>
      <c r="Y161" s="20"/>
    </row>
    <row r="162" spans="1:25">
      <c r="A162" s="20"/>
      <c r="B162" s="20"/>
      <c r="C162" s="20"/>
      <c r="D162" s="20"/>
      <c r="E162" s="20"/>
      <c r="F162" s="20"/>
      <c r="G162" s="20"/>
      <c r="H162" s="20"/>
      <c r="I162" s="20"/>
      <c r="J162" s="20"/>
      <c r="K162" s="20"/>
      <c r="L162" s="20"/>
      <c r="M162" s="20"/>
      <c r="N162" s="20"/>
      <c r="O162" s="20"/>
      <c r="P162" s="20"/>
      <c r="Q162" s="20"/>
      <c r="R162" s="20"/>
      <c r="S162" s="20"/>
      <c r="T162" s="20"/>
      <c r="U162" s="20"/>
      <c r="V162" s="20"/>
      <c r="W162" s="20"/>
      <c r="X162" s="20"/>
      <c r="Y162" s="20"/>
    </row>
    <row r="163" spans="1:25">
      <c r="A163" s="20"/>
      <c r="B163" s="20"/>
      <c r="C163" s="20"/>
      <c r="D163" s="20"/>
      <c r="E163" s="20"/>
      <c r="F163" s="20"/>
      <c r="G163" s="20"/>
      <c r="H163" s="20"/>
      <c r="I163" s="20"/>
      <c r="J163" s="20"/>
      <c r="K163" s="20"/>
      <c r="L163" s="20"/>
      <c r="M163" s="20"/>
      <c r="N163" s="20"/>
      <c r="O163" s="20"/>
      <c r="P163" s="20"/>
      <c r="Q163" s="20"/>
      <c r="R163" s="20"/>
      <c r="S163" s="20"/>
      <c r="T163" s="20"/>
      <c r="U163" s="20"/>
      <c r="V163" s="20"/>
      <c r="W163" s="20"/>
      <c r="X163" s="20"/>
      <c r="Y163" s="20"/>
    </row>
    <row r="164" spans="1:25">
      <c r="A164" s="20"/>
      <c r="B164" s="20"/>
      <c r="C164" s="20"/>
      <c r="D164" s="20"/>
      <c r="E164" s="20"/>
      <c r="F164" s="20"/>
      <c r="G164" s="20"/>
      <c r="H164" s="20"/>
      <c r="I164" s="20"/>
      <c r="J164" s="20"/>
      <c r="K164" s="20"/>
      <c r="L164" s="20"/>
      <c r="M164" s="20"/>
      <c r="N164" s="20"/>
      <c r="O164" s="20"/>
      <c r="P164" s="20"/>
      <c r="Q164" s="20"/>
      <c r="R164" s="20"/>
      <c r="S164" s="20"/>
      <c r="T164" s="20"/>
      <c r="U164" s="20"/>
      <c r="V164" s="20"/>
      <c r="W164" s="20"/>
      <c r="X164" s="20"/>
      <c r="Y164" s="20"/>
    </row>
    <row r="165" spans="1:25">
      <c r="A165" s="20"/>
      <c r="B165" s="20"/>
      <c r="C165" s="20"/>
      <c r="D165" s="20"/>
      <c r="E165" s="20"/>
      <c r="F165" s="20"/>
      <c r="G165" s="20"/>
      <c r="H165" s="20"/>
      <c r="I165" s="20"/>
      <c r="J165" s="20"/>
      <c r="K165" s="20"/>
      <c r="L165" s="20"/>
      <c r="M165" s="20"/>
      <c r="N165" s="20"/>
      <c r="O165" s="20"/>
      <c r="P165" s="20"/>
      <c r="Q165" s="20"/>
      <c r="R165" s="20"/>
      <c r="S165" s="20"/>
      <c r="T165" s="20"/>
      <c r="U165" s="20"/>
      <c r="V165" s="20"/>
      <c r="W165" s="20"/>
      <c r="X165" s="20"/>
      <c r="Y165" s="20"/>
    </row>
    <row r="166" spans="1:25">
      <c r="A166" s="20"/>
      <c r="B166" s="20"/>
      <c r="C166" s="20"/>
      <c r="D166" s="20"/>
      <c r="E166" s="20"/>
      <c r="F166" s="20"/>
      <c r="G166" s="20"/>
      <c r="H166" s="20"/>
      <c r="I166" s="20"/>
      <c r="J166" s="20"/>
      <c r="K166" s="20"/>
      <c r="L166" s="20"/>
      <c r="M166" s="20"/>
      <c r="N166" s="20"/>
      <c r="O166" s="20"/>
      <c r="P166" s="20"/>
      <c r="Q166" s="20"/>
      <c r="R166" s="20"/>
      <c r="S166" s="20"/>
      <c r="T166" s="20"/>
      <c r="U166" s="20"/>
      <c r="V166" s="20"/>
      <c r="W166" s="20"/>
      <c r="X166" s="20"/>
      <c r="Y166" s="20"/>
    </row>
    <row r="167" spans="1:25">
      <c r="A167" s="20"/>
      <c r="B167" s="20"/>
      <c r="C167" s="20"/>
      <c r="D167" s="20"/>
      <c r="E167" s="20"/>
      <c r="F167" s="20"/>
      <c r="G167" s="20"/>
      <c r="H167" s="20"/>
      <c r="I167" s="20"/>
      <c r="J167" s="20"/>
      <c r="K167" s="20"/>
      <c r="L167" s="20"/>
      <c r="M167" s="20"/>
      <c r="N167" s="20"/>
      <c r="O167" s="20"/>
      <c r="P167" s="20"/>
      <c r="Q167" s="20"/>
      <c r="R167" s="20"/>
      <c r="S167" s="20"/>
      <c r="T167" s="20"/>
      <c r="U167" s="20"/>
      <c r="V167" s="20"/>
      <c r="W167" s="20"/>
      <c r="X167" s="20"/>
      <c r="Y167" s="20"/>
    </row>
    <row r="168" spans="1:25">
      <c r="A168" s="20"/>
      <c r="B168" s="20"/>
      <c r="C168" s="20"/>
      <c r="D168" s="20"/>
      <c r="E168" s="20"/>
      <c r="F168" s="20"/>
      <c r="G168" s="20"/>
      <c r="H168" s="20"/>
      <c r="I168" s="20"/>
      <c r="J168" s="20"/>
      <c r="K168" s="20"/>
      <c r="L168" s="20"/>
      <c r="M168" s="20"/>
      <c r="N168" s="20"/>
      <c r="O168" s="20"/>
      <c r="P168" s="20"/>
      <c r="Q168" s="20"/>
      <c r="R168" s="20"/>
      <c r="S168" s="20"/>
      <c r="T168" s="20"/>
      <c r="U168" s="20"/>
      <c r="V168" s="20"/>
      <c r="W168" s="20"/>
      <c r="X168" s="20"/>
      <c r="Y168" s="20"/>
    </row>
    <row r="169" spans="1:25">
      <c r="A169" s="20"/>
      <c r="B169" s="20"/>
      <c r="C169" s="20"/>
      <c r="D169" s="20"/>
      <c r="E169" s="20"/>
      <c r="F169" s="20"/>
      <c r="G169" s="20"/>
      <c r="H169" s="20"/>
      <c r="I169" s="20"/>
      <c r="J169" s="20"/>
      <c r="K169" s="20"/>
      <c r="L169" s="20"/>
      <c r="M169" s="20"/>
      <c r="N169" s="20"/>
      <c r="O169" s="20"/>
      <c r="P169" s="20"/>
      <c r="Q169" s="20"/>
      <c r="R169" s="20"/>
      <c r="S169" s="20"/>
      <c r="T169" s="20"/>
      <c r="U169" s="20"/>
      <c r="V169" s="20"/>
      <c r="W169" s="20"/>
      <c r="X169" s="20"/>
      <c r="Y169" s="20"/>
    </row>
    <row r="170" spans="1:25">
      <c r="A170" s="20"/>
      <c r="B170" s="20"/>
      <c r="C170" s="20"/>
      <c r="D170" s="20"/>
      <c r="E170" s="20"/>
      <c r="F170" s="20"/>
      <c r="G170" s="20"/>
      <c r="H170" s="20"/>
      <c r="I170" s="20"/>
      <c r="J170" s="20"/>
      <c r="K170" s="20"/>
      <c r="L170" s="20"/>
      <c r="M170" s="20"/>
      <c r="N170" s="20"/>
      <c r="O170" s="20"/>
      <c r="P170" s="20"/>
      <c r="Q170" s="20"/>
      <c r="R170" s="20"/>
      <c r="S170" s="20"/>
      <c r="T170" s="20"/>
      <c r="U170" s="20"/>
      <c r="V170" s="20"/>
      <c r="W170" s="20"/>
      <c r="X170" s="20"/>
      <c r="Y170" s="20"/>
    </row>
    <row r="171" spans="1:25">
      <c r="A171" s="20"/>
      <c r="B171" s="20"/>
      <c r="C171" s="20"/>
      <c r="D171" s="20"/>
      <c r="E171" s="20"/>
      <c r="F171" s="20"/>
      <c r="G171" s="20"/>
      <c r="H171" s="20"/>
      <c r="I171" s="20"/>
      <c r="J171" s="20"/>
      <c r="K171" s="20"/>
      <c r="L171" s="20"/>
      <c r="M171" s="20"/>
      <c r="N171" s="20"/>
      <c r="O171" s="20"/>
      <c r="P171" s="20"/>
      <c r="Q171" s="20"/>
      <c r="R171" s="20"/>
      <c r="S171" s="20"/>
      <c r="T171" s="20"/>
      <c r="U171" s="20"/>
      <c r="V171" s="20"/>
      <c r="W171" s="20"/>
      <c r="X171" s="20"/>
      <c r="Y171" s="20"/>
    </row>
    <row r="172" spans="1:25">
      <c r="A172" s="20"/>
      <c r="B172" s="20"/>
      <c r="C172" s="20"/>
      <c r="D172" s="20"/>
      <c r="E172" s="20"/>
      <c r="F172" s="20"/>
      <c r="G172" s="20"/>
      <c r="H172" s="20"/>
      <c r="I172" s="20"/>
      <c r="J172" s="20"/>
      <c r="K172" s="20"/>
      <c r="L172" s="20"/>
      <c r="M172" s="20"/>
      <c r="N172" s="20"/>
      <c r="O172" s="20"/>
      <c r="P172" s="20"/>
      <c r="Q172" s="20"/>
      <c r="R172" s="20"/>
      <c r="S172" s="20"/>
      <c r="T172" s="20"/>
      <c r="U172" s="20"/>
      <c r="V172" s="20"/>
      <c r="W172" s="20"/>
      <c r="X172" s="20"/>
      <c r="Y172" s="20"/>
    </row>
    <row r="173" spans="1:25">
      <c r="A173" s="20"/>
      <c r="B173" s="20"/>
      <c r="C173" s="20"/>
      <c r="D173" s="20"/>
      <c r="E173" s="20"/>
      <c r="F173" s="20"/>
      <c r="G173" s="20"/>
      <c r="H173" s="20"/>
      <c r="I173" s="20"/>
      <c r="J173" s="20"/>
      <c r="K173" s="20"/>
      <c r="L173" s="20"/>
      <c r="M173" s="20"/>
      <c r="N173" s="20"/>
      <c r="O173" s="20"/>
      <c r="P173" s="20"/>
      <c r="Q173" s="20"/>
      <c r="R173" s="20"/>
      <c r="S173" s="20"/>
      <c r="T173" s="20"/>
      <c r="U173" s="20"/>
      <c r="V173" s="20"/>
      <c r="W173" s="20"/>
      <c r="X173" s="20"/>
      <c r="Y173" s="20"/>
    </row>
    <row r="174" spans="1:25">
      <c r="A174" s="20"/>
      <c r="B174" s="20"/>
      <c r="C174" s="20"/>
      <c r="D174" s="20"/>
      <c r="E174" s="20"/>
      <c r="F174" s="20"/>
      <c r="G174" s="20"/>
      <c r="H174" s="20"/>
      <c r="I174" s="20"/>
      <c r="J174" s="20"/>
      <c r="K174" s="20"/>
      <c r="L174" s="20"/>
      <c r="M174" s="20"/>
      <c r="N174" s="20"/>
      <c r="O174" s="20"/>
      <c r="P174" s="20"/>
      <c r="Q174" s="20"/>
      <c r="R174" s="20"/>
      <c r="S174" s="20"/>
      <c r="T174" s="20"/>
      <c r="U174" s="20"/>
      <c r="V174" s="20"/>
      <c r="W174" s="20"/>
      <c r="X174" s="20"/>
      <c r="Y174" s="20"/>
    </row>
    <row r="175" spans="1:25">
      <c r="A175" s="20"/>
      <c r="B175" s="20"/>
      <c r="C175" s="20"/>
      <c r="D175" s="20"/>
      <c r="E175" s="20"/>
      <c r="F175" s="20"/>
      <c r="G175" s="20"/>
      <c r="H175" s="20"/>
      <c r="I175" s="20"/>
      <c r="J175" s="20"/>
      <c r="K175" s="20"/>
      <c r="L175" s="20"/>
      <c r="M175" s="20"/>
      <c r="N175" s="20"/>
      <c r="O175" s="20"/>
      <c r="P175" s="20"/>
      <c r="Q175" s="20"/>
      <c r="R175" s="20"/>
      <c r="S175" s="20"/>
      <c r="T175" s="20"/>
      <c r="U175" s="20"/>
      <c r="V175" s="20"/>
      <c r="W175" s="20"/>
      <c r="X175" s="20"/>
      <c r="Y175" s="20"/>
    </row>
    <row r="176" spans="1:25">
      <c r="A176" s="20"/>
      <c r="B176" s="20"/>
      <c r="C176" s="20"/>
      <c r="D176" s="20"/>
      <c r="E176" s="20"/>
      <c r="F176" s="20"/>
      <c r="G176" s="20"/>
      <c r="H176" s="20"/>
      <c r="I176" s="20"/>
      <c r="J176" s="20"/>
      <c r="K176" s="20"/>
      <c r="L176" s="20"/>
      <c r="M176" s="20"/>
      <c r="N176" s="20"/>
      <c r="O176" s="20"/>
      <c r="P176" s="20"/>
      <c r="Q176" s="20"/>
      <c r="R176" s="20"/>
      <c r="S176" s="20"/>
      <c r="T176" s="20"/>
      <c r="U176" s="20"/>
      <c r="V176" s="20"/>
      <c r="W176" s="20"/>
      <c r="X176" s="20"/>
      <c r="Y176" s="20"/>
    </row>
    <row r="177" spans="1:25">
      <c r="A177" s="20"/>
      <c r="B177" s="20"/>
      <c r="C177" s="20"/>
      <c r="D177" s="20"/>
      <c r="E177" s="20"/>
      <c r="F177" s="20"/>
      <c r="G177" s="20"/>
      <c r="H177" s="20"/>
      <c r="I177" s="20"/>
      <c r="J177" s="20"/>
      <c r="K177" s="20"/>
      <c r="L177" s="20"/>
      <c r="M177" s="20"/>
      <c r="N177" s="20"/>
      <c r="O177" s="20"/>
      <c r="P177" s="20"/>
      <c r="Q177" s="20"/>
      <c r="R177" s="20"/>
      <c r="S177" s="20"/>
      <c r="T177" s="20"/>
      <c r="U177" s="20"/>
      <c r="V177" s="20"/>
      <c r="W177" s="20"/>
      <c r="X177" s="20"/>
      <c r="Y177" s="20"/>
    </row>
    <row r="178" spans="1:25">
      <c r="A178" s="20"/>
      <c r="B178" s="20"/>
      <c r="C178" s="20"/>
      <c r="D178" s="20"/>
      <c r="E178" s="20"/>
      <c r="F178" s="20"/>
      <c r="G178" s="20"/>
      <c r="H178" s="20"/>
      <c r="I178" s="20"/>
      <c r="J178" s="20"/>
      <c r="K178" s="20"/>
      <c r="L178" s="20"/>
      <c r="M178" s="20"/>
      <c r="N178" s="20"/>
      <c r="O178" s="20"/>
      <c r="P178" s="20"/>
      <c r="Q178" s="20"/>
      <c r="R178" s="20"/>
      <c r="S178" s="20"/>
      <c r="T178" s="20"/>
      <c r="U178" s="20"/>
      <c r="V178" s="20"/>
      <c r="W178" s="20"/>
      <c r="X178" s="20"/>
      <c r="Y178" s="20"/>
    </row>
    <row r="179" spans="1:25">
      <c r="A179" s="20"/>
      <c r="B179" s="20"/>
      <c r="C179" s="20"/>
      <c r="D179" s="20"/>
      <c r="E179" s="20"/>
      <c r="F179" s="20"/>
      <c r="G179" s="20"/>
      <c r="H179" s="20"/>
      <c r="I179" s="20"/>
      <c r="J179" s="20"/>
      <c r="K179" s="20"/>
      <c r="L179" s="20"/>
      <c r="M179" s="20"/>
      <c r="N179" s="20"/>
      <c r="O179" s="20"/>
      <c r="P179" s="20"/>
      <c r="Q179" s="20"/>
      <c r="R179" s="20"/>
      <c r="S179" s="20"/>
      <c r="T179" s="20"/>
      <c r="U179" s="20"/>
      <c r="V179" s="20"/>
      <c r="W179" s="20"/>
      <c r="X179" s="20"/>
      <c r="Y179" s="20"/>
    </row>
    <row r="180" spans="1:25">
      <c r="A180" s="20"/>
      <c r="B180" s="20"/>
      <c r="C180" s="20"/>
      <c r="D180" s="20"/>
      <c r="E180" s="20"/>
      <c r="F180" s="20"/>
      <c r="G180" s="20"/>
      <c r="H180" s="20"/>
      <c r="I180" s="20"/>
      <c r="J180" s="20"/>
      <c r="K180" s="20"/>
      <c r="L180" s="20"/>
      <c r="M180" s="20"/>
      <c r="N180" s="20"/>
      <c r="O180" s="20"/>
      <c r="P180" s="20"/>
      <c r="Q180" s="20"/>
      <c r="R180" s="20"/>
      <c r="S180" s="20"/>
      <c r="T180" s="20"/>
      <c r="U180" s="20"/>
      <c r="V180" s="20"/>
      <c r="W180" s="20"/>
      <c r="X180" s="20"/>
      <c r="Y180" s="20"/>
    </row>
    <row r="181" spans="1:25">
      <c r="A181" s="20"/>
      <c r="B181" s="20"/>
      <c r="C181" s="20"/>
      <c r="D181" s="20"/>
      <c r="E181" s="20"/>
      <c r="F181" s="20"/>
      <c r="G181" s="20"/>
      <c r="H181" s="20"/>
      <c r="I181" s="20"/>
      <c r="J181" s="20"/>
      <c r="K181" s="20"/>
      <c r="L181" s="20"/>
      <c r="M181" s="20"/>
      <c r="N181" s="20"/>
      <c r="O181" s="20"/>
      <c r="P181" s="20"/>
      <c r="Q181" s="20"/>
      <c r="R181" s="20"/>
      <c r="S181" s="20"/>
      <c r="T181" s="20"/>
      <c r="U181" s="20"/>
      <c r="V181" s="20"/>
      <c r="W181" s="20"/>
      <c r="X181" s="20"/>
      <c r="Y181" s="20"/>
    </row>
    <row r="182" spans="1:25">
      <c r="A182" s="20"/>
      <c r="B182" s="20"/>
      <c r="C182" s="20"/>
      <c r="D182" s="20"/>
      <c r="E182" s="20"/>
      <c r="F182" s="20"/>
      <c r="G182" s="20"/>
      <c r="H182" s="20"/>
      <c r="I182" s="20"/>
      <c r="J182" s="20"/>
      <c r="K182" s="20"/>
      <c r="L182" s="20"/>
      <c r="M182" s="20"/>
      <c r="N182" s="20"/>
      <c r="O182" s="20"/>
      <c r="P182" s="20"/>
      <c r="Q182" s="20"/>
      <c r="R182" s="20"/>
      <c r="S182" s="20"/>
      <c r="T182" s="20"/>
      <c r="U182" s="20"/>
      <c r="V182" s="20"/>
      <c r="W182" s="20"/>
      <c r="X182" s="20"/>
      <c r="Y182" s="20"/>
    </row>
    <row r="183" spans="1:25">
      <c r="A183" s="20"/>
      <c r="B183" s="20"/>
      <c r="C183" s="20"/>
      <c r="D183" s="20"/>
      <c r="E183" s="20"/>
      <c r="F183" s="20"/>
      <c r="G183" s="20"/>
      <c r="H183" s="20"/>
      <c r="I183" s="20"/>
      <c r="J183" s="20"/>
      <c r="K183" s="20"/>
      <c r="L183" s="20"/>
      <c r="M183" s="20"/>
      <c r="N183" s="20"/>
      <c r="O183" s="20"/>
      <c r="P183" s="20"/>
      <c r="Q183" s="20"/>
      <c r="R183" s="20"/>
      <c r="S183" s="20"/>
      <c r="T183" s="20"/>
      <c r="U183" s="20"/>
      <c r="V183" s="20"/>
      <c r="W183" s="20"/>
      <c r="X183" s="20"/>
      <c r="Y183" s="20"/>
    </row>
    <row r="184" spans="1:25">
      <c r="A184" s="20"/>
      <c r="B184" s="20"/>
      <c r="C184" s="20"/>
      <c r="D184" s="20"/>
      <c r="E184" s="20"/>
      <c r="F184" s="20"/>
      <c r="G184" s="20"/>
      <c r="H184" s="20"/>
      <c r="I184" s="20"/>
      <c r="J184" s="20"/>
      <c r="K184" s="20"/>
      <c r="L184" s="20"/>
      <c r="M184" s="20"/>
      <c r="N184" s="20"/>
      <c r="O184" s="20"/>
      <c r="P184" s="20"/>
      <c r="Q184" s="20"/>
      <c r="R184" s="20"/>
      <c r="S184" s="20"/>
      <c r="T184" s="20"/>
      <c r="U184" s="20"/>
      <c r="V184" s="20"/>
      <c r="W184" s="20"/>
      <c r="X184" s="20"/>
      <c r="Y184" s="20"/>
    </row>
    <row r="185" spans="1:25">
      <c r="A185" s="20"/>
      <c r="B185" s="20"/>
      <c r="C185" s="20"/>
      <c r="D185" s="20"/>
      <c r="E185" s="20"/>
      <c r="F185" s="20"/>
      <c r="G185" s="20"/>
      <c r="H185" s="20"/>
      <c r="I185" s="20"/>
      <c r="J185" s="20"/>
      <c r="K185" s="20"/>
      <c r="L185" s="20"/>
      <c r="M185" s="20"/>
      <c r="N185" s="20"/>
      <c r="O185" s="20"/>
      <c r="P185" s="20"/>
      <c r="Q185" s="20"/>
      <c r="R185" s="20"/>
      <c r="S185" s="20"/>
      <c r="T185" s="20"/>
      <c r="U185" s="20"/>
      <c r="V185" s="20"/>
      <c r="W185" s="20"/>
      <c r="X185" s="20"/>
      <c r="Y185" s="20"/>
    </row>
    <row r="186" spans="1:25">
      <c r="A186" s="20"/>
      <c r="B186" s="20"/>
      <c r="C186" s="20"/>
      <c r="D186" s="20"/>
      <c r="E186" s="20"/>
      <c r="F186" s="20"/>
      <c r="G186" s="20"/>
      <c r="H186" s="20"/>
      <c r="I186" s="20"/>
      <c r="J186" s="20"/>
      <c r="K186" s="20"/>
      <c r="L186" s="20"/>
      <c r="M186" s="20"/>
      <c r="N186" s="20"/>
      <c r="O186" s="20"/>
      <c r="P186" s="20"/>
      <c r="Q186" s="20"/>
      <c r="R186" s="20"/>
      <c r="S186" s="20"/>
      <c r="T186" s="20"/>
      <c r="U186" s="20"/>
      <c r="V186" s="20"/>
      <c r="W186" s="20"/>
      <c r="X186" s="20"/>
      <c r="Y186" s="20"/>
    </row>
    <row r="187" spans="1:25">
      <c r="A187" s="20"/>
      <c r="B187" s="20"/>
      <c r="C187" s="20"/>
      <c r="D187" s="20"/>
      <c r="E187" s="20"/>
      <c r="F187" s="20"/>
      <c r="G187" s="20"/>
      <c r="H187" s="20"/>
      <c r="I187" s="20"/>
      <c r="J187" s="20"/>
      <c r="K187" s="20"/>
      <c r="L187" s="20"/>
      <c r="M187" s="20"/>
      <c r="N187" s="20"/>
      <c r="O187" s="20"/>
      <c r="P187" s="20"/>
      <c r="Q187" s="20"/>
      <c r="R187" s="20"/>
      <c r="S187" s="20"/>
      <c r="T187" s="20"/>
      <c r="U187" s="20"/>
      <c r="V187" s="20"/>
      <c r="W187" s="20"/>
      <c r="X187" s="20"/>
      <c r="Y187" s="20"/>
    </row>
    <row r="188" spans="1:25">
      <c r="A188" s="20"/>
      <c r="B188" s="20"/>
      <c r="C188" s="20"/>
      <c r="D188" s="20"/>
      <c r="E188" s="20"/>
      <c r="F188" s="20"/>
      <c r="G188" s="20"/>
      <c r="H188" s="20"/>
      <c r="I188" s="20"/>
      <c r="J188" s="20"/>
      <c r="K188" s="20"/>
      <c r="L188" s="20"/>
      <c r="M188" s="20"/>
      <c r="N188" s="20"/>
      <c r="O188" s="20"/>
      <c r="P188" s="20"/>
      <c r="Q188" s="20"/>
      <c r="R188" s="20"/>
      <c r="S188" s="20"/>
      <c r="T188" s="20"/>
      <c r="U188" s="20"/>
      <c r="V188" s="20"/>
      <c r="W188" s="20"/>
      <c r="X188" s="20"/>
      <c r="Y188" s="20"/>
    </row>
    <row r="189" spans="1:25">
      <c r="A189" s="20"/>
      <c r="B189" s="20"/>
      <c r="C189" s="20"/>
      <c r="D189" s="20"/>
      <c r="E189" s="20"/>
      <c r="F189" s="20"/>
      <c r="G189" s="20"/>
      <c r="H189" s="20"/>
      <c r="I189" s="20"/>
      <c r="J189" s="20"/>
      <c r="K189" s="20"/>
      <c r="L189" s="20"/>
      <c r="M189" s="20"/>
      <c r="N189" s="20"/>
      <c r="O189" s="20"/>
      <c r="P189" s="20"/>
      <c r="Q189" s="20"/>
      <c r="R189" s="20"/>
      <c r="S189" s="20"/>
      <c r="T189" s="20"/>
      <c r="U189" s="20"/>
      <c r="V189" s="20"/>
      <c r="W189" s="20"/>
      <c r="X189" s="20"/>
      <c r="Y189" s="20"/>
    </row>
    <row r="190" spans="1:25">
      <c r="A190" s="20"/>
      <c r="B190" s="20"/>
      <c r="C190" s="20"/>
      <c r="D190" s="20"/>
      <c r="E190" s="20"/>
      <c r="F190" s="20"/>
      <c r="G190" s="20"/>
      <c r="H190" s="20"/>
      <c r="I190" s="20"/>
      <c r="J190" s="20"/>
      <c r="K190" s="20"/>
      <c r="L190" s="20"/>
      <c r="M190" s="20"/>
      <c r="N190" s="20"/>
      <c r="O190" s="20"/>
      <c r="P190" s="20"/>
      <c r="Q190" s="20"/>
      <c r="R190" s="20"/>
      <c r="S190" s="20"/>
      <c r="T190" s="20"/>
      <c r="U190" s="20"/>
      <c r="V190" s="20"/>
      <c r="W190" s="20"/>
      <c r="X190" s="20"/>
      <c r="Y190" s="20"/>
    </row>
    <row r="191" spans="1:25">
      <c r="A191" s="20"/>
      <c r="B191" s="20"/>
      <c r="C191" s="20"/>
      <c r="D191" s="20"/>
      <c r="E191" s="20"/>
      <c r="F191" s="20"/>
      <c r="G191" s="20"/>
      <c r="H191" s="20"/>
      <c r="I191" s="20"/>
      <c r="J191" s="20"/>
      <c r="K191" s="20"/>
      <c r="L191" s="20"/>
      <c r="M191" s="20"/>
      <c r="N191" s="20"/>
      <c r="O191" s="20"/>
      <c r="P191" s="20"/>
      <c r="Q191" s="20"/>
      <c r="R191" s="20"/>
      <c r="S191" s="20"/>
      <c r="T191" s="20"/>
      <c r="U191" s="20"/>
      <c r="V191" s="20"/>
      <c r="W191" s="20"/>
      <c r="X191" s="20"/>
      <c r="Y191" s="20"/>
    </row>
    <row r="192" spans="1:25">
      <c r="A192" s="20"/>
      <c r="B192" s="20"/>
      <c r="C192" s="20"/>
      <c r="D192" s="20"/>
      <c r="E192" s="20"/>
      <c r="F192" s="20"/>
      <c r="G192" s="20"/>
      <c r="H192" s="20"/>
      <c r="I192" s="20"/>
      <c r="J192" s="20"/>
      <c r="K192" s="20"/>
      <c r="L192" s="20"/>
      <c r="M192" s="20"/>
      <c r="N192" s="20"/>
      <c r="O192" s="20"/>
      <c r="P192" s="20"/>
      <c r="Q192" s="20"/>
      <c r="R192" s="20"/>
      <c r="S192" s="20"/>
      <c r="T192" s="20"/>
      <c r="U192" s="20"/>
      <c r="V192" s="20"/>
      <c r="W192" s="20"/>
      <c r="X192" s="20"/>
      <c r="Y192" s="20"/>
    </row>
    <row r="193" spans="1:25">
      <c r="A193" s="20"/>
      <c r="B193" s="20"/>
      <c r="C193" s="20"/>
      <c r="D193" s="20"/>
      <c r="E193" s="20"/>
      <c r="F193" s="20"/>
      <c r="G193" s="20"/>
      <c r="H193" s="20"/>
      <c r="I193" s="20"/>
      <c r="J193" s="20"/>
      <c r="K193" s="20"/>
      <c r="L193" s="20"/>
      <c r="M193" s="20"/>
      <c r="N193" s="20"/>
      <c r="O193" s="20"/>
      <c r="P193" s="20"/>
      <c r="Q193" s="20"/>
      <c r="R193" s="20"/>
      <c r="S193" s="20"/>
      <c r="T193" s="20"/>
      <c r="U193" s="20"/>
      <c r="V193" s="20"/>
      <c r="W193" s="20"/>
      <c r="X193" s="20"/>
      <c r="Y193" s="20"/>
    </row>
    <row r="194" spans="1:25">
      <c r="A194" s="20"/>
      <c r="B194" s="20"/>
      <c r="C194" s="20"/>
      <c r="D194" s="20"/>
      <c r="E194" s="20"/>
      <c r="F194" s="20"/>
      <c r="G194" s="20"/>
      <c r="H194" s="20"/>
      <c r="I194" s="20"/>
      <c r="J194" s="20"/>
      <c r="K194" s="20"/>
      <c r="L194" s="20"/>
      <c r="M194" s="20"/>
      <c r="N194" s="20"/>
      <c r="O194" s="20"/>
      <c r="P194" s="20"/>
      <c r="Q194" s="20"/>
      <c r="R194" s="20"/>
      <c r="S194" s="20"/>
      <c r="T194" s="20"/>
      <c r="U194" s="20"/>
      <c r="V194" s="20"/>
      <c r="W194" s="20"/>
      <c r="X194" s="20"/>
      <c r="Y194" s="20"/>
    </row>
    <row r="195" spans="1:25">
      <c r="A195" s="20"/>
      <c r="B195" s="20"/>
      <c r="C195" s="20"/>
      <c r="D195" s="20"/>
      <c r="E195" s="20"/>
      <c r="F195" s="20"/>
      <c r="G195" s="20"/>
      <c r="H195" s="20"/>
      <c r="I195" s="20"/>
      <c r="J195" s="20"/>
      <c r="K195" s="20"/>
      <c r="L195" s="20"/>
      <c r="M195" s="20"/>
      <c r="N195" s="20"/>
      <c r="O195" s="20"/>
      <c r="P195" s="20"/>
      <c r="Q195" s="20"/>
      <c r="R195" s="20"/>
      <c r="S195" s="20"/>
      <c r="T195" s="20"/>
      <c r="U195" s="20"/>
      <c r="V195" s="20"/>
      <c r="W195" s="20"/>
      <c r="X195" s="20"/>
      <c r="Y195" s="20"/>
    </row>
    <row r="196" spans="1:25">
      <c r="A196" s="20"/>
      <c r="B196" s="20"/>
      <c r="C196" s="20"/>
      <c r="D196" s="20"/>
      <c r="E196" s="20"/>
      <c r="F196" s="20"/>
      <c r="G196" s="20"/>
      <c r="H196" s="20"/>
      <c r="I196" s="20"/>
      <c r="J196" s="20"/>
      <c r="K196" s="20"/>
      <c r="L196" s="20"/>
      <c r="M196" s="20"/>
      <c r="N196" s="20"/>
      <c r="O196" s="20"/>
      <c r="P196" s="20"/>
      <c r="Q196" s="20"/>
      <c r="R196" s="20"/>
      <c r="S196" s="20"/>
      <c r="T196" s="20"/>
      <c r="U196" s="20"/>
      <c r="V196" s="20"/>
      <c r="W196" s="20"/>
      <c r="X196" s="20"/>
      <c r="Y196" s="20"/>
    </row>
    <row r="197" spans="1:25">
      <c r="A197" s="20"/>
      <c r="B197" s="20"/>
      <c r="C197" s="20"/>
      <c r="D197" s="20"/>
      <c r="E197" s="20"/>
      <c r="F197" s="20"/>
      <c r="G197" s="20"/>
      <c r="H197" s="20"/>
      <c r="I197" s="20"/>
      <c r="J197" s="20"/>
      <c r="K197" s="20"/>
      <c r="L197" s="20"/>
      <c r="M197" s="20"/>
      <c r="N197" s="20"/>
      <c r="O197" s="20"/>
      <c r="P197" s="20"/>
      <c r="Q197" s="20"/>
      <c r="R197" s="20"/>
      <c r="S197" s="20"/>
      <c r="T197" s="20"/>
      <c r="U197" s="20"/>
      <c r="V197" s="20"/>
      <c r="W197" s="20"/>
      <c r="X197" s="20"/>
      <c r="Y197" s="20"/>
    </row>
    <row r="198" spans="1:25">
      <c r="A198" s="20"/>
      <c r="B198" s="20"/>
      <c r="C198" s="20"/>
      <c r="D198" s="20"/>
      <c r="E198" s="20"/>
      <c r="F198" s="20"/>
      <c r="G198" s="20"/>
      <c r="H198" s="20"/>
      <c r="I198" s="20"/>
      <c r="J198" s="20"/>
      <c r="K198" s="20"/>
      <c r="L198" s="20"/>
      <c r="M198" s="20"/>
      <c r="N198" s="20"/>
      <c r="O198" s="20"/>
      <c r="P198" s="20"/>
      <c r="Q198" s="20"/>
      <c r="R198" s="20"/>
      <c r="S198" s="20"/>
      <c r="T198" s="20"/>
      <c r="U198" s="20"/>
      <c r="V198" s="20"/>
      <c r="W198" s="20"/>
      <c r="X198" s="20"/>
      <c r="Y198" s="20"/>
    </row>
    <row r="199" spans="1:25">
      <c r="A199" s="20"/>
      <c r="B199" s="20"/>
      <c r="C199" s="20"/>
      <c r="D199" s="20"/>
      <c r="E199" s="20"/>
      <c r="F199" s="20"/>
      <c r="G199" s="20"/>
      <c r="H199" s="20"/>
      <c r="I199" s="20"/>
      <c r="J199" s="20"/>
      <c r="K199" s="20"/>
      <c r="L199" s="20"/>
      <c r="M199" s="20"/>
      <c r="N199" s="20"/>
      <c r="O199" s="20"/>
      <c r="P199" s="20"/>
      <c r="Q199" s="20"/>
      <c r="R199" s="20"/>
      <c r="S199" s="20"/>
      <c r="T199" s="20"/>
      <c r="U199" s="20"/>
      <c r="V199" s="20"/>
      <c r="W199" s="20"/>
      <c r="X199" s="20"/>
      <c r="Y199" s="20"/>
    </row>
    <row r="200" spans="1:25">
      <c r="A200" s="20"/>
      <c r="B200" s="20"/>
      <c r="C200" s="20"/>
      <c r="D200" s="20"/>
      <c r="E200" s="20"/>
      <c r="F200" s="20"/>
      <c r="G200" s="20"/>
      <c r="H200" s="20"/>
      <c r="I200" s="20"/>
      <c r="J200" s="20"/>
      <c r="K200" s="20"/>
      <c r="L200" s="20"/>
      <c r="M200" s="20"/>
      <c r="N200" s="20"/>
      <c r="O200" s="20"/>
      <c r="P200" s="20"/>
      <c r="Q200" s="20"/>
      <c r="R200" s="20"/>
      <c r="S200" s="20"/>
      <c r="T200" s="20"/>
      <c r="U200" s="20"/>
      <c r="V200" s="20"/>
      <c r="W200" s="20"/>
      <c r="X200" s="20"/>
      <c r="Y200" s="20"/>
    </row>
    <row r="201" spans="1:25">
      <c r="A201" s="20"/>
      <c r="B201" s="20"/>
      <c r="C201" s="20"/>
      <c r="D201" s="20"/>
      <c r="E201" s="20"/>
      <c r="F201" s="20"/>
      <c r="G201" s="20"/>
      <c r="H201" s="20"/>
      <c r="I201" s="20"/>
      <c r="J201" s="20"/>
      <c r="K201" s="20"/>
      <c r="L201" s="20"/>
      <c r="M201" s="20"/>
      <c r="N201" s="20"/>
      <c r="O201" s="20"/>
      <c r="P201" s="20"/>
      <c r="Q201" s="20"/>
      <c r="R201" s="20"/>
      <c r="S201" s="20"/>
      <c r="T201" s="20"/>
      <c r="U201" s="20"/>
      <c r="V201" s="20"/>
      <c r="W201" s="20"/>
      <c r="X201" s="20"/>
      <c r="Y201" s="20"/>
    </row>
    <row r="202" spans="1:25">
      <c r="A202" s="20"/>
      <c r="B202" s="20"/>
      <c r="C202" s="20"/>
      <c r="D202" s="20"/>
      <c r="E202" s="20"/>
      <c r="F202" s="20"/>
      <c r="G202" s="20"/>
      <c r="H202" s="20"/>
      <c r="I202" s="20"/>
      <c r="J202" s="20"/>
      <c r="K202" s="20"/>
      <c r="L202" s="20"/>
      <c r="M202" s="20"/>
      <c r="N202" s="20"/>
      <c r="O202" s="20"/>
      <c r="P202" s="20"/>
      <c r="Q202" s="20"/>
      <c r="R202" s="20"/>
      <c r="S202" s="20"/>
      <c r="T202" s="20"/>
      <c r="U202" s="20"/>
      <c r="V202" s="20"/>
      <c r="W202" s="20"/>
      <c r="X202" s="20"/>
      <c r="Y202" s="20"/>
    </row>
    <row r="203" spans="1:25">
      <c r="A203" s="20"/>
      <c r="B203" s="20"/>
      <c r="C203" s="20"/>
      <c r="D203" s="20"/>
      <c r="E203" s="20"/>
      <c r="F203" s="20"/>
      <c r="G203" s="20"/>
      <c r="H203" s="20"/>
      <c r="I203" s="20"/>
      <c r="J203" s="20"/>
      <c r="K203" s="20"/>
      <c r="L203" s="20"/>
      <c r="M203" s="20"/>
      <c r="N203" s="20"/>
      <c r="O203" s="20"/>
      <c r="P203" s="20"/>
      <c r="Q203" s="20"/>
      <c r="R203" s="20"/>
      <c r="S203" s="20"/>
      <c r="T203" s="20"/>
      <c r="U203" s="20"/>
      <c r="V203" s="20"/>
      <c r="W203" s="20"/>
      <c r="X203" s="20"/>
      <c r="Y203" s="20"/>
    </row>
    <row r="204" spans="1:25">
      <c r="A204" s="20"/>
      <c r="B204" s="20"/>
      <c r="C204" s="20"/>
      <c r="D204" s="20"/>
      <c r="E204" s="20"/>
      <c r="F204" s="20"/>
      <c r="G204" s="20"/>
      <c r="H204" s="20"/>
      <c r="I204" s="20"/>
      <c r="J204" s="20"/>
      <c r="K204" s="20"/>
      <c r="L204" s="20"/>
      <c r="M204" s="20"/>
      <c r="N204" s="20"/>
      <c r="O204" s="20"/>
      <c r="P204" s="20"/>
      <c r="Q204" s="20"/>
      <c r="R204" s="20"/>
      <c r="S204" s="20"/>
      <c r="T204" s="20"/>
      <c r="U204" s="20"/>
      <c r="V204" s="20"/>
      <c r="W204" s="20"/>
      <c r="X204" s="20"/>
      <c r="Y204" s="20"/>
    </row>
    <row r="205" spans="1:25">
      <c r="A205" s="20"/>
      <c r="B205" s="20"/>
      <c r="C205" s="20"/>
      <c r="D205" s="20"/>
      <c r="E205" s="20"/>
      <c r="F205" s="20"/>
      <c r="G205" s="20"/>
      <c r="H205" s="20"/>
      <c r="I205" s="20"/>
      <c r="J205" s="20"/>
      <c r="K205" s="20"/>
      <c r="L205" s="20"/>
      <c r="M205" s="20"/>
      <c r="N205" s="20"/>
      <c r="O205" s="20"/>
      <c r="P205" s="20"/>
      <c r="Q205" s="20"/>
      <c r="R205" s="20"/>
      <c r="S205" s="20"/>
      <c r="T205" s="20"/>
      <c r="U205" s="20"/>
      <c r="V205" s="20"/>
      <c r="W205" s="20"/>
      <c r="X205" s="20"/>
      <c r="Y205" s="20"/>
    </row>
    <row r="206" spans="1:25">
      <c r="A206" s="20"/>
      <c r="B206" s="20"/>
      <c r="C206" s="20"/>
      <c r="D206" s="20"/>
      <c r="E206" s="20"/>
      <c r="F206" s="20"/>
      <c r="G206" s="20"/>
      <c r="H206" s="20"/>
      <c r="I206" s="20"/>
      <c r="J206" s="20"/>
      <c r="K206" s="20"/>
      <c r="L206" s="20"/>
      <c r="M206" s="20"/>
      <c r="N206" s="20"/>
      <c r="O206" s="20"/>
      <c r="P206" s="20"/>
      <c r="Q206" s="20"/>
      <c r="R206" s="20"/>
      <c r="S206" s="20"/>
      <c r="T206" s="20"/>
      <c r="U206" s="20"/>
      <c r="V206" s="20"/>
      <c r="W206" s="20"/>
      <c r="X206" s="20"/>
      <c r="Y206" s="20"/>
    </row>
    <row r="207" spans="1:25">
      <c r="A207" s="20"/>
      <c r="B207" s="20"/>
      <c r="C207" s="20"/>
      <c r="D207" s="20"/>
      <c r="E207" s="20"/>
      <c r="F207" s="20"/>
      <c r="G207" s="20"/>
      <c r="H207" s="20"/>
      <c r="I207" s="20"/>
      <c r="J207" s="20"/>
      <c r="K207" s="20"/>
      <c r="L207" s="20"/>
      <c r="M207" s="20"/>
      <c r="N207" s="20"/>
      <c r="O207" s="20"/>
      <c r="P207" s="20"/>
      <c r="Q207" s="20"/>
      <c r="R207" s="20"/>
      <c r="S207" s="20"/>
      <c r="T207" s="20"/>
      <c r="U207" s="20"/>
      <c r="V207" s="20"/>
      <c r="W207" s="20"/>
      <c r="X207" s="20"/>
      <c r="Y207" s="20"/>
    </row>
    <row r="208" spans="1:25">
      <c r="A208" s="20"/>
      <c r="B208" s="20"/>
      <c r="C208" s="20"/>
      <c r="D208" s="20"/>
      <c r="E208" s="20"/>
      <c r="F208" s="20"/>
      <c r="G208" s="20"/>
      <c r="H208" s="20"/>
      <c r="I208" s="20"/>
      <c r="J208" s="20"/>
      <c r="K208" s="20"/>
      <c r="L208" s="20"/>
      <c r="M208" s="20"/>
      <c r="N208" s="20"/>
      <c r="O208" s="20"/>
      <c r="P208" s="20"/>
      <c r="Q208" s="20"/>
      <c r="R208" s="20"/>
      <c r="S208" s="20"/>
      <c r="T208" s="20"/>
      <c r="U208" s="20"/>
      <c r="V208" s="20"/>
      <c r="W208" s="20"/>
      <c r="X208" s="20"/>
      <c r="Y208" s="20"/>
    </row>
    <row r="209" spans="1:25">
      <c r="A209" s="20"/>
      <c r="B209" s="20"/>
      <c r="C209" s="20"/>
      <c r="D209" s="20"/>
      <c r="E209" s="20"/>
      <c r="F209" s="20"/>
      <c r="G209" s="20"/>
      <c r="H209" s="20"/>
      <c r="I209" s="20"/>
      <c r="J209" s="20"/>
      <c r="K209" s="20"/>
      <c r="L209" s="20"/>
      <c r="M209" s="20"/>
      <c r="N209" s="20"/>
      <c r="O209" s="20"/>
      <c r="P209" s="20"/>
      <c r="Q209" s="20"/>
      <c r="R209" s="20"/>
      <c r="S209" s="20"/>
      <c r="T209" s="20"/>
      <c r="U209" s="20"/>
      <c r="V209" s="20"/>
      <c r="W209" s="20"/>
      <c r="X209" s="20"/>
      <c r="Y209" s="20"/>
    </row>
    <row r="210" spans="1:25">
      <c r="A210" s="20"/>
      <c r="B210" s="20"/>
      <c r="C210" s="20"/>
      <c r="D210" s="20"/>
      <c r="E210" s="20"/>
      <c r="F210" s="20"/>
      <c r="G210" s="20"/>
      <c r="H210" s="20"/>
      <c r="I210" s="20"/>
      <c r="J210" s="20"/>
      <c r="K210" s="20"/>
      <c r="L210" s="20"/>
      <c r="M210" s="20"/>
      <c r="N210" s="20"/>
      <c r="O210" s="20"/>
      <c r="P210" s="20"/>
      <c r="Q210" s="20"/>
      <c r="R210" s="20"/>
      <c r="S210" s="20"/>
      <c r="T210" s="20"/>
      <c r="U210" s="20"/>
      <c r="V210" s="20"/>
      <c r="W210" s="20"/>
      <c r="X210" s="20"/>
      <c r="Y210" s="20"/>
    </row>
    <row r="211" spans="1:25">
      <c r="A211" s="20"/>
      <c r="B211" s="20"/>
      <c r="C211" s="20"/>
      <c r="D211" s="20"/>
      <c r="E211" s="20"/>
      <c r="F211" s="20"/>
      <c r="G211" s="20"/>
      <c r="H211" s="20"/>
      <c r="I211" s="20"/>
      <c r="J211" s="20"/>
      <c r="K211" s="20"/>
      <c r="L211" s="20"/>
      <c r="M211" s="20"/>
      <c r="N211" s="20"/>
      <c r="O211" s="20"/>
      <c r="P211" s="20"/>
      <c r="Q211" s="20"/>
      <c r="R211" s="20"/>
      <c r="S211" s="20"/>
      <c r="T211" s="20"/>
      <c r="U211" s="20"/>
      <c r="V211" s="20"/>
      <c r="W211" s="20"/>
      <c r="X211" s="20"/>
      <c r="Y211" s="20"/>
    </row>
    <row r="212" spans="1:25">
      <c r="A212" s="20"/>
      <c r="B212" s="20"/>
      <c r="C212" s="20"/>
      <c r="D212" s="20"/>
      <c r="E212" s="20"/>
      <c r="F212" s="20"/>
      <c r="G212" s="20"/>
      <c r="H212" s="20"/>
      <c r="I212" s="20"/>
      <c r="J212" s="20"/>
      <c r="K212" s="20"/>
      <c r="L212" s="20"/>
      <c r="M212" s="20"/>
      <c r="N212" s="20"/>
      <c r="O212" s="20"/>
      <c r="P212" s="20"/>
      <c r="Q212" s="20"/>
      <c r="R212" s="20"/>
      <c r="S212" s="20"/>
      <c r="T212" s="20"/>
      <c r="U212" s="20"/>
      <c r="V212" s="20"/>
      <c r="W212" s="20"/>
      <c r="X212" s="20"/>
      <c r="Y212" s="20"/>
    </row>
    <row r="213" spans="1:25">
      <c r="A213" s="20"/>
      <c r="B213" s="20"/>
      <c r="C213" s="20"/>
      <c r="D213" s="20"/>
      <c r="E213" s="20"/>
      <c r="F213" s="20"/>
      <c r="G213" s="20"/>
      <c r="H213" s="20"/>
      <c r="I213" s="20"/>
      <c r="J213" s="20"/>
      <c r="K213" s="20"/>
      <c r="L213" s="20"/>
      <c r="M213" s="20"/>
      <c r="N213" s="20"/>
      <c r="O213" s="20"/>
      <c r="P213" s="20"/>
      <c r="Q213" s="20"/>
      <c r="R213" s="20"/>
      <c r="S213" s="20"/>
      <c r="T213" s="20"/>
      <c r="U213" s="20"/>
      <c r="V213" s="20"/>
      <c r="W213" s="20"/>
      <c r="X213" s="20"/>
      <c r="Y213" s="20"/>
    </row>
    <row r="214" spans="1:25">
      <c r="A214" s="20"/>
      <c r="B214" s="20"/>
      <c r="C214" s="20"/>
      <c r="D214" s="20"/>
      <c r="E214" s="20"/>
      <c r="F214" s="20"/>
      <c r="G214" s="20"/>
      <c r="H214" s="20"/>
      <c r="I214" s="20"/>
      <c r="J214" s="20"/>
      <c r="K214" s="20"/>
      <c r="L214" s="20"/>
      <c r="M214" s="20"/>
      <c r="N214" s="20"/>
      <c r="O214" s="20"/>
      <c r="P214" s="20"/>
      <c r="Q214" s="20"/>
      <c r="R214" s="20"/>
      <c r="S214" s="20"/>
      <c r="T214" s="20"/>
      <c r="U214" s="20"/>
      <c r="V214" s="20"/>
      <c r="W214" s="20"/>
      <c r="X214" s="20"/>
      <c r="Y214" s="20"/>
    </row>
    <row r="215" spans="1:25">
      <c r="A215" s="20"/>
      <c r="B215" s="20"/>
      <c r="C215" s="20"/>
      <c r="D215" s="20"/>
      <c r="E215" s="20"/>
      <c r="F215" s="20"/>
      <c r="G215" s="20"/>
      <c r="H215" s="20"/>
      <c r="I215" s="20"/>
      <c r="J215" s="20"/>
      <c r="K215" s="20"/>
      <c r="L215" s="20"/>
      <c r="M215" s="20"/>
      <c r="N215" s="20"/>
      <c r="O215" s="20"/>
      <c r="P215" s="20"/>
      <c r="Q215" s="20"/>
      <c r="R215" s="20"/>
      <c r="S215" s="20"/>
      <c r="T215" s="20"/>
      <c r="U215" s="20"/>
      <c r="V215" s="20"/>
      <c r="W215" s="20"/>
      <c r="X215" s="20"/>
      <c r="Y215" s="20"/>
    </row>
    <row r="216" spans="1:25">
      <c r="A216" s="20"/>
      <c r="B216" s="20"/>
      <c r="C216" s="20"/>
      <c r="D216" s="20"/>
      <c r="E216" s="20"/>
      <c r="F216" s="20"/>
      <c r="G216" s="20"/>
      <c r="H216" s="20"/>
      <c r="I216" s="20"/>
      <c r="J216" s="20"/>
      <c r="K216" s="20"/>
      <c r="L216" s="20"/>
      <c r="M216" s="20"/>
      <c r="N216" s="20"/>
      <c r="O216" s="20"/>
      <c r="P216" s="20"/>
      <c r="Q216" s="20"/>
      <c r="R216" s="20"/>
      <c r="S216" s="20"/>
      <c r="T216" s="20"/>
      <c r="U216" s="20"/>
      <c r="V216" s="20"/>
      <c r="W216" s="20"/>
      <c r="X216" s="20"/>
      <c r="Y216" s="20"/>
    </row>
    <row r="217" spans="1:25">
      <c r="A217" s="20"/>
      <c r="B217" s="20"/>
      <c r="C217" s="20"/>
      <c r="D217" s="20"/>
      <c r="E217" s="20"/>
      <c r="F217" s="20"/>
      <c r="G217" s="20"/>
      <c r="H217" s="20"/>
      <c r="I217" s="20"/>
      <c r="J217" s="20"/>
      <c r="K217" s="20"/>
      <c r="L217" s="20"/>
      <c r="M217" s="20"/>
      <c r="N217" s="20"/>
      <c r="O217" s="20"/>
      <c r="P217" s="20"/>
      <c r="Q217" s="20"/>
      <c r="R217" s="20"/>
      <c r="S217" s="20"/>
      <c r="T217" s="20"/>
      <c r="U217" s="20"/>
      <c r="V217" s="20"/>
      <c r="W217" s="20"/>
      <c r="X217" s="20"/>
      <c r="Y217" s="20"/>
    </row>
    <row r="218" spans="1:25">
      <c r="A218" s="20"/>
      <c r="B218" s="20"/>
      <c r="C218" s="20"/>
      <c r="D218" s="20"/>
      <c r="E218" s="20"/>
      <c r="F218" s="20"/>
      <c r="G218" s="20"/>
      <c r="H218" s="20"/>
      <c r="I218" s="20"/>
      <c r="J218" s="20"/>
      <c r="K218" s="20"/>
      <c r="L218" s="20"/>
      <c r="M218" s="20"/>
      <c r="N218" s="20"/>
      <c r="O218" s="20"/>
      <c r="P218" s="20"/>
      <c r="Q218" s="20"/>
      <c r="R218" s="20"/>
      <c r="S218" s="20"/>
      <c r="T218" s="20"/>
      <c r="U218" s="20"/>
      <c r="V218" s="20"/>
      <c r="W218" s="20"/>
      <c r="X218" s="20"/>
      <c r="Y218" s="20"/>
    </row>
    <row r="219" spans="1:25">
      <c r="A219" s="20"/>
      <c r="B219" s="20"/>
      <c r="C219" s="20"/>
      <c r="D219" s="20"/>
      <c r="E219" s="20"/>
      <c r="F219" s="20"/>
      <c r="G219" s="20"/>
      <c r="H219" s="20"/>
      <c r="I219" s="20"/>
      <c r="J219" s="20"/>
      <c r="K219" s="20"/>
      <c r="L219" s="20"/>
      <c r="M219" s="20"/>
      <c r="N219" s="20"/>
      <c r="O219" s="20"/>
      <c r="P219" s="20"/>
      <c r="Q219" s="20"/>
      <c r="R219" s="20"/>
      <c r="S219" s="20"/>
      <c r="T219" s="20"/>
      <c r="U219" s="20"/>
      <c r="V219" s="20"/>
      <c r="W219" s="20"/>
      <c r="X219" s="20"/>
      <c r="Y219" s="20"/>
    </row>
    <row r="220" spans="1:25">
      <c r="A220" s="20"/>
      <c r="B220" s="20"/>
      <c r="C220" s="20"/>
      <c r="D220" s="20"/>
      <c r="E220" s="20"/>
      <c r="F220" s="20"/>
      <c r="G220" s="20"/>
      <c r="H220" s="20"/>
      <c r="I220" s="20"/>
      <c r="J220" s="20"/>
      <c r="K220" s="20"/>
      <c r="L220" s="20"/>
      <c r="M220" s="20"/>
      <c r="N220" s="20"/>
      <c r="O220" s="20"/>
      <c r="P220" s="20"/>
      <c r="Q220" s="20"/>
      <c r="R220" s="20"/>
      <c r="S220" s="20"/>
      <c r="T220" s="20"/>
      <c r="U220" s="20"/>
      <c r="V220" s="20"/>
      <c r="W220" s="20"/>
      <c r="X220" s="20"/>
      <c r="Y220" s="20"/>
    </row>
    <row r="221" spans="1:25">
      <c r="A221" s="20"/>
      <c r="B221" s="20"/>
      <c r="C221" s="20"/>
      <c r="D221" s="20"/>
      <c r="E221" s="20"/>
      <c r="F221" s="20"/>
      <c r="G221" s="20"/>
      <c r="H221" s="20"/>
      <c r="I221" s="20"/>
      <c r="J221" s="20"/>
      <c r="K221" s="20"/>
      <c r="L221" s="20"/>
      <c r="M221" s="20"/>
      <c r="N221" s="20"/>
      <c r="O221" s="20"/>
      <c r="P221" s="20"/>
      <c r="Q221" s="20"/>
      <c r="R221" s="20"/>
      <c r="S221" s="20"/>
      <c r="T221" s="20"/>
      <c r="U221" s="20"/>
      <c r="V221" s="20"/>
      <c r="W221" s="20"/>
      <c r="X221" s="20"/>
      <c r="Y221" s="20"/>
    </row>
    <row r="222" spans="1:25">
      <c r="A222" s="20"/>
      <c r="B222" s="20"/>
      <c r="C222" s="20"/>
      <c r="D222" s="20"/>
      <c r="E222" s="20"/>
      <c r="F222" s="20"/>
      <c r="G222" s="20"/>
      <c r="H222" s="20"/>
      <c r="I222" s="20"/>
      <c r="J222" s="20"/>
      <c r="K222" s="20"/>
      <c r="L222" s="20"/>
      <c r="M222" s="20"/>
      <c r="N222" s="20"/>
      <c r="O222" s="20"/>
      <c r="P222" s="20"/>
      <c r="Q222" s="20"/>
      <c r="R222" s="20"/>
      <c r="S222" s="20"/>
      <c r="T222" s="20"/>
      <c r="U222" s="20"/>
      <c r="V222" s="20"/>
      <c r="W222" s="20"/>
      <c r="X222" s="20"/>
      <c r="Y222" s="20"/>
    </row>
    <row r="223" spans="1:25">
      <c r="A223" s="20"/>
      <c r="B223" s="20"/>
      <c r="C223" s="20"/>
      <c r="D223" s="20"/>
      <c r="E223" s="20"/>
      <c r="F223" s="20"/>
      <c r="G223" s="20"/>
      <c r="H223" s="20"/>
      <c r="I223" s="20"/>
      <c r="J223" s="20"/>
      <c r="K223" s="20"/>
      <c r="L223" s="20"/>
      <c r="M223" s="20"/>
      <c r="N223" s="20"/>
      <c r="O223" s="20"/>
      <c r="P223" s="20"/>
      <c r="Q223" s="20"/>
      <c r="R223" s="20"/>
      <c r="S223" s="20"/>
      <c r="T223" s="20"/>
      <c r="U223" s="20"/>
      <c r="V223" s="20"/>
      <c r="W223" s="20"/>
      <c r="X223" s="20"/>
      <c r="Y223" s="20"/>
    </row>
    <row r="224" spans="1:25">
      <c r="A224" s="20"/>
      <c r="B224" s="20"/>
      <c r="C224" s="20"/>
      <c r="D224" s="20"/>
      <c r="E224" s="20"/>
      <c r="F224" s="20"/>
      <c r="G224" s="20"/>
      <c r="H224" s="20"/>
      <c r="I224" s="20"/>
      <c r="J224" s="20"/>
      <c r="K224" s="20"/>
      <c r="L224" s="20"/>
      <c r="M224" s="20"/>
      <c r="N224" s="20"/>
      <c r="O224" s="20"/>
      <c r="P224" s="20"/>
      <c r="Q224" s="20"/>
      <c r="R224" s="20"/>
      <c r="S224" s="20"/>
      <c r="T224" s="20"/>
      <c r="U224" s="20"/>
      <c r="V224" s="20"/>
      <c r="W224" s="20"/>
      <c r="X224" s="20"/>
      <c r="Y224" s="20"/>
    </row>
    <row r="225" spans="1:25">
      <c r="A225" s="20"/>
      <c r="B225" s="20"/>
      <c r="C225" s="20"/>
      <c r="D225" s="20"/>
      <c r="E225" s="20"/>
      <c r="F225" s="20"/>
      <c r="G225" s="20"/>
      <c r="H225" s="20"/>
      <c r="I225" s="20"/>
      <c r="J225" s="20"/>
      <c r="K225" s="20"/>
      <c r="L225" s="20"/>
      <c r="M225" s="20"/>
      <c r="N225" s="20"/>
      <c r="O225" s="20"/>
      <c r="P225" s="20"/>
      <c r="Q225" s="20"/>
      <c r="R225" s="20"/>
      <c r="S225" s="20"/>
      <c r="T225" s="20"/>
      <c r="U225" s="20"/>
      <c r="V225" s="20"/>
      <c r="W225" s="20"/>
      <c r="X225" s="20"/>
      <c r="Y225" s="20"/>
    </row>
    <row r="226" spans="1:25">
      <c r="A226" s="20"/>
      <c r="B226" s="20"/>
      <c r="C226" s="20"/>
      <c r="D226" s="20"/>
      <c r="E226" s="20"/>
      <c r="F226" s="20"/>
      <c r="G226" s="20"/>
      <c r="H226" s="20"/>
      <c r="I226" s="20"/>
      <c r="J226" s="20"/>
      <c r="K226" s="20"/>
      <c r="L226" s="20"/>
      <c r="M226" s="20"/>
      <c r="N226" s="20"/>
      <c r="O226" s="20"/>
      <c r="P226" s="20"/>
      <c r="Q226" s="20"/>
      <c r="R226" s="20"/>
      <c r="S226" s="20"/>
      <c r="T226" s="20"/>
      <c r="U226" s="20"/>
      <c r="V226" s="20"/>
      <c r="W226" s="20"/>
      <c r="X226" s="20"/>
      <c r="Y226" s="20"/>
    </row>
    <row r="227" spans="1:25">
      <c r="A227" s="20"/>
      <c r="B227" s="20"/>
      <c r="C227" s="20"/>
      <c r="D227" s="20"/>
      <c r="E227" s="20"/>
      <c r="F227" s="20"/>
      <c r="G227" s="20"/>
      <c r="H227" s="20"/>
      <c r="I227" s="20"/>
      <c r="J227" s="20"/>
      <c r="K227" s="20"/>
      <c r="L227" s="20"/>
      <c r="M227" s="20"/>
      <c r="N227" s="20"/>
      <c r="O227" s="20"/>
      <c r="P227" s="20"/>
      <c r="Q227" s="20"/>
      <c r="R227" s="20"/>
      <c r="S227" s="20"/>
      <c r="T227" s="20"/>
      <c r="U227" s="20"/>
      <c r="V227" s="20"/>
      <c r="W227" s="20"/>
      <c r="X227" s="20"/>
      <c r="Y227" s="20"/>
    </row>
    <row r="228" spans="1:25">
      <c r="A228" s="20"/>
      <c r="B228" s="20"/>
      <c r="C228" s="20"/>
      <c r="D228" s="20"/>
      <c r="E228" s="20"/>
      <c r="F228" s="20"/>
      <c r="G228" s="20"/>
      <c r="H228" s="20"/>
      <c r="I228" s="20"/>
      <c r="J228" s="20"/>
      <c r="K228" s="20"/>
      <c r="L228" s="20"/>
      <c r="M228" s="20"/>
      <c r="N228" s="20"/>
      <c r="O228" s="20"/>
      <c r="P228" s="20"/>
      <c r="Q228" s="20"/>
      <c r="R228" s="20"/>
      <c r="S228" s="20"/>
      <c r="T228" s="20"/>
      <c r="U228" s="20"/>
      <c r="V228" s="20"/>
      <c r="W228" s="20"/>
      <c r="X228" s="20"/>
      <c r="Y228" s="20"/>
    </row>
    <row r="229" spans="1:25">
      <c r="A229" s="20"/>
      <c r="B229" s="20"/>
      <c r="C229" s="20"/>
      <c r="D229" s="20"/>
      <c r="E229" s="20"/>
      <c r="F229" s="20"/>
      <c r="G229" s="20"/>
      <c r="H229" s="20"/>
      <c r="I229" s="20"/>
      <c r="J229" s="20"/>
      <c r="K229" s="20"/>
      <c r="L229" s="20"/>
      <c r="M229" s="20"/>
      <c r="N229" s="20"/>
      <c r="O229" s="20"/>
      <c r="P229" s="20"/>
      <c r="Q229" s="20"/>
      <c r="R229" s="20"/>
      <c r="S229" s="20"/>
      <c r="T229" s="20"/>
      <c r="U229" s="20"/>
      <c r="V229" s="20"/>
      <c r="W229" s="20"/>
      <c r="X229" s="20"/>
      <c r="Y229" s="20"/>
    </row>
    <row r="230" spans="1:25">
      <c r="A230" s="20"/>
      <c r="B230" s="20"/>
      <c r="C230" s="20"/>
      <c r="D230" s="20"/>
      <c r="E230" s="20"/>
      <c r="F230" s="20"/>
      <c r="G230" s="20"/>
      <c r="H230" s="20"/>
      <c r="I230" s="20"/>
      <c r="J230" s="20"/>
      <c r="K230" s="20"/>
      <c r="L230" s="20"/>
      <c r="M230" s="20"/>
      <c r="N230" s="20"/>
      <c r="O230" s="20"/>
      <c r="P230" s="20"/>
      <c r="Q230" s="20"/>
      <c r="R230" s="20"/>
      <c r="S230" s="20"/>
      <c r="T230" s="20"/>
      <c r="U230" s="20"/>
      <c r="V230" s="20"/>
      <c r="W230" s="20"/>
      <c r="X230" s="20"/>
      <c r="Y230" s="20"/>
    </row>
    <row r="231" spans="1:25">
      <c r="A231" s="20"/>
      <c r="B231" s="20"/>
      <c r="C231" s="20"/>
      <c r="D231" s="20"/>
      <c r="E231" s="20"/>
      <c r="F231" s="20"/>
      <c r="G231" s="20"/>
      <c r="H231" s="20"/>
      <c r="I231" s="20"/>
      <c r="J231" s="20"/>
      <c r="K231" s="20"/>
      <c r="L231" s="20"/>
      <c r="M231" s="20"/>
      <c r="N231" s="20"/>
      <c r="O231" s="20"/>
      <c r="P231" s="20"/>
      <c r="Q231" s="20"/>
      <c r="R231" s="20"/>
      <c r="S231" s="20"/>
      <c r="T231" s="20"/>
      <c r="U231" s="20"/>
      <c r="V231" s="20"/>
      <c r="W231" s="20"/>
      <c r="X231" s="20"/>
      <c r="Y231" s="20"/>
    </row>
    <row r="232" spans="1:25">
      <c r="A232" s="20"/>
      <c r="B232" s="20"/>
      <c r="C232" s="20"/>
      <c r="D232" s="20"/>
      <c r="E232" s="20"/>
      <c r="F232" s="20"/>
      <c r="G232" s="20"/>
      <c r="H232" s="20"/>
      <c r="I232" s="20"/>
      <c r="J232" s="20"/>
      <c r="K232" s="20"/>
      <c r="L232" s="20"/>
      <c r="M232" s="20"/>
      <c r="N232" s="20"/>
      <c r="O232" s="20"/>
      <c r="P232" s="20"/>
      <c r="Q232" s="20"/>
      <c r="R232" s="20"/>
      <c r="S232" s="20"/>
      <c r="T232" s="20"/>
      <c r="U232" s="20"/>
      <c r="V232" s="20"/>
      <c r="W232" s="20"/>
      <c r="X232" s="20"/>
      <c r="Y232" s="20"/>
    </row>
    <row r="233" spans="1:25">
      <c r="A233" s="20"/>
      <c r="B233" s="20"/>
      <c r="C233" s="20"/>
      <c r="D233" s="20"/>
      <c r="E233" s="20"/>
      <c r="F233" s="20"/>
      <c r="G233" s="20"/>
      <c r="H233" s="20"/>
      <c r="I233" s="20"/>
      <c r="J233" s="20"/>
      <c r="K233" s="20"/>
      <c r="L233" s="20"/>
      <c r="M233" s="20"/>
      <c r="N233" s="20"/>
      <c r="O233" s="20"/>
      <c r="P233" s="20"/>
      <c r="Q233" s="20"/>
      <c r="R233" s="20"/>
      <c r="S233" s="20"/>
      <c r="T233" s="20"/>
      <c r="U233" s="20"/>
      <c r="V233" s="20"/>
      <c r="W233" s="20"/>
      <c r="X233" s="20"/>
      <c r="Y233" s="20"/>
    </row>
    <row r="234" spans="1:25">
      <c r="A234" s="20"/>
      <c r="B234" s="20"/>
      <c r="C234" s="20"/>
      <c r="D234" s="20"/>
      <c r="E234" s="20"/>
      <c r="F234" s="20"/>
      <c r="G234" s="20"/>
      <c r="H234" s="20"/>
      <c r="I234" s="20"/>
      <c r="J234" s="20"/>
      <c r="K234" s="20"/>
      <c r="L234" s="20"/>
      <c r="M234" s="20"/>
      <c r="N234" s="20"/>
      <c r="O234" s="20"/>
      <c r="P234" s="20"/>
      <c r="Q234" s="20"/>
      <c r="R234" s="20"/>
      <c r="S234" s="20"/>
      <c r="T234" s="20"/>
      <c r="U234" s="20"/>
      <c r="V234" s="20"/>
      <c r="W234" s="20"/>
      <c r="X234" s="20"/>
      <c r="Y234" s="20"/>
    </row>
    <row r="235" spans="1:25">
      <c r="A235" s="20"/>
      <c r="B235" s="20"/>
      <c r="C235" s="20"/>
      <c r="D235" s="20"/>
      <c r="E235" s="20"/>
      <c r="F235" s="20"/>
      <c r="G235" s="20"/>
      <c r="H235" s="20"/>
      <c r="I235" s="20"/>
      <c r="J235" s="20"/>
      <c r="K235" s="20"/>
      <c r="L235" s="20"/>
      <c r="M235" s="20"/>
      <c r="N235" s="20"/>
      <c r="O235" s="20"/>
      <c r="P235" s="20"/>
      <c r="Q235" s="20"/>
      <c r="R235" s="20"/>
      <c r="S235" s="20"/>
      <c r="T235" s="20"/>
      <c r="U235" s="20"/>
      <c r="V235" s="20"/>
      <c r="W235" s="20"/>
      <c r="X235" s="20"/>
      <c r="Y235" s="20"/>
    </row>
    <row r="236" spans="1:25">
      <c r="A236" s="20"/>
      <c r="B236" s="20"/>
      <c r="C236" s="20"/>
      <c r="D236" s="20"/>
      <c r="E236" s="20"/>
      <c r="F236" s="20"/>
      <c r="G236" s="20"/>
      <c r="H236" s="20"/>
      <c r="I236" s="20"/>
      <c r="J236" s="20"/>
      <c r="K236" s="20"/>
      <c r="L236" s="20"/>
      <c r="M236" s="20"/>
      <c r="N236" s="20"/>
      <c r="O236" s="20"/>
      <c r="P236" s="20"/>
      <c r="Q236" s="20"/>
      <c r="R236" s="20"/>
      <c r="S236" s="20"/>
      <c r="T236" s="20"/>
      <c r="U236" s="20"/>
      <c r="V236" s="20"/>
      <c r="W236" s="20"/>
      <c r="X236" s="20"/>
      <c r="Y236" s="20"/>
    </row>
    <row r="237" spans="1:25">
      <c r="A237" s="20"/>
      <c r="B237" s="20"/>
      <c r="C237" s="20"/>
      <c r="D237" s="20"/>
      <c r="E237" s="20"/>
      <c r="F237" s="20"/>
      <c r="G237" s="20"/>
      <c r="H237" s="20"/>
      <c r="I237" s="20"/>
      <c r="J237" s="20"/>
      <c r="K237" s="20"/>
      <c r="L237" s="20"/>
      <c r="M237" s="20"/>
      <c r="N237" s="20"/>
      <c r="O237" s="20"/>
      <c r="P237" s="20"/>
      <c r="Q237" s="20"/>
      <c r="R237" s="20"/>
      <c r="S237" s="20"/>
      <c r="T237" s="20"/>
      <c r="U237" s="20"/>
      <c r="V237" s="20"/>
      <c r="W237" s="20"/>
      <c r="X237" s="20"/>
      <c r="Y237" s="20"/>
    </row>
    <row r="238" spans="1:25">
      <c r="A238" s="20"/>
      <c r="B238" s="20"/>
      <c r="C238" s="20"/>
      <c r="D238" s="20"/>
      <c r="E238" s="20"/>
      <c r="F238" s="20"/>
      <c r="G238" s="20"/>
      <c r="H238" s="20"/>
      <c r="I238" s="20"/>
      <c r="J238" s="20"/>
      <c r="K238" s="20"/>
      <c r="L238" s="20"/>
      <c r="M238" s="20"/>
      <c r="N238" s="20"/>
      <c r="O238" s="20"/>
      <c r="P238" s="20"/>
      <c r="Q238" s="20"/>
      <c r="R238" s="20"/>
      <c r="S238" s="20"/>
      <c r="T238" s="20"/>
      <c r="U238" s="20"/>
      <c r="V238" s="20"/>
      <c r="W238" s="20"/>
      <c r="X238" s="20"/>
      <c r="Y238" s="20"/>
    </row>
    <row r="239" spans="1:25">
      <c r="A239" s="20"/>
      <c r="B239" s="20"/>
      <c r="C239" s="20"/>
      <c r="D239" s="20"/>
      <c r="E239" s="20"/>
      <c r="F239" s="20"/>
      <c r="G239" s="20"/>
      <c r="H239" s="20"/>
      <c r="I239" s="20"/>
      <c r="J239" s="20"/>
      <c r="K239" s="20"/>
      <c r="L239" s="20"/>
      <c r="M239" s="20"/>
      <c r="N239" s="20"/>
      <c r="O239" s="20"/>
      <c r="P239" s="20"/>
      <c r="Q239" s="20"/>
      <c r="R239" s="20"/>
      <c r="S239" s="20"/>
      <c r="T239" s="20"/>
      <c r="U239" s="20"/>
      <c r="V239" s="20"/>
      <c r="W239" s="20"/>
      <c r="X239" s="20"/>
      <c r="Y239" s="20"/>
    </row>
    <row r="240" spans="1:25">
      <c r="A240" s="20"/>
      <c r="B240" s="20"/>
      <c r="C240" s="20"/>
      <c r="D240" s="20"/>
      <c r="E240" s="20"/>
      <c r="F240" s="20"/>
      <c r="G240" s="20"/>
      <c r="H240" s="20"/>
      <c r="I240" s="20"/>
      <c r="J240" s="20"/>
      <c r="K240" s="20"/>
      <c r="L240" s="20"/>
      <c r="M240" s="20"/>
      <c r="N240" s="20"/>
      <c r="O240" s="20"/>
      <c r="P240" s="20"/>
      <c r="Q240" s="20"/>
      <c r="R240" s="20"/>
      <c r="S240" s="20"/>
      <c r="T240" s="20"/>
      <c r="U240" s="20"/>
      <c r="V240" s="20"/>
      <c r="W240" s="20"/>
      <c r="X240" s="20"/>
      <c r="Y240" s="20"/>
    </row>
    <row r="241" spans="1:25">
      <c r="A241" s="20"/>
      <c r="B241" s="20"/>
      <c r="C241" s="20"/>
      <c r="D241" s="20"/>
      <c r="E241" s="20"/>
      <c r="F241" s="20"/>
      <c r="G241" s="20"/>
      <c r="H241" s="20"/>
      <c r="I241" s="20"/>
      <c r="J241" s="20"/>
      <c r="K241" s="20"/>
      <c r="L241" s="20"/>
      <c r="M241" s="20"/>
      <c r="N241" s="20"/>
      <c r="O241" s="20"/>
      <c r="P241" s="20"/>
      <c r="Q241" s="20"/>
      <c r="R241" s="20"/>
      <c r="S241" s="20"/>
      <c r="T241" s="20"/>
      <c r="U241" s="20"/>
      <c r="V241" s="20"/>
      <c r="W241" s="20"/>
      <c r="X241" s="20"/>
      <c r="Y241" s="20"/>
    </row>
    <row r="242" spans="1:25">
      <c r="A242" s="20"/>
      <c r="B242" s="20"/>
      <c r="C242" s="20"/>
      <c r="D242" s="20"/>
      <c r="E242" s="20"/>
      <c r="F242" s="20"/>
      <c r="G242" s="20"/>
      <c r="H242" s="20"/>
      <c r="I242" s="20"/>
      <c r="J242" s="20"/>
      <c r="K242" s="20"/>
      <c r="L242" s="20"/>
      <c r="M242" s="20"/>
      <c r="N242" s="20"/>
      <c r="O242" s="20"/>
      <c r="P242" s="20"/>
      <c r="Q242" s="20"/>
      <c r="R242" s="20"/>
      <c r="S242" s="20"/>
      <c r="T242" s="20"/>
      <c r="U242" s="20"/>
      <c r="V242" s="20"/>
      <c r="W242" s="20"/>
      <c r="X242" s="20"/>
      <c r="Y242" s="20"/>
    </row>
    <row r="243" spans="1:25">
      <c r="A243" s="20"/>
      <c r="B243" s="20"/>
      <c r="C243" s="20"/>
      <c r="D243" s="20"/>
      <c r="E243" s="20"/>
      <c r="F243" s="20"/>
      <c r="G243" s="20"/>
      <c r="H243" s="20"/>
      <c r="I243" s="20"/>
      <c r="J243" s="20"/>
      <c r="K243" s="20"/>
      <c r="L243" s="20"/>
      <c r="M243" s="20"/>
      <c r="N243" s="20"/>
      <c r="O243" s="20"/>
      <c r="P243" s="20"/>
      <c r="Q243" s="20"/>
      <c r="R243" s="20"/>
      <c r="S243" s="20"/>
      <c r="T243" s="20"/>
      <c r="U243" s="20"/>
      <c r="V243" s="20"/>
      <c r="W243" s="20"/>
      <c r="X243" s="20"/>
      <c r="Y243" s="20"/>
    </row>
    <row r="244" spans="1:25">
      <c r="A244" s="20"/>
      <c r="B244" s="20"/>
      <c r="C244" s="20"/>
      <c r="D244" s="20"/>
      <c r="E244" s="20"/>
      <c r="F244" s="20"/>
      <c r="G244" s="20"/>
      <c r="H244" s="20"/>
      <c r="I244" s="20"/>
      <c r="J244" s="20"/>
      <c r="K244" s="20"/>
      <c r="L244" s="20"/>
      <c r="M244" s="20"/>
      <c r="N244" s="20"/>
      <c r="O244" s="20"/>
      <c r="P244" s="20"/>
      <c r="Q244" s="20"/>
      <c r="R244" s="20"/>
      <c r="S244" s="20"/>
      <c r="T244" s="20"/>
      <c r="U244" s="20"/>
      <c r="V244" s="20"/>
      <c r="W244" s="20"/>
      <c r="X244" s="20"/>
      <c r="Y244" s="20"/>
    </row>
    <row r="245" spans="1:25">
      <c r="A245" s="20"/>
      <c r="B245" s="20"/>
      <c r="C245" s="20"/>
      <c r="D245" s="20"/>
      <c r="E245" s="20"/>
      <c r="F245" s="20"/>
      <c r="G245" s="20"/>
      <c r="H245" s="20"/>
      <c r="I245" s="20"/>
      <c r="J245" s="20"/>
      <c r="K245" s="20"/>
      <c r="L245" s="20"/>
      <c r="M245" s="20"/>
      <c r="N245" s="20"/>
      <c r="O245" s="20"/>
      <c r="P245" s="20"/>
      <c r="Q245" s="20"/>
      <c r="R245" s="20"/>
      <c r="S245" s="20"/>
      <c r="T245" s="20"/>
      <c r="U245" s="20"/>
      <c r="V245" s="20"/>
      <c r="W245" s="20"/>
      <c r="X245" s="20"/>
      <c r="Y245" s="20"/>
    </row>
    <row r="246" spans="1:25">
      <c r="A246" s="20"/>
      <c r="B246" s="20"/>
      <c r="C246" s="20"/>
      <c r="D246" s="20"/>
      <c r="E246" s="20"/>
      <c r="F246" s="20"/>
      <c r="G246" s="20"/>
      <c r="H246" s="20"/>
      <c r="I246" s="20"/>
      <c r="J246" s="20"/>
      <c r="K246" s="20"/>
      <c r="L246" s="20"/>
      <c r="M246" s="20"/>
      <c r="N246" s="20"/>
      <c r="O246" s="20"/>
      <c r="P246" s="20"/>
      <c r="Q246" s="20"/>
      <c r="R246" s="20"/>
      <c r="S246" s="20"/>
      <c r="T246" s="20"/>
      <c r="U246" s="20"/>
      <c r="V246" s="20"/>
      <c r="W246" s="20"/>
      <c r="X246" s="20"/>
      <c r="Y246" s="20"/>
    </row>
    <row r="247" spans="1:25">
      <c r="A247" s="20"/>
      <c r="B247" s="20"/>
      <c r="C247" s="20"/>
      <c r="D247" s="20"/>
      <c r="E247" s="20"/>
      <c r="F247" s="20"/>
      <c r="G247" s="20"/>
      <c r="H247" s="20"/>
      <c r="I247" s="20"/>
      <c r="J247" s="20"/>
      <c r="K247" s="20"/>
      <c r="L247" s="20"/>
      <c r="M247" s="20"/>
      <c r="N247" s="20"/>
      <c r="O247" s="20"/>
      <c r="P247" s="20"/>
      <c r="Q247" s="20"/>
      <c r="R247" s="20"/>
      <c r="S247" s="20"/>
      <c r="T247" s="20"/>
      <c r="U247" s="20"/>
      <c r="V247" s="20"/>
      <c r="W247" s="20"/>
      <c r="X247" s="20"/>
      <c r="Y247" s="20"/>
    </row>
    <row r="248" spans="1:25">
      <c r="A248" s="20"/>
      <c r="B248" s="20"/>
      <c r="C248" s="20"/>
      <c r="D248" s="20"/>
      <c r="E248" s="20"/>
      <c r="F248" s="20"/>
      <c r="G248" s="20"/>
      <c r="H248" s="20"/>
      <c r="I248" s="20"/>
      <c r="J248" s="20"/>
      <c r="K248" s="20"/>
      <c r="L248" s="20"/>
      <c r="M248" s="20"/>
      <c r="N248" s="20"/>
      <c r="O248" s="20"/>
      <c r="P248" s="20"/>
      <c r="Q248" s="20"/>
      <c r="R248" s="20"/>
      <c r="S248" s="20"/>
      <c r="T248" s="20"/>
      <c r="U248" s="20"/>
      <c r="V248" s="20"/>
      <c r="W248" s="20"/>
      <c r="X248" s="20"/>
      <c r="Y248" s="20"/>
    </row>
    <row r="249" spans="1:25">
      <c r="A249" s="20"/>
      <c r="B249" s="20"/>
      <c r="C249" s="20"/>
      <c r="D249" s="20"/>
      <c r="E249" s="20"/>
      <c r="F249" s="20"/>
      <c r="G249" s="20"/>
      <c r="H249" s="20"/>
      <c r="I249" s="20"/>
      <c r="J249" s="20"/>
      <c r="K249" s="20"/>
      <c r="L249" s="20"/>
      <c r="M249" s="20"/>
      <c r="N249" s="20"/>
      <c r="O249" s="20"/>
      <c r="P249" s="20"/>
      <c r="Q249" s="20"/>
      <c r="R249" s="20"/>
      <c r="S249" s="20"/>
      <c r="T249" s="20"/>
      <c r="U249" s="20"/>
      <c r="V249" s="20"/>
      <c r="W249" s="20"/>
      <c r="X249" s="20"/>
      <c r="Y249" s="20"/>
    </row>
    <row r="250" spans="1:25">
      <c r="A250" s="20"/>
      <c r="B250" s="20"/>
      <c r="C250" s="20"/>
      <c r="D250" s="20"/>
      <c r="E250" s="20"/>
      <c r="F250" s="20"/>
      <c r="G250" s="20"/>
      <c r="H250" s="20"/>
      <c r="I250" s="20"/>
      <c r="J250" s="20"/>
      <c r="K250" s="20"/>
      <c r="L250" s="20"/>
      <c r="M250" s="20"/>
      <c r="N250" s="20"/>
      <c r="O250" s="20"/>
      <c r="P250" s="20"/>
      <c r="Q250" s="20"/>
      <c r="R250" s="20"/>
      <c r="S250" s="20"/>
      <c r="T250" s="20"/>
      <c r="U250" s="20"/>
      <c r="V250" s="20"/>
      <c r="W250" s="20"/>
      <c r="X250" s="20"/>
      <c r="Y250" s="20"/>
    </row>
    <row r="251" spans="1:25">
      <c r="A251" s="20"/>
      <c r="B251" s="20"/>
      <c r="C251" s="20"/>
      <c r="D251" s="20"/>
      <c r="E251" s="20"/>
      <c r="F251" s="20"/>
      <c r="G251" s="20"/>
      <c r="H251" s="20"/>
      <c r="I251" s="20"/>
      <c r="J251" s="20"/>
      <c r="K251" s="20"/>
      <c r="L251" s="20"/>
      <c r="M251" s="20"/>
      <c r="N251" s="20"/>
      <c r="O251" s="20"/>
      <c r="P251" s="20"/>
      <c r="Q251" s="20"/>
      <c r="R251" s="20"/>
      <c r="S251" s="20"/>
      <c r="T251" s="20"/>
      <c r="U251" s="20"/>
      <c r="V251" s="20"/>
      <c r="W251" s="20"/>
      <c r="X251" s="20"/>
      <c r="Y251" s="20"/>
    </row>
    <row r="252" spans="1:25">
      <c r="A252" s="20"/>
      <c r="B252" s="20"/>
      <c r="C252" s="20"/>
      <c r="D252" s="20"/>
      <c r="E252" s="20"/>
      <c r="F252" s="20"/>
      <c r="G252" s="20"/>
      <c r="H252" s="20"/>
      <c r="I252" s="20"/>
      <c r="J252" s="20"/>
      <c r="K252" s="20"/>
      <c r="L252" s="20"/>
      <c r="M252" s="20"/>
      <c r="N252" s="20"/>
      <c r="O252" s="20"/>
      <c r="P252" s="20"/>
      <c r="Q252" s="20"/>
      <c r="R252" s="20"/>
      <c r="S252" s="20"/>
      <c r="T252" s="20"/>
      <c r="U252" s="20"/>
      <c r="V252" s="20"/>
      <c r="W252" s="20"/>
      <c r="X252" s="20"/>
      <c r="Y252" s="20"/>
    </row>
    <row r="253" spans="1:25">
      <c r="A253" s="20"/>
      <c r="B253" s="20"/>
      <c r="C253" s="20"/>
      <c r="D253" s="20"/>
      <c r="E253" s="20"/>
      <c r="F253" s="20"/>
      <c r="G253" s="20"/>
      <c r="H253" s="20"/>
      <c r="I253" s="20"/>
      <c r="J253" s="20"/>
      <c r="K253" s="20"/>
      <c r="L253" s="20"/>
      <c r="M253" s="20"/>
      <c r="N253" s="20"/>
      <c r="O253" s="20"/>
      <c r="P253" s="20"/>
      <c r="Q253" s="20"/>
      <c r="R253" s="20"/>
      <c r="S253" s="20"/>
      <c r="T253" s="20"/>
      <c r="U253" s="20"/>
      <c r="V253" s="20"/>
      <c r="W253" s="20"/>
      <c r="X253" s="20"/>
      <c r="Y253" s="20"/>
    </row>
    <row r="254" spans="1:25">
      <c r="A254" s="20"/>
      <c r="B254" s="20"/>
      <c r="C254" s="20"/>
      <c r="D254" s="20"/>
      <c r="E254" s="20"/>
      <c r="F254" s="20"/>
      <c r="G254" s="20"/>
      <c r="H254" s="20"/>
      <c r="I254" s="20"/>
      <c r="J254" s="20"/>
      <c r="K254" s="20"/>
      <c r="L254" s="20"/>
      <c r="M254" s="20"/>
      <c r="N254" s="20"/>
      <c r="O254" s="20"/>
      <c r="P254" s="20"/>
      <c r="Q254" s="20"/>
      <c r="R254" s="20"/>
      <c r="S254" s="20"/>
      <c r="T254" s="20"/>
      <c r="U254" s="20"/>
      <c r="V254" s="20"/>
      <c r="W254" s="20"/>
      <c r="X254" s="20"/>
      <c r="Y254" s="20"/>
    </row>
    <row r="255" spans="1:25">
      <c r="A255" s="20"/>
      <c r="B255" s="20"/>
      <c r="C255" s="20"/>
      <c r="D255" s="20"/>
      <c r="E255" s="20"/>
      <c r="F255" s="20"/>
      <c r="G255" s="20"/>
      <c r="H255" s="20"/>
      <c r="I255" s="20"/>
      <c r="J255" s="20"/>
      <c r="K255" s="20"/>
      <c r="L255" s="20"/>
      <c r="M255" s="20"/>
      <c r="N255" s="20"/>
      <c r="O255" s="20"/>
      <c r="P255" s="20"/>
      <c r="Q255" s="20"/>
      <c r="R255" s="20"/>
      <c r="S255" s="20"/>
      <c r="T255" s="20"/>
      <c r="U255" s="20"/>
      <c r="V255" s="20"/>
      <c r="W255" s="20"/>
      <c r="X255" s="20"/>
      <c r="Y255" s="20"/>
    </row>
    <row r="256" spans="1:25">
      <c r="A256" s="20"/>
      <c r="B256" s="20"/>
      <c r="C256" s="20"/>
      <c r="D256" s="20"/>
      <c r="E256" s="20"/>
      <c r="F256" s="20"/>
      <c r="G256" s="20"/>
      <c r="H256" s="20"/>
      <c r="I256" s="20"/>
      <c r="J256" s="20"/>
      <c r="K256" s="20"/>
      <c r="L256" s="20"/>
      <c r="M256" s="20"/>
      <c r="N256" s="20"/>
      <c r="O256" s="20"/>
      <c r="P256" s="20"/>
      <c r="Q256" s="20"/>
      <c r="R256" s="20"/>
      <c r="S256" s="20"/>
      <c r="T256" s="20"/>
      <c r="U256" s="20"/>
      <c r="V256" s="20"/>
      <c r="W256" s="20"/>
      <c r="X256" s="20"/>
      <c r="Y256" s="20"/>
    </row>
    <row r="257" spans="1:25">
      <c r="A257" s="20"/>
      <c r="B257" s="20"/>
      <c r="C257" s="20"/>
      <c r="D257" s="20"/>
      <c r="E257" s="20"/>
      <c r="F257" s="20"/>
      <c r="G257" s="20"/>
      <c r="H257" s="20"/>
      <c r="I257" s="20"/>
      <c r="J257" s="20"/>
      <c r="K257" s="20"/>
      <c r="L257" s="20"/>
      <c r="M257" s="20"/>
      <c r="N257" s="20"/>
      <c r="O257" s="20"/>
      <c r="P257" s="20"/>
      <c r="Q257" s="20"/>
      <c r="R257" s="20"/>
      <c r="S257" s="20"/>
      <c r="T257" s="20"/>
      <c r="U257" s="20"/>
      <c r="V257" s="20"/>
      <c r="W257" s="20"/>
      <c r="X257" s="20"/>
      <c r="Y257" s="20"/>
    </row>
    <row r="258" spans="1:25">
      <c r="A258" s="20"/>
      <c r="B258" s="20"/>
      <c r="C258" s="20"/>
      <c r="D258" s="20"/>
      <c r="E258" s="20"/>
      <c r="F258" s="20"/>
      <c r="G258" s="20"/>
      <c r="H258" s="20"/>
      <c r="I258" s="20"/>
      <c r="J258" s="20"/>
      <c r="K258" s="20"/>
      <c r="L258" s="20"/>
      <c r="M258" s="20"/>
      <c r="N258" s="20"/>
      <c r="O258" s="20"/>
      <c r="P258" s="20"/>
      <c r="Q258" s="20"/>
      <c r="R258" s="20"/>
      <c r="S258" s="20"/>
      <c r="T258" s="20"/>
      <c r="U258" s="20"/>
      <c r="V258" s="20"/>
      <c r="W258" s="20"/>
      <c r="X258" s="20"/>
      <c r="Y258" s="20"/>
    </row>
    <row r="259" spans="1:25">
      <c r="A259" s="20"/>
      <c r="B259" s="20"/>
      <c r="C259" s="20"/>
      <c r="D259" s="20"/>
      <c r="E259" s="20"/>
      <c r="F259" s="20"/>
      <c r="G259" s="20"/>
      <c r="H259" s="20"/>
      <c r="I259" s="20"/>
      <c r="J259" s="20"/>
      <c r="K259" s="20"/>
      <c r="L259" s="20"/>
      <c r="M259" s="20"/>
      <c r="N259" s="20"/>
      <c r="O259" s="20"/>
      <c r="P259" s="20"/>
      <c r="Q259" s="20"/>
      <c r="R259" s="20"/>
      <c r="S259" s="20"/>
      <c r="T259" s="20"/>
      <c r="U259" s="20"/>
      <c r="V259" s="20"/>
      <c r="W259" s="20"/>
      <c r="X259" s="20"/>
      <c r="Y259" s="20"/>
    </row>
    <row r="260" spans="1:25">
      <c r="A260" s="20"/>
      <c r="B260" s="20"/>
      <c r="C260" s="20"/>
      <c r="D260" s="20"/>
      <c r="E260" s="20"/>
      <c r="F260" s="20"/>
      <c r="G260" s="20"/>
      <c r="H260" s="20"/>
      <c r="I260" s="20"/>
      <c r="J260" s="20"/>
      <c r="K260" s="20"/>
      <c r="L260" s="20"/>
      <c r="M260" s="20"/>
      <c r="N260" s="20"/>
      <c r="O260" s="20"/>
      <c r="P260" s="20"/>
      <c r="Q260" s="20"/>
      <c r="R260" s="20"/>
      <c r="S260" s="20"/>
      <c r="T260" s="20"/>
      <c r="U260" s="20"/>
      <c r="V260" s="20"/>
      <c r="W260" s="20"/>
      <c r="X260" s="20"/>
      <c r="Y260" s="20"/>
    </row>
    <row r="261" spans="1:25">
      <c r="A261" s="20"/>
      <c r="B261" s="20"/>
      <c r="C261" s="20"/>
      <c r="D261" s="20"/>
      <c r="E261" s="20"/>
      <c r="F261" s="20"/>
      <c r="G261" s="20"/>
      <c r="H261" s="20"/>
      <c r="I261" s="20"/>
      <c r="J261" s="20"/>
      <c r="K261" s="20"/>
      <c r="L261" s="20"/>
      <c r="M261" s="20"/>
      <c r="N261" s="20"/>
      <c r="O261" s="20"/>
      <c r="P261" s="20"/>
      <c r="Q261" s="20"/>
      <c r="R261" s="20"/>
      <c r="S261" s="20"/>
      <c r="T261" s="20"/>
      <c r="U261" s="20"/>
      <c r="V261" s="20"/>
      <c r="W261" s="20"/>
      <c r="X261" s="20"/>
      <c r="Y261" s="20"/>
    </row>
    <row r="262" spans="1:25">
      <c r="A262" s="20"/>
      <c r="B262" s="20"/>
      <c r="C262" s="20"/>
      <c r="D262" s="20"/>
      <c r="E262" s="20"/>
      <c r="F262" s="20"/>
      <c r="G262" s="20"/>
      <c r="H262" s="20"/>
      <c r="I262" s="20"/>
      <c r="J262" s="20"/>
      <c r="K262" s="20"/>
      <c r="L262" s="20"/>
      <c r="M262" s="20"/>
      <c r="N262" s="20"/>
      <c r="O262" s="20"/>
      <c r="P262" s="20"/>
      <c r="Q262" s="20"/>
      <c r="R262" s="20"/>
      <c r="S262" s="20"/>
      <c r="T262" s="20"/>
      <c r="U262" s="20"/>
      <c r="V262" s="20"/>
      <c r="W262" s="20"/>
      <c r="X262" s="20"/>
      <c r="Y262" s="20"/>
    </row>
    <row r="263" spans="1:25">
      <c r="A263" s="20"/>
      <c r="B263" s="20"/>
      <c r="C263" s="20"/>
      <c r="D263" s="20"/>
      <c r="E263" s="20"/>
      <c r="F263" s="20"/>
      <c r="G263" s="20"/>
      <c r="H263" s="20"/>
      <c r="I263" s="20"/>
      <c r="J263" s="20"/>
      <c r="K263" s="20"/>
      <c r="L263" s="20"/>
      <c r="M263" s="20"/>
      <c r="N263" s="20"/>
      <c r="O263" s="20"/>
      <c r="P263" s="20"/>
      <c r="Q263" s="20"/>
      <c r="R263" s="20"/>
      <c r="S263" s="20"/>
      <c r="T263" s="20"/>
      <c r="U263" s="20"/>
      <c r="V263" s="20"/>
      <c r="W263" s="20"/>
      <c r="X263" s="20"/>
      <c r="Y263" s="20"/>
    </row>
    <row r="264" spans="1:25">
      <c r="A264" s="20"/>
      <c r="B264" s="20"/>
      <c r="C264" s="20"/>
      <c r="D264" s="20"/>
      <c r="E264" s="20"/>
      <c r="F264" s="20"/>
      <c r="G264" s="20"/>
      <c r="H264" s="20"/>
      <c r="I264" s="20"/>
      <c r="J264" s="20"/>
      <c r="K264" s="20"/>
      <c r="L264" s="20"/>
      <c r="M264" s="20"/>
      <c r="N264" s="20"/>
      <c r="O264" s="20"/>
      <c r="P264" s="20"/>
      <c r="Q264" s="20"/>
      <c r="R264" s="20"/>
      <c r="S264" s="20"/>
      <c r="T264" s="20"/>
      <c r="U264" s="20"/>
      <c r="V264" s="20"/>
      <c r="W264" s="20"/>
      <c r="X264" s="20"/>
      <c r="Y264" s="20"/>
    </row>
    <row r="265" spans="1:25">
      <c r="A265" s="20"/>
      <c r="B265" s="20"/>
      <c r="C265" s="20"/>
      <c r="D265" s="20"/>
      <c r="E265" s="20"/>
      <c r="F265" s="20"/>
      <c r="G265" s="20"/>
      <c r="H265" s="20"/>
      <c r="I265" s="20"/>
      <c r="J265" s="20"/>
      <c r="K265" s="20"/>
      <c r="L265" s="20"/>
      <c r="M265" s="20"/>
      <c r="N265" s="20"/>
      <c r="O265" s="20"/>
      <c r="P265" s="20"/>
      <c r="Q265" s="20"/>
      <c r="R265" s="20"/>
      <c r="S265" s="20"/>
      <c r="T265" s="20"/>
      <c r="U265" s="20"/>
      <c r="V265" s="20"/>
      <c r="W265" s="20"/>
      <c r="X265" s="20"/>
      <c r="Y265" s="20"/>
    </row>
  </sheetData>
  <sheetProtection algorithmName="SHA-512" hashValue="0bNzUsbPqNx7b1KEXtgZQN2j0LnsN1QcHKOb+trjxUQhRsiAZoW+/UEzKpqtv5ZIADM4fFyRJMugoLKmA+1Ehg==" saltValue="YmmAipm8MgdoXU9E7nT8qg==" spinCount="100000" sheet="1" selectLockedCells="1"/>
  <mergeCells count="11">
    <mergeCell ref="D3:M3"/>
    <mergeCell ref="L26:M26"/>
    <mergeCell ref="L28:M28"/>
    <mergeCell ref="D7:F7"/>
    <mergeCell ref="D9:F9"/>
    <mergeCell ref="M7:N7"/>
    <mergeCell ref="L36:M36"/>
    <mergeCell ref="L16:M16"/>
    <mergeCell ref="L18:M18"/>
    <mergeCell ref="L21:M21"/>
    <mergeCell ref="D11:I11"/>
  </mergeCells>
  <phoneticPr fontId="2" type="noConversion"/>
  <conditionalFormatting sqref="K13">
    <cfRule type="expression" dxfId="102" priority="4" stopIfTrue="1">
      <formula>$K$13</formula>
    </cfRule>
  </conditionalFormatting>
  <conditionalFormatting sqref="L16">
    <cfRule type="expression" dxfId="101" priority="6" stopIfTrue="1">
      <formula>$L$16</formula>
    </cfRule>
  </conditionalFormatting>
  <conditionalFormatting sqref="L18:M18 L21:M21 L36:M36">
    <cfRule type="cellIs" dxfId="100" priority="3" stopIfTrue="1" operator="equal">
      <formula>0</formula>
    </cfRule>
  </conditionalFormatting>
  <conditionalFormatting sqref="L26:M26">
    <cfRule type="expression" dxfId="99" priority="8" stopIfTrue="1">
      <formula>$L$26</formula>
    </cfRule>
  </conditionalFormatting>
  <conditionalFormatting sqref="L28:M28">
    <cfRule type="expression" dxfId="98" priority="9" stopIfTrue="1">
      <formula>$L$28</formula>
    </cfRule>
  </conditionalFormatting>
  <conditionalFormatting sqref="M13">
    <cfRule type="expression" dxfId="97" priority="5" stopIfTrue="1">
      <formula>$M$13</formula>
    </cfRule>
  </conditionalFormatting>
  <conditionalFormatting sqref="M16">
    <cfRule type="expression" dxfId="96" priority="7" stopIfTrue="1">
      <formula>$M$16</formula>
    </cfRule>
  </conditionalFormatting>
  <conditionalFormatting sqref="A1:Y265">
    <cfRule type="expression" dxfId="95" priority="2" stopIfTrue="1">
      <formula>AND(A1&lt;&gt;"",OR(A1=0,A1="0"))</formula>
    </cfRule>
  </conditionalFormatting>
  <hyperlinks>
    <hyperlink ref="P36" location="'Guía de trabajo'!A22" display="'Guía de trabajo'!A22" xr:uid="{00000000-0004-0000-0600-000000000000}"/>
  </hyperlinks>
  <pageMargins left="0.70866141732283472" right="0.74803149606299213" top="0.74803149606299213" bottom="0.98425196850393704" header="0.47244094488188981" footer="0"/>
  <pageSetup paperSize="9" orientation="portrait" blackAndWhite="1" horizontalDpi="120" verticalDpi="144" r:id="rId1"/>
  <headerFooter alignWithMargins="0">
    <oddHeader xml:space="preserve">&amp;LPREFECTURA NAVAL ARGENTINA
</oddHeader>
  </headerFooter>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8"/>
  <dimension ref="A1:BH221"/>
  <sheetViews>
    <sheetView topLeftCell="A50" zoomScale="130" zoomScaleNormal="130" zoomScaleSheetLayoutView="108" workbookViewId="0">
      <selection activeCell="V24" sqref="V24"/>
    </sheetView>
  </sheetViews>
  <sheetFormatPr baseColWidth="10" defaultRowHeight="13.2"/>
  <cols>
    <col min="1" max="18" width="3.44140625" customWidth="1"/>
    <col min="19" max="19" width="4.33203125" customWidth="1"/>
    <col min="20" max="22" width="3.44140625" customWidth="1"/>
    <col min="23" max="24" width="4.5546875" customWidth="1"/>
    <col min="25" max="25" width="4.33203125" customWidth="1"/>
    <col min="26" max="26" width="5.5546875" customWidth="1"/>
    <col min="27" max="27" width="6.5546875" customWidth="1"/>
    <col min="28" max="28" width="9" customWidth="1"/>
    <col min="29" max="29" width="6.109375" customWidth="1"/>
    <col min="30" max="51" width="5.44140625" customWidth="1"/>
    <col min="52" max="67" width="3.44140625" customWidth="1"/>
  </cols>
  <sheetData>
    <row r="1" spans="1:60" ht="13.8" thickBot="1">
      <c r="A1" s="3"/>
      <c r="B1" s="3"/>
      <c r="C1" s="3"/>
      <c r="D1" s="3"/>
      <c r="E1" s="3"/>
      <c r="F1" s="3"/>
      <c r="G1" s="3"/>
      <c r="H1" s="3"/>
      <c r="I1" s="3"/>
      <c r="J1" s="3"/>
      <c r="K1" s="3"/>
      <c r="L1" s="3"/>
      <c r="M1" s="3"/>
      <c r="N1" s="3"/>
      <c r="O1" s="3"/>
      <c r="P1" s="3"/>
      <c r="Q1" s="3"/>
      <c r="R1" s="3"/>
      <c r="S1" s="3"/>
      <c r="T1" s="3"/>
      <c r="U1" s="3"/>
      <c r="V1" s="3"/>
      <c r="W1" s="3"/>
      <c r="X1" s="3"/>
      <c r="Y1" s="3"/>
      <c r="Z1" s="3"/>
      <c r="AA1" s="20"/>
      <c r="AB1" s="20"/>
      <c r="AC1" s="20"/>
      <c r="AD1" s="20"/>
      <c r="AE1" s="20"/>
      <c r="AF1" s="20"/>
      <c r="AG1" s="20"/>
      <c r="AH1" s="20"/>
      <c r="AI1" s="20"/>
      <c r="AJ1" s="20"/>
      <c r="AK1" s="20"/>
      <c r="AL1" s="20"/>
      <c r="AM1" s="20"/>
      <c r="AN1" s="20"/>
      <c r="AO1" s="20"/>
      <c r="AP1" s="20"/>
      <c r="AQ1" s="20"/>
      <c r="AR1" s="20"/>
      <c r="AS1" s="20"/>
      <c r="AT1" s="20"/>
      <c r="AU1" s="20"/>
      <c r="AV1" s="20"/>
      <c r="AW1" s="20"/>
      <c r="AX1" s="20"/>
      <c r="AY1" s="20"/>
      <c r="AZ1" s="20"/>
      <c r="BA1" s="20"/>
      <c r="BB1" s="20"/>
      <c r="BC1" s="20"/>
      <c r="BD1" s="20"/>
      <c r="BE1" s="20"/>
      <c r="BF1" s="20"/>
      <c r="BG1" s="20"/>
      <c r="BH1" s="20"/>
    </row>
    <row r="2" spans="1:60" ht="13.8" thickTop="1">
      <c r="A2" s="192"/>
      <c r="B2" s="191"/>
      <c r="C2" s="191"/>
      <c r="D2" s="191"/>
      <c r="E2" s="191"/>
      <c r="F2" s="191"/>
      <c r="G2" s="191"/>
      <c r="H2" s="191"/>
      <c r="I2" s="191"/>
      <c r="J2" s="191"/>
      <c r="K2" s="191"/>
      <c r="L2" s="191"/>
      <c r="M2" s="191"/>
      <c r="N2" s="191"/>
      <c r="O2" s="191"/>
      <c r="P2" s="191"/>
      <c r="Q2" s="191"/>
      <c r="R2" s="191"/>
      <c r="S2" s="191"/>
      <c r="T2" s="191"/>
      <c r="U2" s="191"/>
      <c r="V2" s="191"/>
      <c r="W2" s="191"/>
      <c r="X2" s="191"/>
      <c r="Y2" s="191"/>
      <c r="Z2" s="200"/>
      <c r="AA2" s="20"/>
      <c r="AB2" s="20"/>
      <c r="AC2" s="20"/>
      <c r="AD2" s="20"/>
      <c r="AE2" s="20"/>
      <c r="AF2" s="20"/>
      <c r="AG2" s="20"/>
      <c r="AH2" s="20"/>
      <c r="AI2" s="20"/>
      <c r="AJ2" s="20"/>
      <c r="AK2" s="20"/>
      <c r="AL2" s="20"/>
      <c r="AM2" s="20"/>
      <c r="AN2" s="20"/>
      <c r="AO2" s="20"/>
      <c r="AP2" s="20"/>
      <c r="AQ2" s="20"/>
      <c r="AR2" s="20"/>
      <c r="AS2" s="20"/>
      <c r="AT2" s="20"/>
      <c r="AU2" s="20"/>
      <c r="AV2" s="20"/>
      <c r="AW2" s="20"/>
      <c r="AX2" s="20"/>
      <c r="AY2" s="20"/>
      <c r="AZ2" s="20"/>
      <c r="BA2" s="20"/>
      <c r="BB2" s="20"/>
      <c r="BC2" s="20"/>
      <c r="BD2" s="20"/>
      <c r="BE2" s="20"/>
      <c r="BF2" s="20"/>
      <c r="BG2" s="20"/>
      <c r="BH2" s="20"/>
    </row>
    <row r="3" spans="1:60" ht="12.75" customHeight="1">
      <c r="A3" s="392" t="s">
        <v>361</v>
      </c>
      <c r="B3" s="375"/>
      <c r="C3" s="375"/>
      <c r="D3" s="375"/>
      <c r="E3" s="375"/>
      <c r="F3" s="375"/>
      <c r="G3" s="375"/>
      <c r="H3" s="375"/>
      <c r="I3" s="375"/>
      <c r="J3" s="375"/>
      <c r="K3" s="375"/>
      <c r="L3" s="375"/>
      <c r="M3" s="375"/>
      <c r="N3" s="375"/>
      <c r="O3" s="375"/>
      <c r="P3" s="375"/>
      <c r="Q3" s="375"/>
      <c r="R3" s="375"/>
      <c r="S3" s="375"/>
      <c r="T3" s="375"/>
      <c r="U3" s="375"/>
      <c r="V3" s="375"/>
      <c r="W3" s="375"/>
      <c r="X3" s="375"/>
      <c r="Y3" s="375"/>
      <c r="Z3" s="393"/>
      <c r="AA3" s="20"/>
      <c r="AB3" s="20"/>
      <c r="AC3" s="20"/>
      <c r="AD3" s="20"/>
      <c r="AE3" s="20"/>
      <c r="AF3" s="20"/>
      <c r="AG3" s="20"/>
      <c r="AH3" s="20"/>
      <c r="AI3" s="20"/>
      <c r="AJ3" s="20"/>
      <c r="AK3" s="20"/>
      <c r="AL3" s="20"/>
      <c r="AM3" s="20"/>
      <c r="AN3" s="20"/>
      <c r="AO3" s="20"/>
      <c r="AP3" s="20"/>
      <c r="AQ3" s="20"/>
      <c r="AR3" s="20"/>
      <c r="AS3" s="20"/>
      <c r="AT3" s="20"/>
      <c r="AU3" s="20"/>
      <c r="AV3" s="20"/>
      <c r="AW3" s="20"/>
      <c r="AX3" s="20"/>
      <c r="AY3" s="20"/>
      <c r="AZ3" s="20"/>
      <c r="BA3" s="20"/>
      <c r="BB3" s="20"/>
      <c r="BC3" s="20"/>
      <c r="BD3" s="20"/>
      <c r="BE3" s="20"/>
      <c r="BF3" s="20"/>
      <c r="BG3" s="20"/>
      <c r="BH3" s="20"/>
    </row>
    <row r="4" spans="1:60">
      <c r="A4" s="394"/>
      <c r="B4" s="375"/>
      <c r="C4" s="375"/>
      <c r="D4" s="375"/>
      <c r="E4" s="375"/>
      <c r="F4" s="375"/>
      <c r="G4" s="375"/>
      <c r="H4" s="375"/>
      <c r="I4" s="375"/>
      <c r="J4" s="375"/>
      <c r="K4" s="375"/>
      <c r="L4" s="375"/>
      <c r="M4" s="375"/>
      <c r="N4" s="375"/>
      <c r="O4" s="375"/>
      <c r="P4" s="375"/>
      <c r="Q4" s="375"/>
      <c r="R4" s="375"/>
      <c r="S4" s="375"/>
      <c r="T4" s="375"/>
      <c r="U4" s="375"/>
      <c r="V4" s="375"/>
      <c r="W4" s="375"/>
      <c r="X4" s="375"/>
      <c r="Y4" s="375"/>
      <c r="Z4" s="393"/>
      <c r="AA4" s="20"/>
      <c r="AB4" s="20"/>
      <c r="AC4" s="20"/>
      <c r="AD4" s="20"/>
      <c r="AE4" s="20"/>
      <c r="AF4" s="20"/>
      <c r="AG4" s="20"/>
      <c r="AH4" s="20"/>
      <c r="AI4" s="20"/>
      <c r="AJ4" s="20"/>
      <c r="AK4" s="20"/>
      <c r="AL4" s="20"/>
      <c r="AM4" s="20"/>
      <c r="AN4" s="20"/>
      <c r="AO4" s="20"/>
      <c r="AP4" s="20"/>
      <c r="AQ4" s="20"/>
      <c r="AR4" s="20"/>
      <c r="AS4" s="20"/>
      <c r="AT4" s="20"/>
      <c r="AU4" s="20"/>
      <c r="AV4" s="20"/>
      <c r="AW4" s="20"/>
      <c r="AX4" s="20"/>
      <c r="AY4" s="20"/>
      <c r="AZ4" s="20"/>
      <c r="BA4" s="20"/>
      <c r="BB4" s="20"/>
      <c r="BC4" s="20"/>
      <c r="BD4" s="20"/>
      <c r="BE4" s="20"/>
      <c r="BF4" s="20"/>
      <c r="BG4" s="20"/>
      <c r="BH4" s="20"/>
    </row>
    <row r="5" spans="1:60">
      <c r="A5" s="193"/>
      <c r="B5" s="168"/>
      <c r="C5" s="168"/>
      <c r="D5" s="168"/>
      <c r="E5" s="168"/>
      <c r="F5" s="168"/>
      <c r="G5" s="168"/>
      <c r="H5" s="168"/>
      <c r="I5" s="168"/>
      <c r="J5" s="168"/>
      <c r="K5" s="168"/>
      <c r="L5" s="168"/>
      <c r="M5" s="168"/>
      <c r="N5" s="168"/>
      <c r="O5" s="168"/>
      <c r="P5" s="168"/>
      <c r="Q5" s="168"/>
      <c r="R5" s="168"/>
      <c r="S5" s="168"/>
      <c r="T5" s="168"/>
      <c r="U5" s="168"/>
      <c r="V5" s="168"/>
      <c r="W5" s="168"/>
      <c r="X5" s="168"/>
      <c r="Y5" s="168"/>
      <c r="Z5" s="201"/>
      <c r="AA5" s="20"/>
      <c r="AB5" s="20"/>
      <c r="AC5" s="20"/>
      <c r="AD5" s="20"/>
      <c r="AE5" s="20"/>
      <c r="AF5" s="20"/>
      <c r="AG5" s="20"/>
      <c r="AH5" s="20"/>
      <c r="AI5" s="20"/>
      <c r="AJ5" s="20"/>
      <c r="AK5" s="20"/>
      <c r="AL5" s="20"/>
      <c r="AM5" s="20"/>
      <c r="AN5" s="20"/>
      <c r="AO5" s="20"/>
      <c r="AP5" s="20"/>
      <c r="AQ5" s="20"/>
      <c r="AR5" s="20"/>
      <c r="AS5" s="20"/>
      <c r="AT5" s="20"/>
      <c r="AU5" s="20"/>
      <c r="AV5" s="20"/>
      <c r="AW5" s="20"/>
      <c r="AX5" s="20"/>
      <c r="AY5" s="20"/>
      <c r="AZ5" s="20"/>
      <c r="BA5" s="20"/>
      <c r="BB5" s="20"/>
      <c r="BC5" s="20"/>
      <c r="BD5" s="20"/>
      <c r="BE5" s="20"/>
      <c r="BF5" s="20"/>
      <c r="BG5" s="20"/>
      <c r="BH5" s="20"/>
    </row>
    <row r="6" spans="1:60">
      <c r="A6" s="193"/>
      <c r="B6" s="168"/>
      <c r="C6" s="168"/>
      <c r="D6" s="168"/>
      <c r="E6" s="168"/>
      <c r="F6" s="168"/>
      <c r="G6" s="168"/>
      <c r="H6" s="168"/>
      <c r="I6" s="168"/>
      <c r="J6" s="168"/>
      <c r="K6" s="168"/>
      <c r="L6" s="168"/>
      <c r="M6" s="168"/>
      <c r="N6" s="168"/>
      <c r="O6" s="168"/>
      <c r="P6" s="168"/>
      <c r="Q6" s="168"/>
      <c r="R6" s="168"/>
      <c r="S6" s="168"/>
      <c r="T6" s="168"/>
      <c r="U6" s="168"/>
      <c r="V6" s="168"/>
      <c r="W6" s="168"/>
      <c r="X6" s="168"/>
      <c r="Y6" s="168"/>
      <c r="Z6" s="201"/>
      <c r="AA6" s="20"/>
      <c r="AB6" s="20"/>
      <c r="AC6" s="20"/>
      <c r="AD6" s="20"/>
      <c r="AE6" s="20"/>
      <c r="AF6" s="20"/>
      <c r="AG6" s="20"/>
      <c r="AH6" s="20"/>
      <c r="AI6" s="20"/>
      <c r="AJ6" s="20"/>
      <c r="AK6" s="20"/>
      <c r="AL6" s="20"/>
      <c r="AM6" s="20"/>
      <c r="AN6" s="20"/>
      <c r="AO6" s="20"/>
      <c r="AP6" s="20"/>
      <c r="AQ6" s="20"/>
      <c r="AR6" s="20"/>
      <c r="AS6" s="20"/>
      <c r="AT6" s="20"/>
      <c r="AU6" s="20"/>
      <c r="AV6" s="20"/>
      <c r="AW6" s="20"/>
      <c r="AX6" s="20"/>
      <c r="AY6" s="20"/>
      <c r="AZ6" s="20"/>
      <c r="BA6" s="20"/>
      <c r="BB6" s="20"/>
      <c r="BC6" s="20"/>
      <c r="BD6" s="20"/>
      <c r="BE6" s="20"/>
      <c r="BF6" s="20"/>
      <c r="BG6" s="20"/>
      <c r="BH6" s="20"/>
    </row>
    <row r="7" spans="1:60">
      <c r="A7" s="213" t="s">
        <v>0</v>
      </c>
      <c r="B7" s="206"/>
      <c r="C7" s="206"/>
      <c r="D7" s="168"/>
      <c r="E7" s="168"/>
      <c r="F7" s="397">
        <f>Datum!D7</f>
        <v>0</v>
      </c>
      <c r="G7" s="397"/>
      <c r="H7" s="397"/>
      <c r="I7" s="397"/>
      <c r="J7" s="168"/>
      <c r="K7" s="168"/>
      <c r="L7" s="206" t="s">
        <v>1</v>
      </c>
      <c r="M7" s="168"/>
      <c r="N7" s="168"/>
      <c r="O7" s="168"/>
      <c r="P7" s="386">
        <f>Datum!J7</f>
        <v>0</v>
      </c>
      <c r="Q7" s="386"/>
      <c r="R7" s="168"/>
      <c r="S7" s="168"/>
      <c r="T7" s="206" t="s">
        <v>2</v>
      </c>
      <c r="U7" s="168"/>
      <c r="V7" s="395">
        <f>Datum!N7</f>
        <v>0</v>
      </c>
      <c r="W7" s="395"/>
      <c r="X7" s="395"/>
      <c r="Y7" s="168"/>
      <c r="Z7" s="201"/>
      <c r="AA7" s="20"/>
      <c r="AB7" s="20"/>
      <c r="AC7" s="20"/>
      <c r="AD7" s="20"/>
      <c r="AE7" s="20"/>
      <c r="AF7" s="20"/>
      <c r="AG7" s="20"/>
      <c r="AH7" s="20"/>
      <c r="AI7" s="20"/>
      <c r="AJ7" s="20"/>
      <c r="AK7" s="20"/>
      <c r="AL7" s="20"/>
      <c r="AM7" s="20"/>
      <c r="AN7" s="20"/>
      <c r="AO7" s="20"/>
      <c r="AP7" s="20"/>
      <c r="AQ7" s="20"/>
      <c r="AR7" s="20"/>
      <c r="AS7" s="20"/>
      <c r="AT7" s="20"/>
      <c r="AU7" s="20"/>
      <c r="AV7" s="20"/>
      <c r="AW7" s="20"/>
      <c r="AX7" s="20"/>
      <c r="AY7" s="20"/>
      <c r="AZ7" s="20"/>
      <c r="BA7" s="20"/>
      <c r="BB7" s="20"/>
      <c r="BC7" s="20"/>
      <c r="BD7" s="20"/>
      <c r="BE7" s="20"/>
      <c r="BF7" s="20"/>
      <c r="BG7" s="20"/>
      <c r="BH7" s="20"/>
    </row>
    <row r="8" spans="1:60">
      <c r="A8" s="193"/>
      <c r="B8" s="168"/>
      <c r="C8" s="168"/>
      <c r="D8" s="168"/>
      <c r="E8" s="168"/>
      <c r="F8" s="168"/>
      <c r="G8" s="168"/>
      <c r="H8" s="168"/>
      <c r="I8" s="168"/>
      <c r="J8" s="168"/>
      <c r="K8" s="168"/>
      <c r="L8" s="168"/>
      <c r="M8" s="168"/>
      <c r="N8" s="168"/>
      <c r="O8" s="168"/>
      <c r="P8" s="168"/>
      <c r="Q8" s="168"/>
      <c r="R8" s="168"/>
      <c r="S8" s="168"/>
      <c r="T8" s="168"/>
      <c r="U8" s="168"/>
      <c r="V8" s="168"/>
      <c r="W8" s="168"/>
      <c r="X8" s="168"/>
      <c r="Y8" s="168"/>
      <c r="Z8" s="201"/>
      <c r="AA8" s="20"/>
      <c r="AB8" s="20"/>
      <c r="AC8" s="20"/>
      <c r="AD8" s="20"/>
      <c r="AE8" s="20"/>
      <c r="AF8" s="20"/>
      <c r="AG8" s="20"/>
      <c r="AH8" s="20"/>
      <c r="AI8" s="20"/>
      <c r="AJ8" s="20"/>
      <c r="AK8" s="20"/>
      <c r="AL8" s="20"/>
      <c r="AM8" s="20"/>
      <c r="AN8" s="20"/>
      <c r="AO8" s="20"/>
      <c r="AP8" s="20"/>
      <c r="AQ8" s="20"/>
      <c r="AR8" s="20"/>
      <c r="AS8" s="20"/>
      <c r="AT8" s="20"/>
      <c r="AU8" s="20"/>
      <c r="AV8" s="20"/>
      <c r="AW8" s="20"/>
      <c r="AX8" s="20"/>
      <c r="AY8" s="20"/>
      <c r="AZ8" s="20"/>
      <c r="BA8" s="20"/>
      <c r="BB8" s="20"/>
      <c r="BC8" s="20"/>
      <c r="BD8" s="20"/>
      <c r="BE8" s="20"/>
      <c r="BF8" s="20"/>
      <c r="BG8" s="20"/>
      <c r="BH8" s="20"/>
    </row>
    <row r="9" spans="1:60">
      <c r="A9" s="213" t="s">
        <v>3</v>
      </c>
      <c r="B9" s="206"/>
      <c r="C9" s="206"/>
      <c r="D9" s="168"/>
      <c r="E9" s="168"/>
      <c r="F9" s="397">
        <f>Datum!D9</f>
        <v>0</v>
      </c>
      <c r="G9" s="397"/>
      <c r="H9" s="397"/>
      <c r="I9" s="397"/>
      <c r="J9" s="397"/>
      <c r="K9" s="397"/>
      <c r="L9" s="206" t="s">
        <v>4</v>
      </c>
      <c r="M9" s="206"/>
      <c r="N9" s="168"/>
      <c r="O9" s="168"/>
      <c r="P9" s="1">
        <f>Datum!J9</f>
        <v>0</v>
      </c>
      <c r="Q9" s="206" t="s">
        <v>5</v>
      </c>
      <c r="R9" s="168"/>
      <c r="S9" s="168"/>
      <c r="T9" s="168"/>
      <c r="U9" s="168"/>
      <c r="V9" s="168"/>
      <c r="W9" s="1">
        <f>Datum!P9</f>
        <v>0</v>
      </c>
      <c r="X9" s="168"/>
      <c r="Y9" s="168"/>
      <c r="Z9" s="201"/>
      <c r="AA9" s="20"/>
      <c r="AB9" s="20"/>
      <c r="AC9" s="20"/>
      <c r="AD9" s="20"/>
      <c r="AE9" s="20"/>
      <c r="AF9" s="20"/>
      <c r="AG9" s="20"/>
      <c r="AH9" s="20"/>
      <c r="AI9" s="20"/>
      <c r="AJ9" s="20"/>
      <c r="AK9" s="20"/>
      <c r="AL9" s="20"/>
      <c r="AM9" s="20"/>
      <c r="AN9" s="20"/>
      <c r="AO9" s="20"/>
      <c r="AP9" s="20"/>
      <c r="AQ9" s="20"/>
      <c r="AR9" s="20"/>
      <c r="AS9" s="20"/>
      <c r="AT9" s="20"/>
      <c r="AU9" s="20"/>
      <c r="AV9" s="20"/>
      <c r="AW9" s="20"/>
      <c r="AX9" s="20"/>
      <c r="AY9" s="20"/>
      <c r="AZ9" s="20"/>
      <c r="BA9" s="20"/>
      <c r="BB9" s="20"/>
      <c r="BC9" s="20"/>
      <c r="BD9" s="20"/>
      <c r="BE9" s="20"/>
      <c r="BF9" s="20"/>
      <c r="BG9" s="20"/>
      <c r="BH9" s="20"/>
    </row>
    <row r="10" spans="1:60">
      <c r="A10" s="193"/>
      <c r="B10" s="168"/>
      <c r="C10" s="168"/>
      <c r="D10" s="168"/>
      <c r="E10" s="168"/>
      <c r="F10" s="168"/>
      <c r="G10" s="168"/>
      <c r="H10" s="168"/>
      <c r="I10" s="168"/>
      <c r="J10" s="168"/>
      <c r="K10" s="168"/>
      <c r="L10" s="168"/>
      <c r="M10" s="168"/>
      <c r="N10" s="168"/>
      <c r="O10" s="168"/>
      <c r="P10" s="168"/>
      <c r="Q10" s="168"/>
      <c r="R10" s="168"/>
      <c r="S10" s="168"/>
      <c r="T10" s="168"/>
      <c r="U10" s="168"/>
      <c r="V10" s="168"/>
      <c r="W10" s="168"/>
      <c r="X10" s="168"/>
      <c r="Y10" s="168"/>
      <c r="Z10" s="201"/>
      <c r="AA10" s="20"/>
      <c r="AB10" s="20"/>
      <c r="AC10" s="20"/>
      <c r="AD10" s="20"/>
      <c r="AE10" s="20"/>
      <c r="AF10" s="20"/>
      <c r="AG10" s="20"/>
      <c r="AH10" s="20"/>
      <c r="AI10" s="20"/>
      <c r="AJ10" s="20"/>
      <c r="AK10" s="20"/>
      <c r="AL10" s="20"/>
      <c r="AM10" s="20"/>
      <c r="AN10" s="20"/>
      <c r="AO10" s="20"/>
      <c r="AP10" s="20"/>
      <c r="AQ10" s="20"/>
      <c r="AR10" s="20"/>
      <c r="AS10" s="20"/>
      <c r="AT10" s="20"/>
      <c r="AU10" s="20"/>
      <c r="AV10" s="20"/>
      <c r="AW10" s="20"/>
      <c r="AX10" s="20"/>
      <c r="AY10" s="20"/>
      <c r="AZ10" s="20"/>
      <c r="BA10" s="20"/>
      <c r="BB10" s="20"/>
      <c r="BC10" s="20"/>
      <c r="BD10" s="20"/>
      <c r="BE10" s="20"/>
      <c r="BF10" s="20"/>
      <c r="BG10" s="20"/>
      <c r="BH10" s="20"/>
    </row>
    <row r="11" spans="1:60">
      <c r="A11" s="213" t="s">
        <v>6</v>
      </c>
      <c r="B11" s="168"/>
      <c r="C11" s="168"/>
      <c r="D11" s="168"/>
      <c r="E11" s="168"/>
      <c r="F11" s="396">
        <f>Datum!D11</f>
        <v>0</v>
      </c>
      <c r="G11" s="396"/>
      <c r="H11" s="396"/>
      <c r="I11" s="396"/>
      <c r="J11" s="396"/>
      <c r="K11" s="396"/>
      <c r="L11" s="396"/>
      <c r="M11" s="396"/>
      <c r="N11" s="396"/>
      <c r="O11" s="168"/>
      <c r="P11" s="168"/>
      <c r="Q11" s="168"/>
      <c r="R11" s="168"/>
      <c r="S11" s="168"/>
      <c r="T11" s="168"/>
      <c r="U11" s="168"/>
      <c r="V11" s="168"/>
      <c r="W11" s="168"/>
      <c r="X11" s="168"/>
      <c r="Y11" s="168"/>
      <c r="Z11" s="201"/>
      <c r="AA11" s="20"/>
      <c r="AB11" s="20"/>
      <c r="AC11" s="20"/>
      <c r="AD11" s="20"/>
      <c r="AE11" s="20"/>
      <c r="AF11" s="20"/>
      <c r="AG11" s="20"/>
      <c r="AH11" s="20"/>
      <c r="AI11" s="20"/>
      <c r="AJ11" s="20"/>
      <c r="AK11" s="20"/>
      <c r="AL11" s="20"/>
      <c r="AM11" s="20"/>
      <c r="AN11" s="20"/>
      <c r="AO11" s="20"/>
      <c r="AP11" s="20"/>
      <c r="AQ11" s="20"/>
      <c r="AR11" s="20"/>
      <c r="AS11" s="20"/>
      <c r="AT11" s="20"/>
      <c r="AU11" s="20"/>
      <c r="AV11" s="20"/>
      <c r="AW11" s="20"/>
      <c r="AX11" s="20"/>
      <c r="AY11" s="20"/>
      <c r="AZ11" s="20"/>
      <c r="BA11" s="20"/>
      <c r="BB11" s="20"/>
      <c r="BC11" s="20"/>
      <c r="BD11" s="20"/>
      <c r="BE11" s="20"/>
      <c r="BF11" s="20"/>
      <c r="BG11" s="20"/>
      <c r="BH11" s="20"/>
    </row>
    <row r="12" spans="1:60">
      <c r="A12" s="193"/>
      <c r="B12" s="168"/>
      <c r="C12" s="168"/>
      <c r="D12" s="168"/>
      <c r="E12" s="168"/>
      <c r="F12" s="168"/>
      <c r="G12" s="168"/>
      <c r="H12" s="168"/>
      <c r="I12" s="168"/>
      <c r="J12" s="168"/>
      <c r="K12" s="168"/>
      <c r="L12" s="168"/>
      <c r="M12" s="168"/>
      <c r="N12" s="168"/>
      <c r="O12" s="168"/>
      <c r="P12" s="168"/>
      <c r="Q12" s="168"/>
      <c r="R12" s="168"/>
      <c r="S12" s="168"/>
      <c r="T12" s="168"/>
      <c r="U12" s="168"/>
      <c r="V12" s="168"/>
      <c r="W12" s="168"/>
      <c r="X12" s="168"/>
      <c r="Y12" s="168"/>
      <c r="Z12" s="201"/>
      <c r="AA12" s="20"/>
      <c r="AB12" s="20"/>
      <c r="AC12" s="20"/>
      <c r="AD12" s="20"/>
      <c r="AE12" s="20"/>
      <c r="AF12" s="20"/>
      <c r="AG12" s="20"/>
      <c r="AH12" s="20"/>
      <c r="AI12" s="20"/>
      <c r="AJ12" s="20"/>
      <c r="AK12" s="20"/>
      <c r="AL12" s="20"/>
      <c r="AM12" s="20"/>
      <c r="AN12" s="20"/>
      <c r="AO12" s="20"/>
      <c r="AP12" s="20"/>
      <c r="AQ12" s="20"/>
      <c r="AR12" s="20"/>
      <c r="AS12" s="20"/>
      <c r="AT12" s="20"/>
      <c r="AU12" s="20"/>
      <c r="AV12" s="20"/>
      <c r="AW12" s="20"/>
      <c r="AX12" s="20"/>
      <c r="AY12" s="20"/>
      <c r="AZ12" s="20"/>
      <c r="BA12" s="20"/>
      <c r="BB12" s="20"/>
      <c r="BC12" s="20"/>
      <c r="BD12" s="20"/>
      <c r="BE12" s="20"/>
      <c r="BF12" s="20"/>
      <c r="BG12" s="20"/>
      <c r="BH12" s="20"/>
    </row>
    <row r="13" spans="1:60">
      <c r="A13" s="193"/>
      <c r="B13" s="172"/>
      <c r="C13" s="206"/>
      <c r="D13" s="206"/>
      <c r="E13" s="206"/>
      <c r="F13" s="206"/>
      <c r="G13" s="206"/>
      <c r="H13" s="206"/>
      <c r="I13" s="206"/>
      <c r="J13" s="206"/>
      <c r="K13" s="177"/>
      <c r="L13" s="172"/>
      <c r="M13" s="177"/>
      <c r="N13" s="206"/>
      <c r="O13" s="168"/>
      <c r="P13" s="168"/>
      <c r="Q13" s="168"/>
      <c r="R13" s="168"/>
      <c r="S13" s="168"/>
      <c r="T13" s="168"/>
      <c r="U13" s="168"/>
      <c r="V13" s="168"/>
      <c r="W13" s="168"/>
      <c r="X13" s="168"/>
      <c r="Y13" s="168"/>
      <c r="Z13" s="201"/>
      <c r="AA13" s="20"/>
      <c r="AB13" s="20"/>
      <c r="AC13" s="20"/>
      <c r="AD13" s="20"/>
      <c r="AE13" s="20"/>
      <c r="AF13" s="20"/>
      <c r="AG13" s="20"/>
      <c r="AH13" s="20"/>
      <c r="AI13" s="20"/>
      <c r="AJ13" s="20"/>
      <c r="AK13" s="20"/>
      <c r="AL13" s="20"/>
      <c r="AM13" s="20"/>
      <c r="AN13" s="20"/>
      <c r="AO13" s="20"/>
      <c r="AP13" s="20"/>
      <c r="AQ13" s="20"/>
      <c r="AR13" s="20"/>
      <c r="AS13" s="20"/>
      <c r="AT13" s="20"/>
      <c r="AU13" s="20"/>
      <c r="AV13" s="20"/>
      <c r="AW13" s="20"/>
      <c r="AX13" s="20"/>
      <c r="AY13" s="20"/>
      <c r="AZ13" s="20"/>
      <c r="BA13" s="20"/>
      <c r="BB13" s="20"/>
      <c r="BC13" s="20"/>
      <c r="BD13" s="20"/>
      <c r="BE13" s="20"/>
      <c r="BF13" s="20"/>
      <c r="BG13" s="20"/>
      <c r="BH13" s="20"/>
    </row>
    <row r="14" spans="1:60">
      <c r="A14" s="213">
        <v>1</v>
      </c>
      <c r="B14" s="206" t="s">
        <v>308</v>
      </c>
      <c r="C14" s="206"/>
      <c r="D14" s="206"/>
      <c r="E14" s="206"/>
      <c r="F14" s="206"/>
      <c r="G14" s="206"/>
      <c r="H14" s="206"/>
      <c r="I14" s="206"/>
      <c r="J14" s="206"/>
      <c r="K14" s="206"/>
      <c r="L14" s="206"/>
      <c r="M14" s="206"/>
      <c r="N14" s="207"/>
      <c r="O14" s="206"/>
      <c r="P14" s="168"/>
      <c r="Q14" s="168"/>
      <c r="R14" s="168"/>
      <c r="S14" s="168"/>
      <c r="T14" s="168"/>
      <c r="U14" s="168"/>
      <c r="V14" s="168"/>
      <c r="W14" s="168"/>
      <c r="X14" s="168"/>
      <c r="Y14" s="168"/>
      <c r="Z14" s="201"/>
      <c r="AA14" s="20"/>
      <c r="AB14" s="20"/>
      <c r="AC14" s="20"/>
      <c r="AD14" s="20"/>
      <c r="AE14" s="20"/>
      <c r="AF14" s="20"/>
      <c r="AG14" s="20"/>
      <c r="AH14" s="20"/>
      <c r="AI14" s="20"/>
      <c r="AJ14" s="20"/>
      <c r="AK14" s="20"/>
      <c r="AL14" s="20"/>
      <c r="AM14" s="20"/>
      <c r="AN14" s="20"/>
      <c r="AO14" s="20"/>
      <c r="AP14" s="20"/>
      <c r="AQ14" s="20"/>
      <c r="AR14" s="20"/>
      <c r="AS14" s="20"/>
      <c r="AT14" s="20"/>
      <c r="AU14" s="20"/>
      <c r="AV14" s="20"/>
      <c r="AW14" s="20"/>
      <c r="AX14" s="20"/>
      <c r="AY14" s="20"/>
      <c r="AZ14" s="20"/>
      <c r="BA14" s="20"/>
      <c r="BB14" s="20"/>
      <c r="BC14" s="20"/>
      <c r="BD14" s="20"/>
      <c r="BE14" s="20"/>
      <c r="BF14" s="20"/>
      <c r="BG14" s="20"/>
      <c r="BH14" s="20"/>
    </row>
    <row r="15" spans="1:60">
      <c r="A15" s="193"/>
      <c r="B15" s="168"/>
      <c r="C15" s="168"/>
      <c r="D15" s="168"/>
      <c r="E15" s="168"/>
      <c r="F15" s="168"/>
      <c r="G15" s="371" t="s">
        <v>307</v>
      </c>
      <c r="H15" s="371"/>
      <c r="I15" s="206"/>
      <c r="J15" s="207"/>
      <c r="K15" s="371" t="s">
        <v>307</v>
      </c>
      <c r="L15" s="371"/>
      <c r="M15" s="206"/>
      <c r="N15" s="371" t="s">
        <v>310</v>
      </c>
      <c r="O15" s="371"/>
      <c r="P15" s="168"/>
      <c r="Q15" s="207" t="s">
        <v>309</v>
      </c>
      <c r="R15" s="206" t="s">
        <v>311</v>
      </c>
      <c r="S15" s="168"/>
      <c r="T15" s="168"/>
      <c r="U15" s="168"/>
      <c r="V15" s="168"/>
      <c r="W15" s="168"/>
      <c r="X15" s="168"/>
      <c r="Y15" s="168"/>
      <c r="Z15" s="201"/>
      <c r="AA15" s="20"/>
      <c r="AB15" s="20"/>
      <c r="AC15" s="20"/>
      <c r="AD15" s="20"/>
      <c r="AE15" s="20"/>
      <c r="AF15" s="20"/>
      <c r="AG15" s="20"/>
      <c r="AH15" s="20"/>
      <c r="AI15" s="20"/>
      <c r="AJ15" s="20"/>
      <c r="AK15" s="20"/>
      <c r="AL15" s="20"/>
      <c r="AM15" s="20"/>
      <c r="AN15" s="20"/>
      <c r="AO15" s="20"/>
      <c r="AP15" s="20"/>
      <c r="AQ15" s="20"/>
      <c r="AR15" s="20"/>
      <c r="AS15" s="20"/>
      <c r="AT15" s="20"/>
      <c r="AU15" s="20"/>
      <c r="AV15" s="20"/>
      <c r="AW15" s="20"/>
      <c r="AX15" s="20"/>
      <c r="AY15" s="20"/>
      <c r="AZ15" s="20"/>
      <c r="BA15" s="20"/>
      <c r="BB15" s="20"/>
      <c r="BC15" s="20"/>
      <c r="BD15" s="20"/>
      <c r="BE15" s="20"/>
      <c r="BF15" s="20"/>
      <c r="BG15" s="20"/>
      <c r="BH15" s="20"/>
    </row>
    <row r="16" spans="1:60">
      <c r="A16" s="193"/>
      <c r="B16" s="168"/>
      <c r="C16" s="168"/>
      <c r="D16" s="168"/>
      <c r="E16" s="168"/>
      <c r="F16" s="168"/>
      <c r="G16" s="391"/>
      <c r="H16" s="391"/>
      <c r="I16" s="390" t="s">
        <v>312</v>
      </c>
      <c r="J16" s="390"/>
      <c r="K16" s="391"/>
      <c r="L16" s="391"/>
      <c r="M16" s="206"/>
      <c r="N16" s="384"/>
      <c r="O16" s="384"/>
      <c r="P16" s="168"/>
      <c r="Q16" s="384"/>
      <c r="R16" s="384"/>
      <c r="S16" s="170" t="s">
        <v>391</v>
      </c>
      <c r="T16" s="168"/>
      <c r="U16" s="168"/>
      <c r="V16" s="168"/>
      <c r="W16" s="168"/>
      <c r="X16" s="168"/>
      <c r="Y16" s="168"/>
      <c r="Z16" s="201"/>
      <c r="AA16" s="20"/>
      <c r="AB16" s="20"/>
      <c r="AC16" s="20"/>
      <c r="AD16" s="20"/>
      <c r="AE16" s="20"/>
      <c r="AF16" s="20"/>
      <c r="AG16" s="20"/>
      <c r="AH16" s="20"/>
      <c r="AI16" s="20"/>
      <c r="AJ16" s="20"/>
      <c r="AK16" s="20"/>
      <c r="AL16" s="20"/>
      <c r="AM16" s="20"/>
      <c r="AN16" s="20"/>
      <c r="AO16" s="20"/>
      <c r="AP16" s="20"/>
      <c r="AQ16" s="20"/>
      <c r="AR16" s="20"/>
      <c r="AS16" s="20"/>
      <c r="AT16" s="20"/>
      <c r="AU16" s="20"/>
      <c r="AV16" s="20"/>
      <c r="AW16" s="20"/>
      <c r="AX16" s="20"/>
      <c r="AY16" s="20"/>
      <c r="AZ16" s="20"/>
      <c r="BA16" s="20"/>
      <c r="BB16" s="20"/>
      <c r="BC16" s="20"/>
      <c r="BD16" s="20"/>
      <c r="BE16" s="20"/>
      <c r="BF16" s="20"/>
      <c r="BG16" s="20"/>
      <c r="BH16" s="20"/>
    </row>
    <row r="17" spans="1:60">
      <c r="A17" s="193"/>
      <c r="B17" s="168"/>
      <c r="C17" s="168"/>
      <c r="D17" s="168"/>
      <c r="E17" s="168"/>
      <c r="F17" s="168"/>
      <c r="G17" s="391"/>
      <c r="H17" s="391"/>
      <c r="I17" s="390" t="s">
        <v>312</v>
      </c>
      <c r="J17" s="390"/>
      <c r="K17" s="391"/>
      <c r="L17" s="391"/>
      <c r="M17" s="206"/>
      <c r="N17" s="384"/>
      <c r="O17" s="384"/>
      <c r="P17" s="168"/>
      <c r="Q17" s="384"/>
      <c r="R17" s="384"/>
      <c r="S17" s="170" t="s">
        <v>392</v>
      </c>
      <c r="T17" s="168"/>
      <c r="U17" s="168"/>
      <c r="V17" s="168"/>
      <c r="W17" s="168"/>
      <c r="X17" s="168"/>
      <c r="Y17" s="168"/>
      <c r="Z17" s="201"/>
      <c r="AA17" s="20"/>
      <c r="AB17" s="20"/>
      <c r="AC17" s="20"/>
      <c r="AD17" s="20"/>
      <c r="AE17" s="20"/>
      <c r="AF17" s="20"/>
      <c r="AG17" s="20"/>
      <c r="AH17" s="20"/>
      <c r="AI17" s="20"/>
      <c r="AJ17" s="20"/>
      <c r="AK17" s="20"/>
      <c r="AL17" s="20"/>
      <c r="AM17" s="20"/>
      <c r="AN17" s="20"/>
      <c r="AO17" s="20"/>
      <c r="AP17" s="20"/>
      <c r="AQ17" s="20"/>
      <c r="AR17" s="20"/>
      <c r="AS17" s="20"/>
      <c r="AT17" s="20"/>
      <c r="AU17" s="20"/>
      <c r="AV17" s="20"/>
      <c r="AW17" s="20"/>
      <c r="AX17" s="20"/>
      <c r="AY17" s="20"/>
      <c r="AZ17" s="20"/>
      <c r="BA17" s="20"/>
      <c r="BB17" s="20"/>
      <c r="BC17" s="20"/>
      <c r="BD17" s="20"/>
      <c r="BE17" s="20"/>
      <c r="BF17" s="20"/>
      <c r="BG17" s="20"/>
      <c r="BH17" s="20"/>
    </row>
    <row r="18" spans="1:60">
      <c r="A18" s="193"/>
      <c r="B18" s="168"/>
      <c r="C18" s="168"/>
      <c r="D18" s="168"/>
      <c r="E18" s="168"/>
      <c r="F18" s="168"/>
      <c r="G18" s="391"/>
      <c r="H18" s="391"/>
      <c r="I18" s="390" t="s">
        <v>312</v>
      </c>
      <c r="J18" s="390"/>
      <c r="K18" s="391"/>
      <c r="L18" s="391"/>
      <c r="M18" s="206"/>
      <c r="N18" s="384"/>
      <c r="O18" s="384"/>
      <c r="P18" s="168"/>
      <c r="Q18" s="384"/>
      <c r="R18" s="384"/>
      <c r="S18" s="170" t="s">
        <v>393</v>
      </c>
      <c r="T18" s="168"/>
      <c r="U18" s="168"/>
      <c r="V18" s="168"/>
      <c r="W18" s="168"/>
      <c r="X18" s="168"/>
      <c r="Y18" s="168"/>
      <c r="Z18" s="201"/>
      <c r="AA18" s="20"/>
      <c r="AB18" s="20"/>
      <c r="AC18" s="20"/>
      <c r="AD18" s="20"/>
      <c r="AE18" s="20"/>
      <c r="AF18" s="20"/>
      <c r="AG18" s="20"/>
      <c r="AH18" s="20"/>
      <c r="AI18" s="20"/>
      <c r="AJ18" s="20"/>
      <c r="AK18" s="20"/>
      <c r="AL18" s="20"/>
      <c r="AM18" s="20"/>
      <c r="AN18" s="20"/>
      <c r="AO18" s="20"/>
      <c r="AP18" s="20"/>
      <c r="AQ18" s="20"/>
      <c r="AR18" s="20"/>
      <c r="AS18" s="20"/>
      <c r="AT18" s="20"/>
      <c r="AU18" s="20"/>
      <c r="AV18" s="20"/>
      <c r="AW18" s="20"/>
      <c r="AX18" s="20"/>
      <c r="AY18" s="20"/>
      <c r="AZ18" s="20"/>
      <c r="BA18" s="20"/>
      <c r="BB18" s="20"/>
      <c r="BC18" s="20"/>
      <c r="BD18" s="20"/>
      <c r="BE18" s="20"/>
      <c r="BF18" s="20"/>
      <c r="BG18" s="20"/>
      <c r="BH18" s="20"/>
    </row>
    <row r="19" spans="1:60">
      <c r="A19" s="193"/>
      <c r="B19" s="168"/>
      <c r="C19" s="168"/>
      <c r="D19" s="168"/>
      <c r="E19" s="168"/>
      <c r="F19" s="168"/>
      <c r="G19" s="391"/>
      <c r="H19" s="391"/>
      <c r="I19" s="390" t="s">
        <v>312</v>
      </c>
      <c r="J19" s="390"/>
      <c r="K19" s="391"/>
      <c r="L19" s="391"/>
      <c r="M19" s="206"/>
      <c r="N19" s="384"/>
      <c r="O19" s="384"/>
      <c r="P19" s="168"/>
      <c r="Q19" s="384"/>
      <c r="R19" s="384"/>
      <c r="S19" s="170" t="s">
        <v>394</v>
      </c>
      <c r="T19" s="168"/>
      <c r="U19" s="168"/>
      <c r="V19" s="168"/>
      <c r="W19" s="168"/>
      <c r="X19" s="168"/>
      <c r="Y19" s="168"/>
      <c r="Z19" s="201"/>
      <c r="AA19" s="20"/>
      <c r="AB19" s="20"/>
      <c r="AC19" s="20"/>
      <c r="AD19" s="20"/>
      <c r="AE19" s="20"/>
      <c r="AF19" s="20"/>
      <c r="AG19" s="20"/>
      <c r="AH19" s="20"/>
      <c r="AI19" s="20"/>
      <c r="AJ19" s="20"/>
      <c r="AK19" s="20"/>
      <c r="AL19" s="20"/>
      <c r="AM19" s="20"/>
      <c r="AN19" s="20"/>
      <c r="AO19" s="20"/>
      <c r="AP19" s="20"/>
      <c r="AQ19" s="20"/>
      <c r="AR19" s="20"/>
      <c r="AS19" s="20"/>
      <c r="AT19" s="20"/>
      <c r="AU19" s="20"/>
      <c r="AV19" s="20"/>
      <c r="AW19" s="20"/>
      <c r="AX19" s="20"/>
      <c r="AY19" s="20"/>
      <c r="AZ19" s="20"/>
      <c r="BA19" s="20"/>
      <c r="BB19" s="20"/>
      <c r="BC19" s="20"/>
      <c r="BD19" s="20"/>
      <c r="BE19" s="20"/>
      <c r="BF19" s="20"/>
      <c r="BG19" s="20"/>
      <c r="BH19" s="20"/>
    </row>
    <row r="20" spans="1:60">
      <c r="A20" s="193"/>
      <c r="B20" s="168"/>
      <c r="C20" s="168"/>
      <c r="D20" s="168"/>
      <c r="E20" s="168"/>
      <c r="F20" s="168"/>
      <c r="G20" s="391"/>
      <c r="H20" s="391"/>
      <c r="I20" s="390" t="s">
        <v>312</v>
      </c>
      <c r="J20" s="390"/>
      <c r="K20" s="391"/>
      <c r="L20" s="391"/>
      <c r="M20" s="206"/>
      <c r="N20" s="384"/>
      <c r="O20" s="384"/>
      <c r="P20" s="168"/>
      <c r="Q20" s="384"/>
      <c r="R20" s="384"/>
      <c r="S20" s="170" t="s">
        <v>395</v>
      </c>
      <c r="T20" s="168"/>
      <c r="U20" s="168"/>
      <c r="V20" s="168"/>
      <c r="W20" s="168"/>
      <c r="X20" s="168"/>
      <c r="Y20" s="168"/>
      <c r="Z20" s="201"/>
      <c r="AA20" s="20"/>
      <c r="AB20" s="20"/>
      <c r="AC20" s="20"/>
      <c r="AD20" s="20"/>
      <c r="AE20" s="20"/>
      <c r="AF20" s="20"/>
      <c r="AG20" s="20"/>
      <c r="AH20" s="20"/>
      <c r="AI20" s="20"/>
      <c r="AJ20" s="20"/>
      <c r="AK20" s="20"/>
      <c r="AL20" s="20"/>
      <c r="AM20" s="20"/>
      <c r="AN20" s="20"/>
      <c r="AO20" s="20"/>
      <c r="AP20" s="20"/>
      <c r="AQ20" s="20"/>
      <c r="AR20" s="20"/>
      <c r="AS20" s="20"/>
      <c r="AT20" s="20"/>
      <c r="AU20" s="20"/>
      <c r="AV20" s="20"/>
      <c r="AW20" s="20"/>
      <c r="AX20" s="20"/>
      <c r="AY20" s="20"/>
      <c r="AZ20" s="20"/>
      <c r="BA20" s="20"/>
      <c r="BB20" s="20"/>
      <c r="BC20" s="20"/>
      <c r="BD20" s="20"/>
      <c r="BE20" s="20"/>
      <c r="BF20" s="20"/>
      <c r="BG20" s="20"/>
      <c r="BH20" s="20"/>
    </row>
    <row r="21" spans="1:60">
      <c r="A21" s="193"/>
      <c r="B21" s="168"/>
      <c r="C21" s="168"/>
      <c r="D21" s="168"/>
      <c r="E21" s="168"/>
      <c r="F21" s="168"/>
      <c r="G21" s="168"/>
      <c r="H21" s="168"/>
      <c r="I21" s="168"/>
      <c r="J21" s="168"/>
      <c r="K21" s="168"/>
      <c r="L21" s="168"/>
      <c r="M21" s="168"/>
      <c r="N21" s="168"/>
      <c r="O21" s="168"/>
      <c r="P21" s="168"/>
      <c r="Q21" s="168"/>
      <c r="R21" s="168"/>
      <c r="S21" s="168"/>
      <c r="T21" s="168"/>
      <c r="U21" s="168"/>
      <c r="V21" s="168"/>
      <c r="W21" s="168"/>
      <c r="X21" s="168"/>
      <c r="Y21" s="168"/>
      <c r="Z21" s="201"/>
      <c r="AA21" s="20"/>
      <c r="AB21" s="20"/>
      <c r="AC21" s="20"/>
      <c r="AD21" s="20"/>
      <c r="AE21" s="20"/>
      <c r="AF21" s="20"/>
      <c r="AG21" s="20"/>
      <c r="AH21" s="20"/>
      <c r="AI21" s="20"/>
      <c r="AJ21" s="20"/>
      <c r="AK21" s="20"/>
      <c r="AL21" s="20"/>
      <c r="AM21" s="20"/>
      <c r="AN21" s="20"/>
      <c r="AO21" s="20"/>
      <c r="AP21" s="20"/>
      <c r="AQ21" s="20"/>
      <c r="AR21" s="20"/>
      <c r="AS21" s="20"/>
      <c r="AT21" s="20"/>
      <c r="AU21" s="20"/>
      <c r="AV21" s="20"/>
      <c r="AW21" s="20"/>
      <c r="AX21" s="20"/>
      <c r="AY21" s="20"/>
      <c r="AZ21" s="20"/>
      <c r="BA21" s="20"/>
      <c r="BB21" s="20"/>
      <c r="BC21" s="20"/>
      <c r="BD21" s="20"/>
      <c r="BE21" s="20"/>
      <c r="BF21" s="20"/>
      <c r="BG21" s="20"/>
      <c r="BH21" s="20"/>
    </row>
    <row r="22" spans="1:60">
      <c r="A22" s="213">
        <v>2</v>
      </c>
      <c r="B22" s="208" t="s">
        <v>362</v>
      </c>
      <c r="C22" s="206"/>
      <c r="D22" s="206"/>
      <c r="E22" s="206"/>
      <c r="F22" s="206"/>
      <c r="G22" s="206"/>
      <c r="H22" s="206"/>
      <c r="I22" s="206"/>
      <c r="J22" s="206"/>
      <c r="K22" s="206"/>
      <c r="L22" s="207"/>
      <c r="M22" s="206"/>
      <c r="N22" s="206"/>
      <c r="O22" s="206"/>
      <c r="P22" s="168"/>
      <c r="Q22" s="168"/>
      <c r="R22" s="168"/>
      <c r="S22" s="168"/>
      <c r="T22" s="168"/>
      <c r="U22" s="168"/>
      <c r="V22" s="168"/>
      <c r="W22" s="168"/>
      <c r="X22" s="168"/>
      <c r="Y22" s="168"/>
      <c r="Z22" s="201"/>
      <c r="AA22" s="20"/>
      <c r="AB22" s="20"/>
      <c r="AC22" s="20"/>
      <c r="AD22" s="20"/>
      <c r="AE22" s="20"/>
      <c r="AF22" s="20"/>
      <c r="AG22" s="20"/>
      <c r="AH22" s="20"/>
      <c r="AI22" s="20"/>
      <c r="AJ22" s="20"/>
      <c r="AK22" s="20"/>
      <c r="AL22" s="20"/>
      <c r="AM22" s="20"/>
      <c r="AN22" s="20"/>
      <c r="AO22" s="20"/>
      <c r="AP22" s="20"/>
      <c r="AQ22" s="20"/>
      <c r="AR22" s="20"/>
      <c r="AS22" s="20"/>
      <c r="AT22" s="20"/>
      <c r="AU22" s="20"/>
      <c r="AV22" s="20"/>
      <c r="AW22" s="20"/>
      <c r="AX22" s="20"/>
      <c r="AY22" s="20"/>
      <c r="AZ22" s="20"/>
      <c r="BA22" s="20"/>
      <c r="BB22" s="20"/>
      <c r="BC22" s="20"/>
      <c r="BD22" s="20"/>
      <c r="BE22" s="20"/>
      <c r="BF22" s="20"/>
      <c r="BG22" s="20"/>
      <c r="BH22" s="20"/>
    </row>
    <row r="23" spans="1:60">
      <c r="A23" s="213"/>
      <c r="B23" s="206"/>
      <c r="C23" s="206"/>
      <c r="D23" s="206"/>
      <c r="E23" s="206"/>
      <c r="F23" s="206"/>
      <c r="G23" s="207" t="s">
        <v>381</v>
      </c>
      <c r="H23" s="207" t="s">
        <v>382</v>
      </c>
      <c r="I23" s="207" t="s">
        <v>383</v>
      </c>
      <c r="J23" s="207"/>
      <c r="K23" s="207"/>
      <c r="L23" s="207"/>
      <c r="M23" s="207"/>
      <c r="N23" s="207"/>
      <c r="O23" s="207"/>
      <c r="P23" s="207"/>
      <c r="Q23" s="207"/>
      <c r="R23" s="207"/>
      <c r="S23" s="207"/>
      <c r="T23" s="207"/>
      <c r="U23" s="207" t="s">
        <v>381</v>
      </c>
      <c r="V23" s="207" t="s">
        <v>382</v>
      </c>
      <c r="W23" s="207" t="s">
        <v>383</v>
      </c>
      <c r="X23" s="168"/>
      <c r="Y23" s="168"/>
      <c r="Z23" s="201"/>
      <c r="AA23" s="20"/>
      <c r="AB23" s="20"/>
      <c r="AC23" s="20"/>
      <c r="AD23" s="20"/>
      <c r="AE23" s="20"/>
      <c r="AF23" s="20"/>
      <c r="AG23" s="20"/>
      <c r="AH23" s="20"/>
      <c r="AI23" s="20"/>
      <c r="AJ23" s="20"/>
      <c r="AK23" s="20"/>
      <c r="AL23" s="20"/>
      <c r="AM23" s="20"/>
      <c r="AN23" s="20"/>
      <c r="AO23" s="20"/>
      <c r="AP23" s="20"/>
      <c r="AQ23" s="20"/>
      <c r="AR23" s="20"/>
      <c r="AS23" s="20"/>
      <c r="AT23" s="20"/>
      <c r="AU23" s="20"/>
      <c r="AV23" s="20"/>
      <c r="AW23" s="20"/>
      <c r="AX23" s="20"/>
      <c r="AY23" s="20"/>
      <c r="AZ23" s="20"/>
      <c r="BA23" s="20"/>
      <c r="BB23" s="20"/>
      <c r="BC23" s="20"/>
      <c r="BD23" s="20"/>
      <c r="BE23" s="20"/>
      <c r="BF23" s="20"/>
      <c r="BG23" s="20"/>
      <c r="BH23" s="20"/>
    </row>
    <row r="24" spans="1:60">
      <c r="A24" s="213"/>
      <c r="B24" s="208" t="s">
        <v>363</v>
      </c>
      <c r="C24" s="206"/>
      <c r="D24" s="206"/>
      <c r="E24" s="206"/>
      <c r="F24" s="206"/>
      <c r="G24" s="8"/>
      <c r="H24" s="8"/>
      <c r="I24" s="8"/>
      <c r="J24" s="206"/>
      <c r="K24" s="206"/>
      <c r="L24" s="206"/>
      <c r="M24" s="206"/>
      <c r="N24" s="206"/>
      <c r="O24" s="206"/>
      <c r="P24" s="168"/>
      <c r="Q24" s="206" t="s">
        <v>21</v>
      </c>
      <c r="R24" s="168"/>
      <c r="S24" s="168"/>
      <c r="T24" s="168"/>
      <c r="U24" s="8"/>
      <c r="V24" s="8"/>
      <c r="W24" s="8"/>
      <c r="X24" s="168"/>
      <c r="Y24" s="168"/>
      <c r="Z24" s="201"/>
      <c r="AA24" s="20"/>
      <c r="AB24" s="20"/>
      <c r="AC24" s="20"/>
      <c r="AD24" s="20"/>
      <c r="AE24" s="20"/>
      <c r="AF24" s="20"/>
      <c r="AG24" s="20"/>
      <c r="AH24" s="20"/>
      <c r="AI24" s="20"/>
      <c r="AJ24" s="20"/>
      <c r="AK24" s="20"/>
      <c r="AL24" s="20"/>
      <c r="AM24" s="20"/>
      <c r="AN24" s="20"/>
      <c r="AO24" s="20"/>
      <c r="AP24" s="20"/>
      <c r="AQ24" s="20"/>
      <c r="AR24" s="20"/>
      <c r="AS24" s="20"/>
      <c r="AT24" s="20"/>
      <c r="AU24" s="20"/>
      <c r="AV24" s="20"/>
      <c r="AW24" s="20"/>
      <c r="AX24" s="20"/>
      <c r="AY24" s="20"/>
      <c r="AZ24" s="20"/>
      <c r="BA24" s="20"/>
      <c r="BB24" s="20"/>
      <c r="BC24" s="20"/>
      <c r="BD24" s="20"/>
      <c r="BE24" s="20"/>
      <c r="BF24" s="20"/>
      <c r="BG24" s="20"/>
      <c r="BH24" s="20"/>
    </row>
    <row r="25" spans="1:60">
      <c r="A25" s="213"/>
      <c r="B25" s="206"/>
      <c r="C25" s="206"/>
      <c r="D25" s="206"/>
      <c r="E25" s="206"/>
      <c r="F25" s="206" t="s">
        <v>367</v>
      </c>
      <c r="G25" s="206"/>
      <c r="H25" s="206"/>
      <c r="I25" s="206"/>
      <c r="J25" s="206"/>
      <c r="K25" s="206"/>
      <c r="L25" s="206"/>
      <c r="M25" s="206"/>
      <c r="N25" s="206"/>
      <c r="O25" s="206"/>
      <c r="P25" s="168"/>
      <c r="Q25" s="168"/>
      <c r="R25" s="168"/>
      <c r="S25" s="168"/>
      <c r="T25" s="206" t="s">
        <v>367</v>
      </c>
      <c r="U25" s="168"/>
      <c r="V25" s="168"/>
      <c r="W25" s="168"/>
      <c r="X25" s="168"/>
      <c r="Y25" s="168"/>
      <c r="Z25" s="201"/>
      <c r="AA25" s="20"/>
      <c r="AB25" s="20"/>
      <c r="AC25" s="20"/>
      <c r="AD25" s="20"/>
      <c r="AE25" s="20"/>
      <c r="AF25" s="20"/>
      <c r="AG25" s="20"/>
      <c r="AH25" s="20"/>
      <c r="AI25" s="20"/>
      <c r="AJ25" s="20"/>
      <c r="AK25" s="20"/>
      <c r="AL25" s="20"/>
      <c r="AM25" s="20"/>
      <c r="AN25" s="20"/>
      <c r="AO25" s="20"/>
      <c r="AP25" s="20"/>
      <c r="AQ25" s="20"/>
      <c r="AR25" s="20"/>
      <c r="AS25" s="20"/>
      <c r="AT25" s="20"/>
      <c r="AU25" s="20"/>
      <c r="AV25" s="20"/>
      <c r="AW25" s="20"/>
      <c r="AX25" s="20"/>
      <c r="AY25" s="20"/>
      <c r="AZ25" s="20"/>
      <c r="BA25" s="20"/>
      <c r="BB25" s="20"/>
      <c r="BC25" s="20"/>
      <c r="BD25" s="20"/>
      <c r="BE25" s="20"/>
      <c r="BF25" s="20"/>
      <c r="BG25" s="20"/>
      <c r="BH25" s="20"/>
    </row>
    <row r="26" spans="1:60">
      <c r="A26" s="213"/>
      <c r="B26" s="207" t="s">
        <v>365</v>
      </c>
      <c r="C26" s="206"/>
      <c r="D26" s="206"/>
      <c r="E26" s="206" t="s">
        <v>381</v>
      </c>
      <c r="F26" s="206" t="s">
        <v>382</v>
      </c>
      <c r="G26" s="206" t="s">
        <v>383</v>
      </c>
      <c r="H26" s="206"/>
      <c r="I26" s="206"/>
      <c r="J26" s="206" t="s">
        <v>365</v>
      </c>
      <c r="K26" s="206"/>
      <c r="L26" s="206"/>
      <c r="M26" s="206"/>
      <c r="N26" s="206"/>
      <c r="O26" s="206" t="s">
        <v>365</v>
      </c>
      <c r="P26" s="168"/>
      <c r="Q26" s="168"/>
      <c r="R26" s="168"/>
      <c r="S26" s="229" t="s">
        <v>381</v>
      </c>
      <c r="T26" s="170" t="s">
        <v>382</v>
      </c>
      <c r="U26" s="170" t="s">
        <v>383</v>
      </c>
      <c r="V26" s="168"/>
      <c r="W26" s="208" t="s">
        <v>365</v>
      </c>
      <c r="X26" s="168"/>
      <c r="Y26" s="168"/>
      <c r="Z26" s="201"/>
      <c r="AA26" s="20"/>
      <c r="AB26" s="20"/>
      <c r="AC26" s="20"/>
      <c r="AD26" s="20"/>
      <c r="AE26" s="20"/>
      <c r="AF26" s="20"/>
      <c r="AG26" s="20"/>
      <c r="AH26" s="20"/>
      <c r="AI26" s="20"/>
      <c r="AJ26" s="20"/>
      <c r="AK26" s="20"/>
      <c r="AL26" s="20"/>
      <c r="AM26" s="20"/>
      <c r="AN26" s="20"/>
      <c r="AO26" s="20"/>
      <c r="AP26" s="20"/>
      <c r="AQ26" s="20"/>
      <c r="AR26" s="20"/>
      <c r="AS26" s="20"/>
      <c r="AT26" s="20"/>
      <c r="AU26" s="20"/>
      <c r="AV26" s="20"/>
      <c r="AW26" s="20"/>
      <c r="AX26" s="20"/>
      <c r="AY26" s="20"/>
      <c r="AZ26" s="20"/>
      <c r="BA26" s="20"/>
      <c r="BB26" s="20"/>
      <c r="BC26" s="20"/>
      <c r="BD26" s="20"/>
      <c r="BE26" s="20"/>
      <c r="BF26" s="20"/>
      <c r="BG26" s="20"/>
      <c r="BH26" s="20"/>
    </row>
    <row r="27" spans="1:60">
      <c r="A27" s="389">
        <f>IF(F27&lt;B33,(((G27/60)+F27)-((C33/60)+B33))+24,((G27/60)+F27)-((C33/60)+B33))</f>
        <v>0</v>
      </c>
      <c r="B27" s="365"/>
      <c r="C27" s="206" t="s">
        <v>366</v>
      </c>
      <c r="D27" s="206"/>
      <c r="E27" s="16"/>
      <c r="F27" s="8"/>
      <c r="G27" s="8"/>
      <c r="H27" s="206"/>
      <c r="I27" s="206"/>
      <c r="J27" s="365">
        <f>IF(E39&lt;F27,(((F39/60)+E39)-((G27/60)+F27))+24,((F39/60)+E39)-((G27/60)+F27))</f>
        <v>0</v>
      </c>
      <c r="K27" s="365"/>
      <c r="L27" s="206" t="s">
        <v>366</v>
      </c>
      <c r="M27" s="206"/>
      <c r="N27" s="206"/>
      <c r="O27" s="365">
        <f>IF(T27&lt;T39,(((U27/60)+T27)-((U39/60)+T39))+24,((U27/60)+T27)-((U39/60)+T39))</f>
        <v>0</v>
      </c>
      <c r="P27" s="365"/>
      <c r="Q27" s="206" t="s">
        <v>366</v>
      </c>
      <c r="R27" s="168"/>
      <c r="S27" s="10"/>
      <c r="T27" s="8"/>
      <c r="U27" s="8"/>
      <c r="V27" s="168"/>
      <c r="W27" s="365">
        <f>IF(Y33&lt;T27,(((Z33/60)+Y33)-((U27/60)+T27))+24,((Z33/60)+Y33)-((U27/60)+T27))</f>
        <v>0</v>
      </c>
      <c r="X27" s="365"/>
      <c r="Y27" s="206" t="s">
        <v>366</v>
      </c>
      <c r="Z27" s="201"/>
      <c r="AA27" s="20"/>
      <c r="AB27" s="20"/>
      <c r="AC27" s="20"/>
      <c r="AD27" s="20"/>
      <c r="AE27" s="20"/>
      <c r="AF27" s="20"/>
      <c r="AG27" s="20"/>
      <c r="AH27" s="20"/>
      <c r="AI27" s="20"/>
      <c r="AJ27" s="20"/>
      <c r="AK27" s="20"/>
      <c r="AL27" s="20"/>
      <c r="AM27" s="20"/>
      <c r="AN27" s="20"/>
      <c r="AO27" s="20"/>
      <c r="AP27" s="20"/>
      <c r="AQ27" s="20"/>
      <c r="AR27" s="20"/>
      <c r="AS27" s="20"/>
      <c r="AT27" s="20"/>
      <c r="AU27" s="20"/>
      <c r="AV27" s="20"/>
      <c r="AW27" s="20"/>
      <c r="AX27" s="20"/>
      <c r="AY27" s="20"/>
      <c r="AZ27" s="20"/>
      <c r="BA27" s="20"/>
      <c r="BB27" s="20"/>
      <c r="BC27" s="20"/>
      <c r="BD27" s="20"/>
      <c r="BE27" s="20"/>
      <c r="BF27" s="20"/>
      <c r="BG27" s="20"/>
      <c r="BH27" s="20"/>
    </row>
    <row r="28" spans="1:60">
      <c r="A28" s="213"/>
      <c r="B28" s="208"/>
      <c r="C28" s="206"/>
      <c r="D28" s="206"/>
      <c r="E28" s="206"/>
      <c r="F28" s="206"/>
      <c r="G28" s="206"/>
      <c r="H28" s="206"/>
      <c r="I28" s="206"/>
      <c r="J28" s="206"/>
      <c r="K28" s="206"/>
      <c r="L28" s="206"/>
      <c r="M28" s="206"/>
      <c r="N28" s="207"/>
      <c r="O28" s="206"/>
      <c r="P28" s="168"/>
      <c r="Q28" s="168"/>
      <c r="R28" s="168"/>
      <c r="S28" s="168"/>
      <c r="T28" s="168"/>
      <c r="U28" s="168"/>
      <c r="V28" s="168"/>
      <c r="W28" s="168"/>
      <c r="X28" s="168"/>
      <c r="Y28" s="168"/>
      <c r="Z28" s="201"/>
      <c r="AA28" s="20"/>
      <c r="AB28" s="20"/>
      <c r="AC28" s="20"/>
      <c r="AD28" s="20"/>
      <c r="AE28" s="20"/>
      <c r="AF28" s="20"/>
      <c r="AG28" s="20"/>
      <c r="AH28" s="20"/>
      <c r="AI28" s="20"/>
      <c r="AJ28" s="20"/>
      <c r="AK28" s="20"/>
      <c r="AL28" s="20"/>
      <c r="AM28" s="20"/>
      <c r="AN28" s="20"/>
      <c r="AO28" s="20"/>
      <c r="AP28" s="20"/>
      <c r="AQ28" s="20"/>
      <c r="AR28" s="20"/>
      <c r="AS28" s="20"/>
      <c r="AT28" s="20"/>
      <c r="AU28" s="20"/>
      <c r="AV28" s="20"/>
      <c r="AW28" s="20"/>
      <c r="AX28" s="20"/>
      <c r="AY28" s="20"/>
      <c r="AZ28" s="20"/>
      <c r="BA28" s="20"/>
      <c r="BB28" s="20"/>
      <c r="BC28" s="20"/>
      <c r="BD28" s="20"/>
      <c r="BE28" s="20"/>
      <c r="BF28" s="20"/>
      <c r="BG28" s="20"/>
      <c r="BH28" s="20"/>
    </row>
    <row r="29" spans="1:60">
      <c r="A29" s="213"/>
      <c r="B29" s="208"/>
      <c r="C29" s="206"/>
      <c r="D29" s="206"/>
      <c r="E29" s="206"/>
      <c r="F29" s="206"/>
      <c r="G29" s="206"/>
      <c r="H29" s="206"/>
      <c r="I29" s="206"/>
      <c r="J29" s="206"/>
      <c r="K29" s="206"/>
      <c r="L29" s="207"/>
      <c r="M29" s="206"/>
      <c r="N29" s="206"/>
      <c r="O29" s="206"/>
      <c r="P29" s="168"/>
      <c r="Q29" s="168"/>
      <c r="R29" s="168"/>
      <c r="S29" s="168"/>
      <c r="T29" s="168"/>
      <c r="U29" s="168"/>
      <c r="V29" s="168"/>
      <c r="W29" s="168"/>
      <c r="X29" s="168"/>
      <c r="Y29" s="168"/>
      <c r="Z29" s="201"/>
      <c r="AA29" s="20"/>
      <c r="AB29" s="20"/>
      <c r="AC29" s="20"/>
      <c r="AD29" s="20"/>
      <c r="AE29" s="20"/>
      <c r="AF29" s="20"/>
      <c r="AG29" s="20"/>
      <c r="AH29" s="20"/>
      <c r="AI29" s="20"/>
      <c r="AJ29" s="20"/>
      <c r="AK29" s="20"/>
      <c r="AL29" s="20"/>
      <c r="AM29" s="20"/>
      <c r="AN29" s="20"/>
      <c r="AO29" s="20"/>
      <c r="AP29" s="20"/>
      <c r="AQ29" s="20"/>
      <c r="AR29" s="20"/>
      <c r="AS29" s="20"/>
      <c r="AT29" s="20"/>
      <c r="AU29" s="20"/>
      <c r="AV29" s="20"/>
      <c r="AW29" s="20"/>
      <c r="AX29" s="20"/>
      <c r="AY29" s="20"/>
      <c r="AZ29" s="20"/>
      <c r="BA29" s="20"/>
      <c r="BB29" s="20"/>
      <c r="BC29" s="20"/>
      <c r="BD29" s="20"/>
      <c r="BE29" s="20"/>
      <c r="BF29" s="20"/>
      <c r="BG29" s="20"/>
      <c r="BH29" s="20"/>
    </row>
    <row r="30" spans="1:60">
      <c r="A30" s="213"/>
      <c r="B30" s="208"/>
      <c r="C30" s="206"/>
      <c r="D30" s="206"/>
      <c r="E30" s="206"/>
      <c r="F30" s="206"/>
      <c r="G30" s="206"/>
      <c r="H30" s="206"/>
      <c r="I30" s="206"/>
      <c r="J30" s="206"/>
      <c r="K30" s="206"/>
      <c r="L30" s="206"/>
      <c r="M30" s="206"/>
      <c r="N30" s="206"/>
      <c r="O30" s="206"/>
      <c r="P30" s="168"/>
      <c r="Q30" s="168"/>
      <c r="R30" s="168"/>
      <c r="S30" s="168"/>
      <c r="T30" s="168"/>
      <c r="U30" s="168"/>
      <c r="V30" s="168"/>
      <c r="W30" s="168"/>
      <c r="X30" s="168"/>
      <c r="Y30" s="168"/>
      <c r="Z30" s="201"/>
      <c r="AA30" s="20"/>
      <c r="AB30" s="20"/>
      <c r="AC30" s="20"/>
      <c r="AD30" s="20"/>
      <c r="AE30" s="20"/>
      <c r="AF30" s="20"/>
      <c r="AG30" s="20"/>
      <c r="AH30" s="20"/>
      <c r="AI30" s="20"/>
      <c r="AJ30" s="20"/>
      <c r="AK30" s="20"/>
      <c r="AL30" s="20"/>
      <c r="AM30" s="20"/>
      <c r="AN30" s="20"/>
      <c r="AO30" s="20"/>
      <c r="AP30" s="20"/>
      <c r="AQ30" s="20"/>
      <c r="AR30" s="20"/>
      <c r="AS30" s="20"/>
      <c r="AT30" s="20"/>
      <c r="AU30" s="20"/>
      <c r="AV30" s="20"/>
      <c r="AW30" s="20"/>
      <c r="AX30" s="20"/>
      <c r="AY30" s="20"/>
      <c r="AZ30" s="20"/>
      <c r="BA30" s="20"/>
      <c r="BB30" s="20"/>
      <c r="BC30" s="20"/>
      <c r="BD30" s="20"/>
      <c r="BE30" s="20"/>
      <c r="BF30" s="20"/>
      <c r="BG30" s="20"/>
      <c r="BH30" s="20"/>
    </row>
    <row r="31" spans="1:60">
      <c r="A31" s="213"/>
      <c r="B31" s="208" t="s">
        <v>364</v>
      </c>
      <c r="C31" s="206"/>
      <c r="D31" s="206"/>
      <c r="E31" s="206"/>
      <c r="F31" s="206"/>
      <c r="G31" s="206"/>
      <c r="H31" s="206"/>
      <c r="I31" s="206"/>
      <c r="J31" s="206"/>
      <c r="K31" s="206"/>
      <c r="L31" s="206"/>
      <c r="M31" s="206"/>
      <c r="N31" s="206"/>
      <c r="O31" s="206"/>
      <c r="P31" s="168"/>
      <c r="Q31" s="168"/>
      <c r="R31" s="168"/>
      <c r="S31" s="168"/>
      <c r="T31" s="168"/>
      <c r="U31" s="168"/>
      <c r="V31" s="168"/>
      <c r="W31" s="168"/>
      <c r="X31" s="168"/>
      <c r="Y31" s="168"/>
      <c r="Z31" s="201"/>
      <c r="AA31" s="20"/>
      <c r="AB31" s="20"/>
      <c r="AC31" s="20"/>
      <c r="AD31" s="20"/>
      <c r="AE31" s="20"/>
      <c r="AF31" s="20"/>
      <c r="AG31" s="20"/>
      <c r="AH31" s="20"/>
      <c r="AI31" s="20"/>
      <c r="AJ31" s="20"/>
      <c r="AK31" s="20"/>
      <c r="AL31" s="20"/>
      <c r="AM31" s="20"/>
      <c r="AN31" s="20"/>
      <c r="AO31" s="20"/>
      <c r="AP31" s="20"/>
      <c r="AQ31" s="20"/>
      <c r="AR31" s="20"/>
      <c r="AS31" s="20"/>
      <c r="AT31" s="20"/>
      <c r="AU31" s="20"/>
      <c r="AV31" s="20"/>
      <c r="AW31" s="20"/>
      <c r="AX31" s="20"/>
      <c r="AY31" s="20"/>
      <c r="AZ31" s="20"/>
      <c r="BA31" s="20"/>
      <c r="BB31" s="20"/>
      <c r="BC31" s="20"/>
      <c r="BD31" s="20"/>
      <c r="BE31" s="20"/>
      <c r="BF31" s="20"/>
      <c r="BG31" s="20"/>
      <c r="BH31" s="20"/>
    </row>
    <row r="32" spans="1:60">
      <c r="A32" s="232" t="s">
        <v>381</v>
      </c>
      <c r="B32" s="207" t="s">
        <v>382</v>
      </c>
      <c r="C32" s="207" t="s">
        <v>383</v>
      </c>
      <c r="D32" s="206"/>
      <c r="E32" s="206"/>
      <c r="F32" s="206"/>
      <c r="G32" s="206"/>
      <c r="H32" s="206"/>
      <c r="I32" s="206"/>
      <c r="J32" s="206"/>
      <c r="K32" s="207"/>
      <c r="L32" s="207"/>
      <c r="M32" s="207"/>
      <c r="N32" s="206"/>
      <c r="O32" s="15"/>
      <c r="P32" s="168"/>
      <c r="Q32" s="168"/>
      <c r="R32" s="168"/>
      <c r="S32" s="168"/>
      <c r="T32" s="168"/>
      <c r="U32" s="168"/>
      <c r="V32" s="168"/>
      <c r="W32" s="168"/>
      <c r="X32" s="170" t="s">
        <v>381</v>
      </c>
      <c r="Y32" s="170" t="s">
        <v>382</v>
      </c>
      <c r="Z32" s="204" t="s">
        <v>383</v>
      </c>
      <c r="AA32" s="20"/>
      <c r="AB32" s="20"/>
      <c r="AC32" s="20"/>
      <c r="AD32" s="20"/>
      <c r="AE32" s="20"/>
      <c r="AF32" s="20"/>
      <c r="AG32" s="20"/>
      <c r="AH32" s="20"/>
      <c r="AI32" s="20"/>
      <c r="AJ32" s="20"/>
      <c r="AK32" s="20"/>
      <c r="AL32" s="20"/>
      <c r="AM32" s="20"/>
      <c r="AN32" s="20"/>
      <c r="AO32" s="20"/>
      <c r="AP32" s="20"/>
      <c r="AQ32" s="20"/>
      <c r="AR32" s="20"/>
      <c r="AS32" s="20"/>
      <c r="AT32" s="20"/>
      <c r="AU32" s="20"/>
      <c r="AV32" s="20"/>
      <c r="AW32" s="20"/>
      <c r="AX32" s="20"/>
      <c r="AY32" s="20"/>
      <c r="AZ32" s="20"/>
      <c r="BA32" s="20"/>
      <c r="BB32" s="20"/>
      <c r="BC32" s="20"/>
      <c r="BD32" s="20"/>
      <c r="BE32" s="20"/>
      <c r="BF32" s="20"/>
      <c r="BG32" s="20"/>
      <c r="BH32" s="20"/>
    </row>
    <row r="33" spans="1:60">
      <c r="A33" s="233"/>
      <c r="B33" s="16"/>
      <c r="C33" s="8"/>
      <c r="D33" s="206"/>
      <c r="E33" s="206"/>
      <c r="F33" s="206"/>
      <c r="G33" s="206"/>
      <c r="H33" s="206"/>
      <c r="I33" s="206"/>
      <c r="J33" s="206"/>
      <c r="K33" s="206"/>
      <c r="L33" s="206"/>
      <c r="M33" s="206"/>
      <c r="N33" s="206"/>
      <c r="O33" s="206"/>
      <c r="P33" s="168"/>
      <c r="Q33" s="168"/>
      <c r="R33" s="168"/>
      <c r="S33" s="168"/>
      <c r="T33" s="168"/>
      <c r="U33" s="168"/>
      <c r="V33" s="168"/>
      <c r="W33" s="168"/>
      <c r="X33" s="10"/>
      <c r="Y33" s="16"/>
      <c r="Z33" s="237"/>
      <c r="AA33" s="20"/>
      <c r="AB33" s="20"/>
      <c r="AC33" s="20"/>
      <c r="AD33" s="20"/>
      <c r="AE33" s="20"/>
      <c r="AF33" s="20"/>
      <c r="AG33" s="20"/>
      <c r="AH33" s="20"/>
      <c r="AI33" s="20"/>
      <c r="AJ33" s="20"/>
      <c r="AK33" s="20"/>
      <c r="AL33" s="20"/>
      <c r="AM33" s="20"/>
      <c r="AN33" s="20"/>
      <c r="AO33" s="20"/>
      <c r="AP33" s="20"/>
      <c r="AQ33" s="20"/>
      <c r="AR33" s="20"/>
      <c r="AS33" s="20"/>
      <c r="AT33" s="20"/>
      <c r="AU33" s="20"/>
      <c r="AV33" s="20"/>
      <c r="AW33" s="20"/>
      <c r="AX33" s="20"/>
      <c r="AY33" s="20"/>
      <c r="AZ33" s="20"/>
      <c r="BA33" s="20"/>
      <c r="BB33" s="20"/>
      <c r="BC33" s="20"/>
      <c r="BD33" s="20"/>
      <c r="BE33" s="20"/>
      <c r="BF33" s="20"/>
      <c r="BG33" s="20"/>
      <c r="BH33" s="20"/>
    </row>
    <row r="34" spans="1:60">
      <c r="A34" s="213"/>
      <c r="B34" s="217"/>
      <c r="C34" s="206"/>
      <c r="D34" s="206"/>
      <c r="E34" s="206"/>
      <c r="F34" s="206"/>
      <c r="G34" s="206"/>
      <c r="H34" s="206"/>
      <c r="I34" s="206"/>
      <c r="J34" s="206"/>
      <c r="K34" s="207"/>
      <c r="L34" s="207"/>
      <c r="M34" s="207"/>
      <c r="N34" s="206"/>
      <c r="O34" s="206"/>
      <c r="P34" s="168"/>
      <c r="Q34" s="168"/>
      <c r="R34" s="168"/>
      <c r="S34" s="168"/>
      <c r="T34" s="168"/>
      <c r="U34" s="168"/>
      <c r="V34" s="168"/>
      <c r="W34" s="168"/>
      <c r="X34" s="168"/>
      <c r="Y34" s="168"/>
      <c r="Z34" s="201"/>
      <c r="AA34" s="20"/>
      <c r="AB34" s="20"/>
      <c r="AC34" s="20"/>
      <c r="AD34" s="20"/>
      <c r="AE34" s="20"/>
      <c r="AF34" s="20"/>
      <c r="AG34" s="20"/>
      <c r="AH34" s="20"/>
      <c r="AI34" s="20"/>
      <c r="AJ34" s="20"/>
      <c r="AK34" s="20"/>
      <c r="AL34" s="20"/>
      <c r="AM34" s="20"/>
      <c r="AN34" s="20"/>
      <c r="AO34" s="20"/>
      <c r="AP34" s="20"/>
      <c r="AQ34" s="20"/>
      <c r="AR34" s="20"/>
      <c r="AS34" s="20"/>
      <c r="AT34" s="20"/>
      <c r="AU34" s="20"/>
      <c r="AV34" s="20"/>
      <c r="AW34" s="20"/>
      <c r="AX34" s="20"/>
      <c r="AY34" s="20"/>
      <c r="AZ34" s="20"/>
      <c r="BA34" s="20"/>
      <c r="BB34" s="20"/>
      <c r="BC34" s="20"/>
      <c r="BD34" s="20"/>
      <c r="BE34" s="20"/>
      <c r="BF34" s="20"/>
      <c r="BG34" s="20"/>
      <c r="BH34" s="20"/>
    </row>
    <row r="35" spans="1:60">
      <c r="A35" s="213"/>
      <c r="B35" s="206"/>
      <c r="C35" s="206"/>
      <c r="D35" s="206"/>
      <c r="E35" s="206"/>
      <c r="F35" s="206"/>
      <c r="G35" s="206"/>
      <c r="H35" s="206"/>
      <c r="I35" s="206"/>
      <c r="J35" s="206"/>
      <c r="K35" s="206"/>
      <c r="L35" s="206"/>
      <c r="M35" s="206"/>
      <c r="N35" s="206"/>
      <c r="O35" s="206"/>
      <c r="P35" s="168"/>
      <c r="Q35" s="168"/>
      <c r="R35" s="168"/>
      <c r="S35" s="168"/>
      <c r="T35" s="168"/>
      <c r="U35" s="168"/>
      <c r="V35" s="168"/>
      <c r="W35" s="168"/>
      <c r="X35" s="168"/>
      <c r="Y35" s="168"/>
      <c r="Z35" s="201"/>
      <c r="AA35" s="20"/>
      <c r="AB35" s="20"/>
      <c r="AC35" s="20"/>
      <c r="AD35" s="20"/>
      <c r="AE35" s="20"/>
      <c r="AF35" s="20"/>
      <c r="AG35" s="20"/>
      <c r="AH35" s="20"/>
      <c r="AI35" s="20"/>
      <c r="AJ35" s="20"/>
      <c r="AK35" s="20"/>
      <c r="AL35" s="20"/>
      <c r="AM35" s="20"/>
      <c r="AN35" s="20"/>
      <c r="AO35" s="20"/>
      <c r="AP35" s="20"/>
      <c r="AQ35" s="20"/>
      <c r="AR35" s="20"/>
      <c r="AS35" s="20"/>
      <c r="AT35" s="20"/>
      <c r="AU35" s="20"/>
      <c r="AV35" s="20"/>
      <c r="AW35" s="20"/>
      <c r="AX35" s="20"/>
      <c r="AY35" s="20"/>
      <c r="AZ35" s="20"/>
      <c r="BA35" s="20"/>
      <c r="BB35" s="20"/>
      <c r="BC35" s="20"/>
      <c r="BD35" s="20"/>
      <c r="BE35" s="20"/>
      <c r="BF35" s="20"/>
      <c r="BG35" s="20"/>
      <c r="BH35" s="20"/>
    </row>
    <row r="36" spans="1:60">
      <c r="A36" s="213"/>
      <c r="B36" s="208"/>
      <c r="C36" s="206"/>
      <c r="D36" s="206"/>
      <c r="E36" s="206"/>
      <c r="F36" s="206"/>
      <c r="G36" s="206"/>
      <c r="H36" s="206"/>
      <c r="I36" s="206"/>
      <c r="J36" s="206"/>
      <c r="K36" s="206"/>
      <c r="L36" s="206"/>
      <c r="M36" s="206"/>
      <c r="N36" s="206"/>
      <c r="O36" s="166"/>
      <c r="P36" s="168"/>
      <c r="Q36" s="168"/>
      <c r="R36" s="168"/>
      <c r="S36" s="168"/>
      <c r="T36" s="168"/>
      <c r="U36" s="168"/>
      <c r="V36" s="168"/>
      <c r="W36" s="168"/>
      <c r="X36" s="168"/>
      <c r="Y36" s="168"/>
      <c r="Z36" s="201"/>
      <c r="AA36" s="20"/>
      <c r="AB36" s="20"/>
      <c r="AC36" s="20"/>
      <c r="AD36" s="20"/>
      <c r="AE36" s="20"/>
      <c r="AF36" s="20"/>
      <c r="AG36" s="20"/>
      <c r="AH36" s="20"/>
      <c r="AI36" s="20"/>
      <c r="AJ36" s="20"/>
      <c r="AK36" s="20"/>
      <c r="AL36" s="20"/>
      <c r="AM36" s="20"/>
      <c r="AN36" s="20"/>
      <c r="AO36" s="20"/>
      <c r="AP36" s="20"/>
      <c r="AQ36" s="20"/>
      <c r="AR36" s="20"/>
      <c r="AS36" s="20"/>
      <c r="AT36" s="20"/>
      <c r="AU36" s="20"/>
      <c r="AV36" s="20"/>
      <c r="AW36" s="20"/>
      <c r="AX36" s="20"/>
      <c r="AY36" s="20"/>
      <c r="AZ36" s="20"/>
      <c r="BA36" s="20"/>
      <c r="BB36" s="20"/>
      <c r="BC36" s="20"/>
      <c r="BD36" s="20"/>
      <c r="BE36" s="20"/>
      <c r="BF36" s="20"/>
      <c r="BG36" s="20"/>
      <c r="BH36" s="20"/>
    </row>
    <row r="37" spans="1:60">
      <c r="A37" s="213"/>
      <c r="B37" s="208"/>
      <c r="C37" s="206"/>
      <c r="D37" s="206"/>
      <c r="E37" s="206"/>
      <c r="F37" s="206"/>
      <c r="G37" s="206"/>
      <c r="H37" s="206"/>
      <c r="I37" s="206"/>
      <c r="J37" s="206"/>
      <c r="K37" s="206"/>
      <c r="L37" s="206"/>
      <c r="M37" s="206"/>
      <c r="N37" s="206"/>
      <c r="O37" s="166"/>
      <c r="P37" s="168"/>
      <c r="Q37" s="168"/>
      <c r="R37" s="168"/>
      <c r="S37" s="168"/>
      <c r="T37" s="168"/>
      <c r="U37" s="168"/>
      <c r="V37" s="168"/>
      <c r="W37" s="168"/>
      <c r="X37" s="168"/>
      <c r="Y37" s="168"/>
      <c r="Z37" s="201"/>
      <c r="AA37" s="20"/>
      <c r="AB37" s="20"/>
      <c r="AC37" s="20"/>
      <c r="AD37" s="20"/>
      <c r="AE37" s="20"/>
      <c r="AF37" s="20"/>
      <c r="AG37" s="20"/>
      <c r="AH37" s="20"/>
      <c r="AI37" s="20"/>
      <c r="AJ37" s="20"/>
      <c r="AK37" s="20"/>
      <c r="AL37" s="20"/>
      <c r="AM37" s="20"/>
      <c r="AN37" s="20"/>
      <c r="AO37" s="20"/>
      <c r="AP37" s="20"/>
      <c r="AQ37" s="20"/>
      <c r="AR37" s="20"/>
      <c r="AS37" s="20"/>
      <c r="AT37" s="20"/>
      <c r="AU37" s="20"/>
      <c r="AV37" s="20"/>
      <c r="AW37" s="20"/>
      <c r="AX37" s="20"/>
      <c r="AY37" s="20"/>
      <c r="AZ37" s="20"/>
      <c r="BA37" s="20"/>
      <c r="BB37" s="20"/>
      <c r="BC37" s="20"/>
      <c r="BD37" s="20"/>
      <c r="BE37" s="20"/>
      <c r="BF37" s="20"/>
      <c r="BG37" s="20"/>
      <c r="BH37" s="20"/>
    </row>
    <row r="38" spans="1:60">
      <c r="A38" s="213"/>
      <c r="B38" s="206"/>
      <c r="C38" s="206"/>
      <c r="D38" s="206" t="s">
        <v>381</v>
      </c>
      <c r="E38" s="206" t="s">
        <v>382</v>
      </c>
      <c r="F38" s="206" t="s">
        <v>383</v>
      </c>
      <c r="G38" s="206"/>
      <c r="H38" s="206"/>
      <c r="I38" s="206"/>
      <c r="J38" s="206"/>
      <c r="K38" s="206"/>
      <c r="L38" s="207" t="s">
        <v>381</v>
      </c>
      <c r="M38" s="207" t="s">
        <v>382</v>
      </c>
      <c r="N38" s="207" t="s">
        <v>383</v>
      </c>
      <c r="O38" s="206"/>
      <c r="P38" s="168"/>
      <c r="Q38" s="168"/>
      <c r="R38" s="168"/>
      <c r="S38" s="229" t="s">
        <v>381</v>
      </c>
      <c r="T38" s="229" t="s">
        <v>382</v>
      </c>
      <c r="U38" s="229" t="s">
        <v>383</v>
      </c>
      <c r="V38" s="168"/>
      <c r="W38" s="168"/>
      <c r="X38" s="168"/>
      <c r="Y38" s="168"/>
      <c r="Z38" s="201"/>
      <c r="AA38" s="20"/>
      <c r="AB38" s="20"/>
      <c r="AC38" s="20"/>
      <c r="AD38" s="20"/>
      <c r="AE38" s="20"/>
      <c r="AF38" s="20"/>
      <c r="AG38" s="20"/>
      <c r="AH38" s="20"/>
      <c r="AI38" s="20"/>
      <c r="AJ38" s="20"/>
      <c r="AK38" s="20"/>
      <c r="AL38" s="20"/>
      <c r="AM38" s="20"/>
      <c r="AN38" s="20"/>
      <c r="AO38" s="20"/>
      <c r="AP38" s="20"/>
      <c r="AQ38" s="20"/>
      <c r="AR38" s="20"/>
      <c r="AS38" s="20"/>
      <c r="AT38" s="20"/>
      <c r="AU38" s="20"/>
      <c r="AV38" s="20"/>
      <c r="AW38" s="20"/>
      <c r="AX38" s="20"/>
      <c r="AY38" s="20"/>
      <c r="AZ38" s="20"/>
      <c r="BA38" s="20"/>
      <c r="BB38" s="20"/>
      <c r="BC38" s="20"/>
      <c r="BD38" s="20"/>
      <c r="BE38" s="20"/>
      <c r="BF38" s="20"/>
      <c r="BG38" s="20"/>
      <c r="BH38" s="20"/>
    </row>
    <row r="39" spans="1:60">
      <c r="A39" s="213"/>
      <c r="B39" s="208"/>
      <c r="C39" s="206"/>
      <c r="D39" s="16"/>
      <c r="E39" s="8"/>
      <c r="F39" s="8"/>
      <c r="G39" s="206"/>
      <c r="H39" s="206"/>
      <c r="I39" s="206" t="s">
        <v>365</v>
      </c>
      <c r="J39" s="206"/>
      <c r="K39" s="206"/>
      <c r="L39" s="16"/>
      <c r="M39" s="8"/>
      <c r="N39" s="8"/>
      <c r="O39" s="206"/>
      <c r="P39" s="206" t="s">
        <v>365</v>
      </c>
      <c r="Q39" s="168"/>
      <c r="R39" s="168"/>
      <c r="S39" s="10"/>
      <c r="T39" s="8"/>
      <c r="U39" s="8"/>
      <c r="V39" s="177"/>
      <c r="W39" s="168"/>
      <c r="X39" s="168"/>
      <c r="Y39" s="168"/>
      <c r="Z39" s="201"/>
      <c r="AA39" s="20"/>
      <c r="AB39" s="20"/>
      <c r="AC39" s="20"/>
      <c r="AD39" s="20"/>
      <c r="AE39" s="20"/>
      <c r="AF39" s="20"/>
      <c r="AG39" s="20"/>
      <c r="AH39" s="20"/>
      <c r="AI39" s="20"/>
      <c r="AJ39" s="20"/>
      <c r="AK39" s="20"/>
      <c r="AL39" s="20"/>
      <c r="AM39" s="20"/>
      <c r="AN39" s="20"/>
      <c r="AO39" s="20"/>
      <c r="AP39" s="20"/>
      <c r="AQ39" s="20"/>
      <c r="AR39" s="20"/>
      <c r="AS39" s="20"/>
      <c r="AT39" s="20"/>
      <c r="AU39" s="20"/>
      <c r="AV39" s="20"/>
      <c r="AW39" s="20"/>
      <c r="AX39" s="20"/>
      <c r="AY39" s="20"/>
      <c r="AZ39" s="20"/>
      <c r="BA39" s="20"/>
      <c r="BB39" s="20"/>
      <c r="BC39" s="20"/>
      <c r="BD39" s="20"/>
      <c r="BE39" s="20"/>
      <c r="BF39" s="20"/>
      <c r="BG39" s="20"/>
      <c r="BH39" s="20"/>
    </row>
    <row r="40" spans="1:60">
      <c r="A40" s="213"/>
      <c r="B40" s="208"/>
      <c r="C40" s="206"/>
      <c r="D40" s="206"/>
      <c r="E40" s="206"/>
      <c r="F40" s="206"/>
      <c r="G40" s="206"/>
      <c r="H40" s="206"/>
      <c r="I40" s="386">
        <f>IF(M39&lt;E39,(((N39/60)+M39)-((F39/60)+E39))+24,((N39/60)+M39)-((F39/60)+E39))</f>
        <v>0</v>
      </c>
      <c r="J40" s="386"/>
      <c r="K40" s="206" t="s">
        <v>366</v>
      </c>
      <c r="L40" s="206"/>
      <c r="M40" s="206" t="s">
        <v>367</v>
      </c>
      <c r="N40" s="206"/>
      <c r="O40" s="206"/>
      <c r="P40" s="207"/>
      <c r="Q40" s="386">
        <f>IF(T39&lt;M39,(((U39/60)+T39)-((N39/60)+M39))+24,((U39/60)+T39)-((N39/60)+M39))</f>
        <v>0</v>
      </c>
      <c r="R40" s="386"/>
      <c r="S40" s="206" t="s">
        <v>366</v>
      </c>
      <c r="T40" s="168"/>
      <c r="U40" s="168"/>
      <c r="V40" s="168"/>
      <c r="W40" s="168"/>
      <c r="X40" s="168"/>
      <c r="Y40" s="168"/>
      <c r="Z40" s="201"/>
      <c r="AA40" s="20"/>
      <c r="AB40" s="20"/>
      <c r="AC40" s="20"/>
      <c r="AD40" s="20"/>
      <c r="AE40" s="20"/>
      <c r="AF40" s="20"/>
      <c r="AG40" s="20"/>
      <c r="AH40" s="20"/>
      <c r="AI40" s="20"/>
      <c r="AJ40" s="20"/>
      <c r="AK40" s="20"/>
      <c r="AL40" s="20"/>
      <c r="AM40" s="20"/>
      <c r="AN40" s="20"/>
      <c r="AO40" s="20"/>
      <c r="AP40" s="20"/>
      <c r="AQ40" s="20"/>
      <c r="AR40" s="20"/>
      <c r="AS40" s="20"/>
      <c r="AT40" s="20"/>
      <c r="AU40" s="20"/>
      <c r="AV40" s="20"/>
      <c r="AW40" s="20"/>
      <c r="AX40" s="20"/>
      <c r="AY40" s="20"/>
      <c r="AZ40" s="20"/>
      <c r="BA40" s="20"/>
      <c r="BB40" s="20"/>
      <c r="BC40" s="20"/>
      <c r="BD40" s="20"/>
      <c r="BE40" s="20"/>
      <c r="BF40" s="20"/>
      <c r="BG40" s="20"/>
      <c r="BH40" s="20"/>
    </row>
    <row r="41" spans="1:60">
      <c r="A41" s="234"/>
      <c r="B41" s="230"/>
      <c r="C41" s="206"/>
      <c r="D41" s="206"/>
      <c r="E41" s="206"/>
      <c r="F41" s="206"/>
      <c r="G41" s="206"/>
      <c r="H41" s="206"/>
      <c r="I41" s="206"/>
      <c r="J41" s="206"/>
      <c r="K41" s="206"/>
      <c r="L41" s="206"/>
      <c r="M41" s="206"/>
      <c r="N41" s="206"/>
      <c r="O41" s="206"/>
      <c r="P41" s="168"/>
      <c r="Q41" s="168"/>
      <c r="R41" s="168"/>
      <c r="S41" s="168"/>
      <c r="T41" s="168"/>
      <c r="U41" s="168"/>
      <c r="V41" s="168"/>
      <c r="W41" s="168"/>
      <c r="X41" s="168"/>
      <c r="Y41" s="168"/>
      <c r="Z41" s="201"/>
      <c r="AA41" s="20"/>
      <c r="AB41" s="20"/>
      <c r="AC41" s="20"/>
      <c r="AD41" s="20"/>
      <c r="AE41" s="20"/>
      <c r="AF41" s="20"/>
      <c r="AG41" s="20"/>
      <c r="AH41" s="20"/>
      <c r="AI41" s="20"/>
      <c r="AJ41" s="20"/>
      <c r="AK41" s="20"/>
      <c r="AL41" s="20"/>
      <c r="AM41" s="20"/>
      <c r="AN41" s="20"/>
      <c r="AO41" s="20"/>
      <c r="AP41" s="20"/>
      <c r="AQ41" s="20"/>
      <c r="AR41" s="20"/>
      <c r="AS41" s="20"/>
      <c r="AT41" s="20"/>
      <c r="AU41" s="20"/>
      <c r="AV41" s="20"/>
      <c r="AW41" s="20"/>
      <c r="AX41" s="20"/>
      <c r="AY41" s="20"/>
      <c r="AZ41" s="20"/>
      <c r="BA41" s="20"/>
      <c r="BB41" s="20"/>
      <c r="BC41" s="20"/>
      <c r="BD41" s="20"/>
      <c r="BE41" s="20"/>
      <c r="BF41" s="20"/>
      <c r="BG41" s="20"/>
      <c r="BH41" s="20"/>
    </row>
    <row r="42" spans="1:60">
      <c r="A42" s="213">
        <v>3</v>
      </c>
      <c r="B42" s="206" t="s">
        <v>368</v>
      </c>
      <c r="C42" s="206"/>
      <c r="D42" s="206"/>
      <c r="E42" s="206"/>
      <c r="F42" s="206"/>
      <c r="G42" s="206"/>
      <c r="H42" s="206"/>
      <c r="I42" s="206"/>
      <c r="J42" s="206"/>
      <c r="K42" s="206"/>
      <c r="L42" s="206"/>
      <c r="M42" s="206"/>
      <c r="N42" s="206" t="s">
        <v>385</v>
      </c>
      <c r="O42" s="206"/>
      <c r="P42" s="168"/>
      <c r="Q42" s="168"/>
      <c r="R42" s="168"/>
      <c r="S42" s="168"/>
      <c r="T42" s="168"/>
      <c r="U42" s="168"/>
      <c r="V42" s="168"/>
      <c r="W42" s="168"/>
      <c r="X42" s="168"/>
      <c r="Y42" s="168"/>
      <c r="Z42" s="201"/>
      <c r="AA42" s="25" t="s">
        <v>388</v>
      </c>
      <c r="AB42" s="25">
        <f>(I24/60)+H24</f>
        <v>0</v>
      </c>
      <c r="AC42" s="25">
        <v>42</v>
      </c>
      <c r="AD42" s="20"/>
      <c r="AE42" s="20"/>
      <c r="AF42" s="20"/>
      <c r="AG42" s="20"/>
      <c r="AH42" s="20"/>
      <c r="AI42" s="20"/>
      <c r="AJ42" s="20"/>
      <c r="AK42" s="20"/>
      <c r="AL42" s="20"/>
      <c r="AM42" s="20"/>
      <c r="AN42" s="20"/>
      <c r="AO42" s="20"/>
      <c r="AP42" s="20"/>
      <c r="AQ42" s="20"/>
      <c r="AR42" s="20"/>
      <c r="AS42" s="20"/>
      <c r="AT42" s="20"/>
      <c r="AU42" s="20"/>
      <c r="AV42" s="20"/>
      <c r="AW42" s="20"/>
      <c r="AX42" s="20"/>
      <c r="AY42" s="20"/>
      <c r="AZ42" s="20"/>
      <c r="BA42" s="20"/>
      <c r="BB42" s="20"/>
      <c r="BC42" s="20"/>
      <c r="BD42" s="20"/>
      <c r="BE42" s="20"/>
      <c r="BF42" s="20"/>
      <c r="BG42" s="20"/>
      <c r="BH42" s="20"/>
    </row>
    <row r="43" spans="1:60">
      <c r="A43" s="213"/>
      <c r="B43" s="208"/>
      <c r="C43" s="206"/>
      <c r="D43" s="206"/>
      <c r="E43" s="206"/>
      <c r="F43" s="206"/>
      <c r="G43" s="206"/>
      <c r="H43" s="206"/>
      <c r="I43" s="206"/>
      <c r="J43" s="206"/>
      <c r="K43" s="206"/>
      <c r="L43" s="206"/>
      <c r="M43" s="206"/>
      <c r="N43" s="207" t="s">
        <v>381</v>
      </c>
      <c r="O43" s="206" t="s">
        <v>382</v>
      </c>
      <c r="P43" s="207" t="s">
        <v>383</v>
      </c>
      <c r="Q43" s="206"/>
      <c r="R43" s="168"/>
      <c r="S43" s="168"/>
      <c r="T43" s="168"/>
      <c r="U43" s="168"/>
      <c r="V43" s="168"/>
      <c r="W43" s="170"/>
      <c r="X43" s="168"/>
      <c r="Y43" s="168"/>
      <c r="Z43" s="201"/>
      <c r="AA43" s="25" t="s">
        <v>389</v>
      </c>
      <c r="AB43" s="25">
        <f>(P44/60)+O44</f>
        <v>0</v>
      </c>
      <c r="AC43" s="25">
        <v>43</v>
      </c>
      <c r="AD43" s="20"/>
      <c r="AE43" s="20"/>
      <c r="AF43" s="20"/>
      <c r="AG43" s="20"/>
      <c r="AH43" s="20"/>
      <c r="AI43" s="20"/>
      <c r="AJ43" s="20"/>
      <c r="AK43" s="20"/>
      <c r="AL43" s="20"/>
      <c r="AM43" s="20"/>
      <c r="AN43" s="20"/>
      <c r="AO43" s="20"/>
      <c r="AP43" s="20"/>
      <c r="AQ43" s="20"/>
      <c r="AR43" s="20"/>
      <c r="AS43" s="20"/>
      <c r="AT43" s="20"/>
      <c r="AU43" s="20"/>
      <c r="AV43" s="20"/>
      <c r="AW43" s="20"/>
      <c r="AX43" s="20"/>
      <c r="AY43" s="20"/>
      <c r="AZ43" s="20"/>
      <c r="BA43" s="20"/>
      <c r="BB43" s="20"/>
      <c r="BC43" s="20"/>
      <c r="BD43" s="20"/>
      <c r="BE43" s="20"/>
      <c r="BF43" s="20"/>
      <c r="BG43" s="20"/>
      <c r="BH43" s="20"/>
    </row>
    <row r="44" spans="1:60">
      <c r="A44" s="213"/>
      <c r="B44" s="208" t="s">
        <v>340</v>
      </c>
      <c r="C44" s="206" t="s">
        <v>387</v>
      </c>
      <c r="D44" s="206"/>
      <c r="E44" s="206"/>
      <c r="F44" s="206"/>
      <c r="G44" s="206"/>
      <c r="H44" s="206"/>
      <c r="I44" s="206"/>
      <c r="J44" s="206"/>
      <c r="K44" s="206"/>
      <c r="L44" s="206"/>
      <c r="M44" s="206"/>
      <c r="N44" s="12"/>
      <c r="O44" s="10"/>
      <c r="P44" s="10"/>
      <c r="Q44" s="206" t="s">
        <v>23</v>
      </c>
      <c r="R44" s="168"/>
      <c r="S44" s="168"/>
      <c r="T44" s="168"/>
      <c r="U44" s="365">
        <f>IF(G24=N44,ABS(AB43-AB42),IF(AB42&lt;AB43,AB42+24-AB43,AB42-AB43+24))</f>
        <v>0</v>
      </c>
      <c r="V44" s="365"/>
      <c r="W44" s="170" t="s">
        <v>23</v>
      </c>
      <c r="X44" s="168"/>
      <c r="Y44" s="168"/>
      <c r="Z44" s="201"/>
      <c r="AA44" s="25" t="s">
        <v>384</v>
      </c>
      <c r="AB44" s="25">
        <f>(W24/60)+V24</f>
        <v>0</v>
      </c>
      <c r="AC44" s="25">
        <v>44</v>
      </c>
      <c r="AD44" s="20"/>
      <c r="AE44" s="20"/>
      <c r="AF44" s="20"/>
      <c r="AG44" s="20"/>
      <c r="AH44" s="20"/>
      <c r="AI44" s="20"/>
      <c r="AJ44" s="20"/>
      <c r="AK44" s="20"/>
      <c r="AL44" s="20"/>
      <c r="AM44" s="20"/>
      <c r="AN44" s="20"/>
      <c r="AO44" s="20"/>
      <c r="AP44" s="20"/>
      <c r="AQ44" s="20"/>
      <c r="AR44" s="20"/>
      <c r="AS44" s="20"/>
      <c r="AT44" s="20"/>
      <c r="AU44" s="20"/>
      <c r="AV44" s="20"/>
      <c r="AW44" s="20"/>
      <c r="AX44" s="20"/>
      <c r="AY44" s="20"/>
      <c r="AZ44" s="20"/>
      <c r="BA44" s="20"/>
      <c r="BB44" s="20"/>
      <c r="BC44" s="20"/>
      <c r="BD44" s="20"/>
      <c r="BE44" s="20"/>
      <c r="BF44" s="20"/>
      <c r="BG44" s="20"/>
      <c r="BH44" s="20"/>
    </row>
    <row r="45" spans="1:60">
      <c r="A45" s="213"/>
      <c r="B45" s="208"/>
      <c r="C45" s="206"/>
      <c r="D45" s="206"/>
      <c r="E45" s="206"/>
      <c r="F45" s="206"/>
      <c r="G45" s="206"/>
      <c r="H45" s="206"/>
      <c r="I45" s="206"/>
      <c r="J45" s="206"/>
      <c r="K45" s="206"/>
      <c r="L45" s="206"/>
      <c r="M45" s="206"/>
      <c r="N45" s="206"/>
      <c r="O45" s="207"/>
      <c r="P45" s="206"/>
      <c r="Q45" s="206"/>
      <c r="R45" s="168"/>
      <c r="S45" s="168"/>
      <c r="T45" s="168"/>
      <c r="U45" s="168"/>
      <c r="V45" s="168"/>
      <c r="W45" s="170"/>
      <c r="X45" s="168"/>
      <c r="Y45" s="168"/>
      <c r="Z45" s="201"/>
      <c r="AA45" s="25" t="s">
        <v>390</v>
      </c>
      <c r="AB45" s="25">
        <f>(P46/60)+O46</f>
        <v>0</v>
      </c>
      <c r="AC45" s="25">
        <v>45</v>
      </c>
      <c r="AD45" s="20"/>
      <c r="AE45" s="20"/>
      <c r="AF45" s="20"/>
      <c r="AG45" s="20"/>
      <c r="AH45" s="20"/>
      <c r="AI45" s="20"/>
      <c r="AJ45" s="20"/>
      <c r="AK45" s="20"/>
      <c r="AL45" s="20"/>
      <c r="AM45" s="20"/>
      <c r="AN45" s="20"/>
      <c r="AO45" s="20"/>
      <c r="AP45" s="20"/>
      <c r="AQ45" s="20"/>
      <c r="AR45" s="20"/>
      <c r="AS45" s="20"/>
      <c r="AT45" s="20"/>
      <c r="AU45" s="20"/>
      <c r="AV45" s="20"/>
      <c r="AW45" s="20"/>
      <c r="AX45" s="20"/>
      <c r="AY45" s="20"/>
      <c r="AZ45" s="20"/>
      <c r="BA45" s="20"/>
      <c r="BB45" s="20"/>
      <c r="BC45" s="20"/>
      <c r="BD45" s="20"/>
      <c r="BE45" s="20"/>
      <c r="BF45" s="20"/>
      <c r="BG45" s="20"/>
      <c r="BH45" s="20"/>
    </row>
    <row r="46" spans="1:60">
      <c r="A46" s="213"/>
      <c r="B46" s="208" t="s">
        <v>341</v>
      </c>
      <c r="C46" s="206" t="s">
        <v>386</v>
      </c>
      <c r="D46" s="206"/>
      <c r="E46" s="206"/>
      <c r="F46" s="206"/>
      <c r="G46" s="206"/>
      <c r="H46" s="206"/>
      <c r="I46" s="206"/>
      <c r="J46" s="206"/>
      <c r="K46" s="206"/>
      <c r="L46" s="206"/>
      <c r="M46" s="206"/>
      <c r="N46" s="16"/>
      <c r="O46" s="8"/>
      <c r="P46" s="8"/>
      <c r="Q46" s="206" t="s">
        <v>23</v>
      </c>
      <c r="R46" s="168"/>
      <c r="S46" s="168"/>
      <c r="T46" s="168"/>
      <c r="U46" s="365">
        <f>IF(U24=N46,ABS(AB45-AB44),IF(AB44&lt;AB45,AB44+24-AB45,AB45+24-AB44))</f>
        <v>0</v>
      </c>
      <c r="V46" s="365"/>
      <c r="W46" s="170" t="s">
        <v>23</v>
      </c>
      <c r="X46" s="168"/>
      <c r="Y46" s="168"/>
      <c r="Z46" s="201"/>
      <c r="AA46" s="20"/>
      <c r="AB46" s="20"/>
      <c r="AC46" s="20"/>
      <c r="AD46" s="20"/>
      <c r="AE46" s="20"/>
      <c r="AF46" s="20"/>
      <c r="AG46" s="20"/>
      <c r="AH46" s="20"/>
      <c r="AI46" s="20"/>
      <c r="AJ46" s="20"/>
      <c r="AK46" s="20"/>
      <c r="AL46" s="20"/>
      <c r="AM46" s="20"/>
      <c r="AN46" s="20"/>
      <c r="AO46" s="20"/>
      <c r="AP46" s="20"/>
      <c r="AQ46" s="20"/>
      <c r="AR46" s="20"/>
      <c r="AS46" s="20"/>
      <c r="AT46" s="20"/>
      <c r="AU46" s="20"/>
      <c r="AV46" s="20"/>
      <c r="AW46" s="20"/>
      <c r="AX46" s="20"/>
      <c r="AY46" s="20"/>
      <c r="AZ46" s="20"/>
      <c r="BA46" s="20"/>
      <c r="BB46" s="20"/>
      <c r="BC46" s="20"/>
      <c r="BD46" s="20"/>
      <c r="BE46" s="20"/>
      <c r="BF46" s="20"/>
      <c r="BG46" s="20"/>
      <c r="BH46" s="20"/>
    </row>
    <row r="47" spans="1:60">
      <c r="A47" s="213"/>
      <c r="B47" s="208"/>
      <c r="C47" s="206"/>
      <c r="D47" s="206"/>
      <c r="E47" s="206"/>
      <c r="F47" s="206"/>
      <c r="G47" s="206"/>
      <c r="H47" s="206"/>
      <c r="I47" s="206"/>
      <c r="J47" s="206"/>
      <c r="K47" s="206"/>
      <c r="L47" s="206"/>
      <c r="M47" s="206"/>
      <c r="N47" s="206"/>
      <c r="O47" s="206"/>
      <c r="P47" s="168"/>
      <c r="Q47" s="168"/>
      <c r="R47" s="168"/>
      <c r="S47" s="168"/>
      <c r="T47" s="168"/>
      <c r="U47" s="168"/>
      <c r="V47" s="168"/>
      <c r="W47" s="168"/>
      <c r="X47" s="168"/>
      <c r="Y47" s="168"/>
      <c r="Z47" s="201"/>
      <c r="AA47" s="20"/>
      <c r="AB47" s="20"/>
      <c r="AC47" s="20"/>
      <c r="AD47" s="20"/>
      <c r="AE47" s="20"/>
      <c r="AF47" s="20"/>
      <c r="AG47" s="20"/>
      <c r="AH47" s="20"/>
      <c r="AI47" s="20"/>
      <c r="AJ47" s="20"/>
      <c r="AK47" s="20"/>
      <c r="AL47" s="20"/>
      <c r="AM47" s="20"/>
      <c r="AN47" s="20"/>
      <c r="AO47" s="20"/>
      <c r="AP47" s="20"/>
      <c r="AQ47" s="20"/>
      <c r="AR47" s="20"/>
      <c r="AS47" s="20"/>
      <c r="AT47" s="20"/>
      <c r="AU47" s="20"/>
      <c r="AV47" s="20"/>
      <c r="AW47" s="20"/>
      <c r="AX47" s="20"/>
      <c r="AY47" s="20"/>
      <c r="AZ47" s="20"/>
      <c r="BA47" s="20"/>
      <c r="BB47" s="20"/>
      <c r="BC47" s="20"/>
      <c r="BD47" s="20"/>
      <c r="BE47" s="20"/>
      <c r="BF47" s="20"/>
      <c r="BG47" s="20"/>
      <c r="BH47" s="20"/>
    </row>
    <row r="48" spans="1:60">
      <c r="A48" s="213"/>
      <c r="B48" s="206" t="s">
        <v>417</v>
      </c>
      <c r="C48" s="206" t="s">
        <v>369</v>
      </c>
      <c r="D48" s="206"/>
      <c r="E48" s="206"/>
      <c r="F48" s="206"/>
      <c r="G48" s="206"/>
      <c r="H48" s="206"/>
      <c r="I48" s="206"/>
      <c r="J48" s="206"/>
      <c r="K48" s="206"/>
      <c r="L48" s="206"/>
      <c r="M48" s="206"/>
      <c r="N48" s="206"/>
      <c r="O48" s="206"/>
      <c r="P48" s="168"/>
      <c r="Q48" s="168"/>
      <c r="R48" s="168"/>
      <c r="S48" s="168"/>
      <c r="T48" s="168"/>
      <c r="U48" s="168"/>
      <c r="V48" s="168"/>
      <c r="W48" s="168"/>
      <c r="X48" s="168"/>
      <c r="Y48" s="168"/>
      <c r="Z48" s="201"/>
      <c r="AA48" s="20"/>
      <c r="AB48" s="20"/>
      <c r="AC48" s="20"/>
      <c r="AD48" s="57"/>
      <c r="AE48" s="58"/>
      <c r="AF48" s="58"/>
      <c r="AG48" s="58"/>
      <c r="AH48" s="58"/>
      <c r="AI48" s="58"/>
      <c r="AJ48" s="59" t="s">
        <v>396</v>
      </c>
      <c r="AK48" s="60"/>
      <c r="AL48" s="60"/>
      <c r="AM48" s="60"/>
      <c r="AN48" s="60"/>
      <c r="AO48" s="60"/>
      <c r="AP48" s="60"/>
      <c r="AQ48" s="60"/>
      <c r="AR48" s="61"/>
      <c r="AS48" s="58"/>
      <c r="AT48" s="77"/>
      <c r="AU48" s="20"/>
      <c r="AV48" s="20"/>
      <c r="AW48" s="20"/>
      <c r="AX48" s="20"/>
      <c r="AY48" s="20"/>
      <c r="AZ48" s="20"/>
      <c r="BA48" s="20"/>
      <c r="BB48" s="20"/>
      <c r="BC48" s="20"/>
      <c r="BD48" s="20"/>
      <c r="BE48" s="20"/>
      <c r="BF48" s="20"/>
      <c r="BG48" s="20"/>
      <c r="BH48" s="20"/>
    </row>
    <row r="49" spans="1:60">
      <c r="A49" s="213"/>
      <c r="B49" s="206"/>
      <c r="C49" s="206"/>
      <c r="D49" s="206"/>
      <c r="E49" s="206"/>
      <c r="F49" s="206"/>
      <c r="G49" s="206"/>
      <c r="H49" s="206"/>
      <c r="I49" s="206"/>
      <c r="J49" s="206"/>
      <c r="K49" s="206"/>
      <c r="L49" s="206"/>
      <c r="M49" s="206"/>
      <c r="N49" s="206"/>
      <c r="O49" s="206"/>
      <c r="P49" s="168"/>
      <c r="Q49" s="168"/>
      <c r="R49" s="168"/>
      <c r="S49" s="168"/>
      <c r="T49" s="168"/>
      <c r="U49" s="207"/>
      <c r="V49" s="231"/>
      <c r="W49" s="17"/>
      <c r="X49" s="17"/>
      <c r="Y49" s="168"/>
      <c r="Z49" s="201"/>
      <c r="AA49" s="20"/>
      <c r="AB49" s="20"/>
      <c r="AC49" s="20"/>
      <c r="AD49" s="62"/>
      <c r="AE49" s="28"/>
      <c r="AF49" s="28"/>
      <c r="AG49" s="28"/>
      <c r="AH49" s="28"/>
      <c r="AI49" s="28"/>
      <c r="AJ49" s="28"/>
      <c r="AK49" s="28"/>
      <c r="AL49" s="28"/>
      <c r="AM49" s="28"/>
      <c r="AN49" s="28"/>
      <c r="AO49" s="28"/>
      <c r="AP49" s="28"/>
      <c r="AQ49" s="28"/>
      <c r="AR49" s="28"/>
      <c r="AS49" s="28"/>
      <c r="AT49" s="78"/>
      <c r="AU49" s="20"/>
      <c r="AV49" s="20"/>
      <c r="AW49" s="20"/>
      <c r="AX49" s="20"/>
      <c r="AY49" s="20"/>
      <c r="AZ49" s="20"/>
      <c r="BA49" s="20"/>
      <c r="BB49" s="20"/>
      <c r="BC49" s="20"/>
      <c r="BD49" s="20"/>
      <c r="BE49" s="20"/>
      <c r="BF49" s="20"/>
      <c r="BG49" s="20"/>
      <c r="BH49" s="20"/>
    </row>
    <row r="50" spans="1:60">
      <c r="A50" s="213"/>
      <c r="B50" s="206"/>
      <c r="C50" s="206" t="s">
        <v>418</v>
      </c>
      <c r="D50" s="206" t="s">
        <v>380</v>
      </c>
      <c r="E50" s="206"/>
      <c r="F50" s="206"/>
      <c r="G50" s="206"/>
      <c r="H50" s="206"/>
      <c r="I50" s="206"/>
      <c r="J50" s="206"/>
      <c r="K50" s="206"/>
      <c r="L50" s="206"/>
      <c r="M50" s="206"/>
      <c r="N50" s="206"/>
      <c r="O50" s="206"/>
      <c r="P50" s="168"/>
      <c r="Q50" s="168"/>
      <c r="R50" s="168"/>
      <c r="S50" s="168"/>
      <c r="T50" s="168"/>
      <c r="U50" s="207"/>
      <c r="V50" s="231"/>
      <c r="W50" s="17"/>
      <c r="X50" s="17"/>
      <c r="Y50" s="168"/>
      <c r="Z50" s="201"/>
      <c r="AA50" s="20"/>
      <c r="AB50" s="20"/>
      <c r="AC50" s="20"/>
      <c r="AD50" s="63"/>
      <c r="AE50" s="64"/>
      <c r="AF50" s="65"/>
      <c r="AG50" s="66"/>
      <c r="AH50" s="66"/>
      <c r="AI50" s="66"/>
      <c r="AJ50" s="66"/>
      <c r="AK50" s="66" t="s">
        <v>397</v>
      </c>
      <c r="AL50" s="66"/>
      <c r="AM50" s="66"/>
      <c r="AN50" s="66"/>
      <c r="AO50" s="66"/>
      <c r="AP50" s="66"/>
      <c r="AQ50" s="66"/>
      <c r="AR50" s="66"/>
      <c r="AS50" s="66"/>
      <c r="AT50" s="79"/>
      <c r="AU50" s="20"/>
      <c r="AV50" s="20"/>
      <c r="AW50" s="20"/>
      <c r="AX50" s="20"/>
      <c r="AY50" s="20"/>
      <c r="AZ50" s="20"/>
      <c r="BA50" s="20"/>
      <c r="BB50" s="20"/>
      <c r="BC50" s="20"/>
      <c r="BD50" s="20"/>
      <c r="BE50" s="20"/>
      <c r="BF50" s="20"/>
      <c r="BG50" s="20"/>
      <c r="BH50" s="20"/>
    </row>
    <row r="51" spans="1:60">
      <c r="A51" s="213"/>
      <c r="B51" s="206"/>
      <c r="C51" s="206"/>
      <c r="D51" s="206"/>
      <c r="E51" s="206"/>
      <c r="F51" s="206"/>
      <c r="G51" s="206"/>
      <c r="H51" s="206"/>
      <c r="I51" s="206"/>
      <c r="J51" s="206"/>
      <c r="K51" s="206"/>
      <c r="L51" s="206"/>
      <c r="M51" s="206"/>
      <c r="N51" s="206"/>
      <c r="O51" s="206"/>
      <c r="P51" s="168"/>
      <c r="Q51" s="168"/>
      <c r="R51" s="168"/>
      <c r="S51" s="168"/>
      <c r="T51" s="168"/>
      <c r="U51" s="207"/>
      <c r="V51" s="231"/>
      <c r="W51" s="17"/>
      <c r="X51" s="17"/>
      <c r="Y51" s="168"/>
      <c r="Z51" s="201"/>
      <c r="AA51" s="20"/>
      <c r="AB51" s="20"/>
      <c r="AC51" s="20"/>
      <c r="AD51" s="62"/>
      <c r="AE51" s="67"/>
      <c r="AF51" s="68"/>
      <c r="AG51" s="69"/>
      <c r="AH51" s="69"/>
      <c r="AI51" s="69"/>
      <c r="AJ51" s="69"/>
      <c r="AK51" s="69"/>
      <c r="AL51" s="69"/>
      <c r="AM51" s="69"/>
      <c r="AN51" s="69"/>
      <c r="AO51" s="69"/>
      <c r="AP51" s="69"/>
      <c r="AQ51" s="69"/>
      <c r="AR51" s="69"/>
      <c r="AS51" s="69"/>
      <c r="AT51" s="80"/>
      <c r="AU51" s="20"/>
      <c r="AV51" s="20"/>
      <c r="AW51" s="20"/>
      <c r="AX51" s="20"/>
      <c r="AY51" s="20"/>
      <c r="AZ51" s="20"/>
      <c r="BA51" s="20"/>
      <c r="BB51" s="20"/>
      <c r="BC51" s="20"/>
      <c r="BD51" s="20"/>
      <c r="BE51" s="20"/>
      <c r="BF51" s="20"/>
      <c r="BG51" s="20"/>
      <c r="BH51" s="20"/>
    </row>
    <row r="52" spans="1:60">
      <c r="A52" s="213"/>
      <c r="B52" s="206"/>
      <c r="C52" s="206" t="s">
        <v>419</v>
      </c>
      <c r="D52" s="206" t="s">
        <v>370</v>
      </c>
      <c r="E52" s="206"/>
      <c r="F52" s="206"/>
      <c r="G52" s="168"/>
      <c r="H52" s="168"/>
      <c r="I52" s="206"/>
      <c r="J52" s="206"/>
      <c r="K52" s="206"/>
      <c r="L52" s="206"/>
      <c r="M52" s="206"/>
      <c r="N52" s="206"/>
      <c r="O52" s="206"/>
      <c r="P52" s="365">
        <f>SUM(U49:X60)</f>
        <v>0</v>
      </c>
      <c r="Q52" s="365"/>
      <c r="R52" s="168"/>
      <c r="S52" s="168"/>
      <c r="T52" s="168"/>
      <c r="U52" s="207"/>
      <c r="V52" s="231"/>
      <c r="W52" s="17"/>
      <c r="X52" s="17"/>
      <c r="Y52" s="168"/>
      <c r="Z52" s="201"/>
      <c r="AA52" s="20"/>
      <c r="AB52" s="20"/>
      <c r="AC52" s="20"/>
      <c r="AD52" s="387" t="s">
        <v>398</v>
      </c>
      <c r="AE52" s="67"/>
      <c r="AF52" s="65"/>
      <c r="AG52" s="66" t="s">
        <v>399</v>
      </c>
      <c r="AH52" s="66" t="s">
        <v>399</v>
      </c>
      <c r="AI52" s="66" t="s">
        <v>399</v>
      </c>
      <c r="AJ52" s="66" t="s">
        <v>399</v>
      </c>
      <c r="AK52" s="66" t="s">
        <v>399</v>
      </c>
      <c r="AL52" s="66" t="s">
        <v>399</v>
      </c>
      <c r="AM52" s="66" t="s">
        <v>399</v>
      </c>
      <c r="AN52" s="66" t="s">
        <v>399</v>
      </c>
      <c r="AO52" s="66" t="s">
        <v>399</v>
      </c>
      <c r="AP52" s="66" t="s">
        <v>399</v>
      </c>
      <c r="AQ52" s="66" t="s">
        <v>399</v>
      </c>
      <c r="AR52" s="66" t="s">
        <v>399</v>
      </c>
      <c r="AS52" s="66" t="s">
        <v>399</v>
      </c>
      <c r="AT52" s="79" t="s">
        <v>399</v>
      </c>
      <c r="AU52" s="20"/>
      <c r="AV52" s="20"/>
      <c r="AW52" s="20"/>
      <c r="AX52" s="20"/>
      <c r="AY52" s="20"/>
      <c r="AZ52" s="20"/>
      <c r="BA52" s="20"/>
      <c r="BB52" s="20"/>
      <c r="BC52" s="20"/>
      <c r="BD52" s="20"/>
      <c r="BE52" s="20"/>
      <c r="BF52" s="20"/>
      <c r="BG52" s="20"/>
      <c r="BH52" s="20"/>
    </row>
    <row r="53" spans="1:60">
      <c r="A53" s="213"/>
      <c r="B53" s="206"/>
      <c r="C53" s="206"/>
      <c r="D53" s="206"/>
      <c r="E53" s="206"/>
      <c r="F53" s="206"/>
      <c r="G53" s="168"/>
      <c r="H53" s="168"/>
      <c r="I53" s="206"/>
      <c r="J53" s="206"/>
      <c r="K53" s="206"/>
      <c r="L53" s="206"/>
      <c r="M53" s="206"/>
      <c r="N53" s="206"/>
      <c r="O53" s="206"/>
      <c r="P53" s="168"/>
      <c r="Q53" s="168"/>
      <c r="R53" s="168"/>
      <c r="S53" s="168"/>
      <c r="T53" s="168"/>
      <c r="U53" s="207"/>
      <c r="V53" s="231"/>
      <c r="W53" s="17"/>
      <c r="X53" s="17"/>
      <c r="Y53" s="168"/>
      <c r="Z53" s="201"/>
      <c r="AA53" s="20"/>
      <c r="AB53" s="20"/>
      <c r="AC53" s="20"/>
      <c r="AD53" s="387"/>
      <c r="AE53" s="67"/>
      <c r="AF53" s="70"/>
      <c r="AG53" s="28"/>
      <c r="AH53" s="28"/>
      <c r="AI53" s="28"/>
      <c r="AJ53" s="28"/>
      <c r="AK53" s="28"/>
      <c r="AL53" s="28"/>
      <c r="AM53" s="28"/>
      <c r="AN53" s="28"/>
      <c r="AO53" s="28"/>
      <c r="AP53" s="28"/>
      <c r="AQ53" s="28"/>
      <c r="AR53" s="28"/>
      <c r="AS53" s="28"/>
      <c r="AT53" s="78"/>
      <c r="AU53" s="20"/>
      <c r="AV53" s="20"/>
      <c r="AW53" s="20"/>
      <c r="AX53" s="20"/>
      <c r="AY53" s="20"/>
      <c r="AZ53" s="20"/>
      <c r="BA53" s="20"/>
      <c r="BB53" s="20"/>
      <c r="BC53" s="20"/>
      <c r="BD53" s="20"/>
      <c r="BE53" s="20"/>
      <c r="BF53" s="20"/>
      <c r="BG53" s="20"/>
      <c r="BH53" s="20"/>
    </row>
    <row r="54" spans="1:60">
      <c r="A54" s="213"/>
      <c r="B54" s="206"/>
      <c r="C54" s="206" t="s">
        <v>420</v>
      </c>
      <c r="D54" s="206" t="s">
        <v>371</v>
      </c>
      <c r="E54" s="206"/>
      <c r="F54" s="206"/>
      <c r="G54" s="168"/>
      <c r="H54" s="168"/>
      <c r="I54" s="206"/>
      <c r="J54" s="206"/>
      <c r="K54" s="206"/>
      <c r="L54" s="206"/>
      <c r="M54" s="206"/>
      <c r="N54" s="206"/>
      <c r="O54" s="206"/>
      <c r="P54" s="365">
        <f>COUNT(U49:X60)</f>
        <v>0</v>
      </c>
      <c r="Q54" s="365"/>
      <c r="R54" s="168"/>
      <c r="S54" s="168"/>
      <c r="T54" s="168"/>
      <c r="U54" s="207"/>
      <c r="V54" s="231"/>
      <c r="W54" s="17"/>
      <c r="X54" s="17"/>
      <c r="Y54" s="168"/>
      <c r="Z54" s="201"/>
      <c r="AA54" s="20"/>
      <c r="AB54" s="20"/>
      <c r="AC54" s="20"/>
      <c r="AD54" s="387"/>
      <c r="AE54" s="67"/>
      <c r="AF54" s="70"/>
      <c r="AG54" s="28" t="s">
        <v>400</v>
      </c>
      <c r="AH54" s="28" t="s">
        <v>401</v>
      </c>
      <c r="AI54" s="28" t="s">
        <v>402</v>
      </c>
      <c r="AJ54" s="28" t="s">
        <v>403</v>
      </c>
      <c r="AK54" s="28" t="s">
        <v>404</v>
      </c>
      <c r="AL54" s="28" t="s">
        <v>405</v>
      </c>
      <c r="AM54" s="28" t="s">
        <v>406</v>
      </c>
      <c r="AN54" s="28" t="s">
        <v>407</v>
      </c>
      <c r="AO54" s="28" t="s">
        <v>408</v>
      </c>
      <c r="AP54" s="28" t="s">
        <v>409</v>
      </c>
      <c r="AQ54" s="28" t="s">
        <v>410</v>
      </c>
      <c r="AR54" s="28" t="s">
        <v>411</v>
      </c>
      <c r="AS54" s="28" t="s">
        <v>412</v>
      </c>
      <c r="AT54" s="78" t="s">
        <v>413</v>
      </c>
      <c r="AU54" s="20"/>
      <c r="AV54" s="20"/>
      <c r="AW54" s="20"/>
      <c r="AX54" s="20"/>
      <c r="AY54" s="20"/>
      <c r="AZ54" s="20"/>
      <c r="BA54" s="20"/>
      <c r="BB54" s="20"/>
      <c r="BC54" s="20"/>
      <c r="BD54" s="20"/>
      <c r="BE54" s="20"/>
      <c r="BF54" s="20"/>
      <c r="BG54" s="20"/>
      <c r="BH54" s="20"/>
    </row>
    <row r="55" spans="1:60">
      <c r="A55" s="195"/>
      <c r="B55" s="170"/>
      <c r="C55" s="170"/>
      <c r="D55" s="170"/>
      <c r="E55" s="170"/>
      <c r="F55" s="170"/>
      <c r="G55" s="170"/>
      <c r="H55" s="170"/>
      <c r="I55" s="170"/>
      <c r="J55" s="206"/>
      <c r="K55" s="206"/>
      <c r="L55" s="206"/>
      <c r="M55" s="206"/>
      <c r="N55" s="206"/>
      <c r="O55" s="206"/>
      <c r="P55" s="168"/>
      <c r="Q55" s="168"/>
      <c r="R55" s="168"/>
      <c r="S55" s="168"/>
      <c r="T55" s="168"/>
      <c r="U55" s="207"/>
      <c r="V55" s="231"/>
      <c r="W55" s="17"/>
      <c r="X55" s="17"/>
      <c r="Y55" s="168"/>
      <c r="Z55" s="201"/>
      <c r="AA55" s="20"/>
      <c r="AB55" s="20"/>
      <c r="AC55" s="20"/>
      <c r="AD55" s="387"/>
      <c r="AE55" s="67"/>
      <c r="AF55" s="70"/>
      <c r="AG55" s="28"/>
      <c r="AH55" s="28"/>
      <c r="AI55" s="28"/>
      <c r="AJ55" s="28"/>
      <c r="AK55" s="28"/>
      <c r="AL55" s="28"/>
      <c r="AM55" s="28"/>
      <c r="AN55" s="28"/>
      <c r="AO55" s="28"/>
      <c r="AP55" s="28"/>
      <c r="AQ55" s="28"/>
      <c r="AR55" s="28"/>
      <c r="AS55" s="28"/>
      <c r="AT55" s="78"/>
      <c r="AU55" s="20"/>
      <c r="AV55" s="20"/>
      <c r="AW55" s="20"/>
      <c r="AX55" s="20"/>
      <c r="AY55" s="20"/>
      <c r="AZ55" s="20"/>
      <c r="BA55" s="20"/>
      <c r="BB55" s="20"/>
      <c r="BC55" s="20"/>
      <c r="BD55" s="20"/>
      <c r="BE55" s="20"/>
      <c r="BF55" s="20"/>
      <c r="BG55" s="20"/>
      <c r="BH55" s="20"/>
    </row>
    <row r="56" spans="1:60">
      <c r="A56" s="195"/>
      <c r="B56" s="170"/>
      <c r="C56" s="170" t="s">
        <v>421</v>
      </c>
      <c r="D56" s="170" t="s">
        <v>372</v>
      </c>
      <c r="E56" s="170"/>
      <c r="F56" s="170"/>
      <c r="G56" s="170"/>
      <c r="H56" s="170"/>
      <c r="I56" s="170"/>
      <c r="J56" s="206"/>
      <c r="K56" s="206"/>
      <c r="L56" s="206"/>
      <c r="M56" s="206"/>
      <c r="N56" s="206"/>
      <c r="O56" s="206"/>
      <c r="P56" s="312" t="str">
        <f>IF(P54=0,"0",P52/P54)</f>
        <v>0</v>
      </c>
      <c r="Q56" s="312"/>
      <c r="R56" s="168"/>
      <c r="S56" s="168"/>
      <c r="T56" s="168"/>
      <c r="U56" s="207"/>
      <c r="V56" s="231"/>
      <c r="W56" s="17"/>
      <c r="X56" s="17"/>
      <c r="Y56" s="168"/>
      <c r="Z56" s="201"/>
      <c r="AA56" s="20"/>
      <c r="AB56" s="20"/>
      <c r="AC56" s="20"/>
      <c r="AD56" s="387"/>
      <c r="AE56" s="67"/>
      <c r="AF56" s="70" t="s">
        <v>414</v>
      </c>
      <c r="AG56" s="75">
        <v>0.4</v>
      </c>
      <c r="AH56" s="75">
        <v>0.3</v>
      </c>
      <c r="AI56" s="75">
        <v>0.3</v>
      </c>
      <c r="AJ56" s="75">
        <v>0.2</v>
      </c>
      <c r="AK56" s="75">
        <v>0.2</v>
      </c>
      <c r="AL56" s="75">
        <v>0.2</v>
      </c>
      <c r="AM56" s="75">
        <v>0.2</v>
      </c>
      <c r="AN56" s="75">
        <v>0.1</v>
      </c>
      <c r="AO56" s="75">
        <v>0.1</v>
      </c>
      <c r="AP56" s="75">
        <v>0.1</v>
      </c>
      <c r="AQ56" s="75">
        <v>0.1</v>
      </c>
      <c r="AR56" s="75">
        <v>0.1</v>
      </c>
      <c r="AS56" s="75">
        <v>0.1</v>
      </c>
      <c r="AT56" s="81">
        <v>0.1</v>
      </c>
      <c r="AU56" s="20"/>
      <c r="AV56" s="20"/>
      <c r="AW56" s="20"/>
      <c r="AX56" s="20"/>
      <c r="AY56" s="20"/>
      <c r="AZ56" s="20"/>
      <c r="BA56" s="20"/>
      <c r="BB56" s="20"/>
      <c r="BC56" s="20"/>
      <c r="BD56" s="20"/>
      <c r="BE56" s="20"/>
      <c r="BF56" s="20"/>
      <c r="BG56" s="20"/>
      <c r="BH56" s="20"/>
    </row>
    <row r="57" spans="1:60">
      <c r="A57" s="195"/>
      <c r="B57" s="170"/>
      <c r="C57" s="170"/>
      <c r="D57" s="170"/>
      <c r="E57" s="170"/>
      <c r="F57" s="170"/>
      <c r="G57" s="170"/>
      <c r="H57" s="170"/>
      <c r="I57" s="170"/>
      <c r="J57" s="206"/>
      <c r="K57" s="206"/>
      <c r="L57" s="206"/>
      <c r="M57" s="206"/>
      <c r="N57" s="206"/>
      <c r="O57" s="206"/>
      <c r="P57" s="168"/>
      <c r="Q57" s="168"/>
      <c r="R57" s="168"/>
      <c r="S57" s="168"/>
      <c r="T57" s="168"/>
      <c r="U57" s="207"/>
      <c r="V57" s="231"/>
      <c r="W57" s="17"/>
      <c r="X57" s="17"/>
      <c r="Y57" s="168"/>
      <c r="Z57" s="201"/>
      <c r="AA57" s="20"/>
      <c r="AB57" s="20"/>
      <c r="AC57" s="20"/>
      <c r="AD57" s="387"/>
      <c r="AE57" s="67"/>
      <c r="AF57" s="70" t="s">
        <v>415</v>
      </c>
      <c r="AG57" s="75">
        <v>0.7</v>
      </c>
      <c r="AH57" s="75">
        <v>0.6</v>
      </c>
      <c r="AI57" s="75">
        <v>0.5</v>
      </c>
      <c r="AJ57" s="75">
        <v>0.4</v>
      </c>
      <c r="AK57" s="75">
        <v>0.4</v>
      </c>
      <c r="AL57" s="75">
        <v>0.3</v>
      </c>
      <c r="AM57" s="75">
        <v>0.3</v>
      </c>
      <c r="AN57" s="75">
        <v>0.3</v>
      </c>
      <c r="AO57" s="75">
        <v>0.3</v>
      </c>
      <c r="AP57" s="75">
        <v>0.2</v>
      </c>
      <c r="AQ57" s="75">
        <v>0.2</v>
      </c>
      <c r="AR57" s="75">
        <v>0.2</v>
      </c>
      <c r="AS57" s="75">
        <v>0.2</v>
      </c>
      <c r="AT57" s="81">
        <v>0.2</v>
      </c>
      <c r="AU57" s="20"/>
      <c r="AV57" s="20"/>
      <c r="AW57" s="20"/>
      <c r="AX57" s="20"/>
      <c r="AY57" s="20"/>
      <c r="AZ57" s="20"/>
      <c r="BA57" s="20"/>
      <c r="BB57" s="20"/>
      <c r="BC57" s="20"/>
      <c r="BD57" s="20"/>
      <c r="BE57" s="20"/>
      <c r="BF57" s="20"/>
      <c r="BG57" s="20"/>
      <c r="BH57" s="20"/>
    </row>
    <row r="58" spans="1:60">
      <c r="A58" s="195"/>
      <c r="B58" s="170"/>
      <c r="C58" s="170" t="s">
        <v>422</v>
      </c>
      <c r="D58" s="170" t="s">
        <v>373</v>
      </c>
      <c r="E58" s="170"/>
      <c r="F58" s="170"/>
      <c r="G58" s="170"/>
      <c r="H58" s="170"/>
      <c r="I58" s="170"/>
      <c r="J58" s="206"/>
      <c r="K58" s="206"/>
      <c r="L58" s="206"/>
      <c r="M58" s="206"/>
      <c r="N58" s="206"/>
      <c r="O58" s="206"/>
      <c r="P58" s="168"/>
      <c r="Q58" s="168"/>
      <c r="R58" s="168"/>
      <c r="S58" s="168"/>
      <c r="T58" s="168"/>
      <c r="U58" s="207"/>
      <c r="V58" s="231"/>
      <c r="W58" s="17"/>
      <c r="X58" s="17"/>
      <c r="Y58" s="168"/>
      <c r="Z58" s="201"/>
      <c r="AA58" s="20"/>
      <c r="AB58" s="20"/>
      <c r="AC58" s="20"/>
      <c r="AD58" s="387"/>
      <c r="AE58" s="67"/>
      <c r="AF58" s="70" t="s">
        <v>416</v>
      </c>
      <c r="AG58" s="75">
        <v>0.9</v>
      </c>
      <c r="AH58" s="75">
        <v>0.8</v>
      </c>
      <c r="AI58" s="75">
        <v>0.7</v>
      </c>
      <c r="AJ58" s="75">
        <v>0.6</v>
      </c>
      <c r="AK58" s="75">
        <v>0.6</v>
      </c>
      <c r="AL58" s="75">
        <v>0.5</v>
      </c>
      <c r="AM58" s="75">
        <v>0.5</v>
      </c>
      <c r="AN58" s="75">
        <v>0.4</v>
      </c>
      <c r="AO58" s="75">
        <v>0.4</v>
      </c>
      <c r="AP58" s="75">
        <v>0.4</v>
      </c>
      <c r="AQ58" s="75">
        <v>0.3</v>
      </c>
      <c r="AR58" s="75">
        <v>0.3</v>
      </c>
      <c r="AS58" s="75">
        <v>0.3</v>
      </c>
      <c r="AT58" s="81">
        <v>0.3</v>
      </c>
      <c r="AU58" s="20"/>
      <c r="AV58" s="20"/>
      <c r="AW58" s="20"/>
      <c r="AX58" s="20"/>
      <c r="AY58" s="20"/>
      <c r="AZ58" s="20"/>
      <c r="BA58" s="20"/>
      <c r="BB58" s="20"/>
      <c r="BC58" s="20"/>
      <c r="BD58" s="20"/>
      <c r="BE58" s="20"/>
      <c r="BF58" s="20"/>
      <c r="BG58" s="20"/>
      <c r="BH58" s="20"/>
    </row>
    <row r="59" spans="1:60">
      <c r="A59" s="195"/>
      <c r="B59" s="170"/>
      <c r="C59" s="170"/>
      <c r="D59" s="170"/>
      <c r="E59" s="170"/>
      <c r="F59" s="170"/>
      <c r="G59" s="170"/>
      <c r="H59" s="170"/>
      <c r="I59" s="170"/>
      <c r="J59" s="206"/>
      <c r="K59" s="206"/>
      <c r="L59" s="206"/>
      <c r="M59" s="206"/>
      <c r="N59" s="206"/>
      <c r="O59" s="206"/>
      <c r="P59" s="168"/>
      <c r="Q59" s="168"/>
      <c r="R59" s="168"/>
      <c r="S59" s="168"/>
      <c r="T59" s="168"/>
      <c r="U59" s="207"/>
      <c r="V59" s="231"/>
      <c r="W59" s="17"/>
      <c r="X59" s="17"/>
      <c r="Y59" s="168"/>
      <c r="Z59" s="201"/>
      <c r="AA59" s="20"/>
      <c r="AB59" s="20"/>
      <c r="AC59" s="20"/>
      <c r="AD59" s="387"/>
      <c r="AE59" s="67"/>
      <c r="AF59" s="70" t="s">
        <v>400</v>
      </c>
      <c r="AG59" s="75">
        <v>1</v>
      </c>
      <c r="AH59" s="75">
        <v>1</v>
      </c>
      <c r="AI59" s="75">
        <v>0.9</v>
      </c>
      <c r="AJ59" s="75">
        <v>0.8</v>
      </c>
      <c r="AK59" s="75">
        <v>0.7</v>
      </c>
      <c r="AL59" s="75">
        <v>0.6</v>
      </c>
      <c r="AM59" s="75">
        <v>0.6</v>
      </c>
      <c r="AN59" s="75">
        <v>0.5</v>
      </c>
      <c r="AO59" s="75">
        <v>0.5</v>
      </c>
      <c r="AP59" s="75">
        <v>0.5</v>
      </c>
      <c r="AQ59" s="75">
        <v>0.4</v>
      </c>
      <c r="AR59" s="75">
        <v>0.4</v>
      </c>
      <c r="AS59" s="75">
        <v>0.4</v>
      </c>
      <c r="AT59" s="81">
        <v>0.4</v>
      </c>
      <c r="AU59" s="20"/>
      <c r="AV59" s="20"/>
      <c r="AW59" s="20"/>
      <c r="AX59" s="20"/>
      <c r="AY59" s="20"/>
      <c r="AZ59" s="20"/>
      <c r="BA59" s="20"/>
      <c r="BB59" s="20"/>
      <c r="BC59" s="20"/>
      <c r="BD59" s="20"/>
      <c r="BE59" s="20"/>
      <c r="BF59" s="20"/>
      <c r="BG59" s="20"/>
      <c r="BH59" s="20"/>
    </row>
    <row r="60" spans="1:60">
      <c r="A60" s="235"/>
      <c r="B60" s="184"/>
      <c r="C60" s="170" t="s">
        <v>423</v>
      </c>
      <c r="D60" s="170" t="s">
        <v>374</v>
      </c>
      <c r="E60" s="170"/>
      <c r="F60" s="170"/>
      <c r="G60" s="170"/>
      <c r="H60" s="170"/>
      <c r="I60" s="170"/>
      <c r="J60" s="206"/>
      <c r="K60" s="206"/>
      <c r="L60" s="206"/>
      <c r="M60" s="206"/>
      <c r="N60" s="206"/>
      <c r="O60" s="206"/>
      <c r="P60" s="312">
        <f>Q16</f>
        <v>0</v>
      </c>
      <c r="Q60" s="312"/>
      <c r="R60" s="170" t="s">
        <v>30</v>
      </c>
      <c r="S60" s="206"/>
      <c r="T60" s="168"/>
      <c r="U60" s="207"/>
      <c r="V60" s="231"/>
      <c r="W60" s="17"/>
      <c r="X60" s="17"/>
      <c r="Y60" s="168"/>
      <c r="Z60" s="201"/>
      <c r="AA60" s="20"/>
      <c r="AB60" s="20"/>
      <c r="AC60" s="20"/>
      <c r="AD60" s="387"/>
      <c r="AE60" s="67"/>
      <c r="AF60" s="70" t="s">
        <v>401</v>
      </c>
      <c r="AG60" s="75" t="s">
        <v>84</v>
      </c>
      <c r="AH60" s="75">
        <v>1</v>
      </c>
      <c r="AI60" s="75">
        <v>1</v>
      </c>
      <c r="AJ60" s="75">
        <v>0.9</v>
      </c>
      <c r="AK60" s="75">
        <v>0.8</v>
      </c>
      <c r="AL60" s="75">
        <v>0.8</v>
      </c>
      <c r="AM60" s="75">
        <v>0.7</v>
      </c>
      <c r="AN60" s="75">
        <v>0.7</v>
      </c>
      <c r="AO60" s="75">
        <v>0.6</v>
      </c>
      <c r="AP60" s="75">
        <v>0.6</v>
      </c>
      <c r="AQ60" s="75">
        <v>0.5</v>
      </c>
      <c r="AR60" s="75">
        <v>0.5</v>
      </c>
      <c r="AS60" s="75">
        <v>0.5</v>
      </c>
      <c r="AT60" s="81">
        <v>0.4</v>
      </c>
      <c r="AU60" s="20"/>
      <c r="AV60" s="20"/>
      <c r="AW60" s="20"/>
      <c r="AX60" s="20"/>
      <c r="AY60" s="20"/>
      <c r="AZ60" s="20"/>
      <c r="BA60" s="20"/>
      <c r="BB60" s="20"/>
      <c r="BC60" s="20"/>
      <c r="BD60" s="20"/>
      <c r="BE60" s="20"/>
      <c r="BF60" s="20"/>
      <c r="BG60" s="20"/>
      <c r="BH60" s="20"/>
    </row>
    <row r="61" spans="1:60">
      <c r="A61" s="195"/>
      <c r="B61" s="170"/>
      <c r="C61" s="170"/>
      <c r="D61" s="170"/>
      <c r="E61" s="170"/>
      <c r="F61" s="170"/>
      <c r="G61" s="170"/>
      <c r="H61" s="170"/>
      <c r="I61" s="170"/>
      <c r="J61" s="206"/>
      <c r="K61" s="206"/>
      <c r="L61" s="206"/>
      <c r="M61" s="206"/>
      <c r="N61" s="206"/>
      <c r="O61" s="206"/>
      <c r="P61" s="168"/>
      <c r="Q61" s="168"/>
      <c r="R61" s="168"/>
      <c r="S61" s="168"/>
      <c r="T61" s="168"/>
      <c r="U61" s="168"/>
      <c r="V61" s="168"/>
      <c r="W61" s="168"/>
      <c r="X61" s="168"/>
      <c r="Y61" s="168"/>
      <c r="Z61" s="201"/>
      <c r="AA61" s="20"/>
      <c r="AB61" s="20"/>
      <c r="AC61" s="20"/>
      <c r="AD61" s="387"/>
      <c r="AE61" s="67"/>
      <c r="AF61" s="70" t="s">
        <v>402</v>
      </c>
      <c r="AG61" s="75" t="s">
        <v>84</v>
      </c>
      <c r="AH61" s="75" t="s">
        <v>84</v>
      </c>
      <c r="AI61" s="75">
        <v>1</v>
      </c>
      <c r="AJ61" s="75">
        <v>1</v>
      </c>
      <c r="AK61" s="75">
        <v>0.9</v>
      </c>
      <c r="AL61" s="75">
        <v>0.9</v>
      </c>
      <c r="AM61" s="75">
        <v>0.8</v>
      </c>
      <c r="AN61" s="75">
        <v>0.8</v>
      </c>
      <c r="AO61" s="75">
        <v>0.7</v>
      </c>
      <c r="AP61" s="75">
        <v>0.7</v>
      </c>
      <c r="AQ61" s="75">
        <v>0.6</v>
      </c>
      <c r="AR61" s="75">
        <v>0.6</v>
      </c>
      <c r="AS61" s="75">
        <v>0.6</v>
      </c>
      <c r="AT61" s="81">
        <v>0.5</v>
      </c>
      <c r="AU61" s="20"/>
      <c r="AV61" s="20"/>
      <c r="AW61" s="20"/>
      <c r="AX61" s="20"/>
      <c r="AY61" s="20"/>
      <c r="AZ61" s="20"/>
      <c r="BA61" s="20"/>
      <c r="BB61" s="20"/>
      <c r="BC61" s="20"/>
      <c r="BD61" s="20"/>
      <c r="BE61" s="20"/>
      <c r="BF61" s="20"/>
      <c r="BG61" s="20"/>
      <c r="BH61" s="20"/>
    </row>
    <row r="62" spans="1:60">
      <c r="A62" s="195"/>
      <c r="B62" s="170"/>
      <c r="C62" s="170" t="s">
        <v>424</v>
      </c>
      <c r="D62" s="170" t="s">
        <v>375</v>
      </c>
      <c r="E62" s="170"/>
      <c r="F62" s="170"/>
      <c r="G62" s="170"/>
      <c r="H62" s="170"/>
      <c r="I62" s="170"/>
      <c r="J62" s="206"/>
      <c r="K62" s="206"/>
      <c r="L62" s="206"/>
      <c r="M62" s="206"/>
      <c r="N62" s="206"/>
      <c r="O62" s="206"/>
      <c r="P62" s="312">
        <f>P60*P56</f>
        <v>0</v>
      </c>
      <c r="Q62" s="312"/>
      <c r="R62" s="170" t="s">
        <v>30</v>
      </c>
      <c r="S62" s="168"/>
      <c r="T62" s="168"/>
      <c r="U62" s="168"/>
      <c r="V62" s="168"/>
      <c r="W62" s="168"/>
      <c r="X62" s="168"/>
      <c r="Y62" s="168"/>
      <c r="Z62" s="201"/>
      <c r="AA62" s="20"/>
      <c r="AB62" s="20"/>
      <c r="AC62" s="20"/>
      <c r="AD62" s="387"/>
      <c r="AE62" s="67"/>
      <c r="AF62" s="70" t="s">
        <v>403</v>
      </c>
      <c r="AG62" s="75" t="s">
        <v>84</v>
      </c>
      <c r="AH62" s="75" t="s">
        <v>84</v>
      </c>
      <c r="AI62" s="75" t="s">
        <v>84</v>
      </c>
      <c r="AJ62" s="75">
        <v>1</v>
      </c>
      <c r="AK62" s="75">
        <v>1</v>
      </c>
      <c r="AL62" s="75">
        <v>0.9</v>
      </c>
      <c r="AM62" s="75">
        <v>0.9</v>
      </c>
      <c r="AN62" s="75">
        <v>0.8</v>
      </c>
      <c r="AO62" s="75">
        <v>0.8</v>
      </c>
      <c r="AP62" s="75">
        <v>0.7</v>
      </c>
      <c r="AQ62" s="75">
        <v>0.7</v>
      </c>
      <c r="AR62" s="75">
        <v>0.7</v>
      </c>
      <c r="AS62" s="75">
        <v>0.6</v>
      </c>
      <c r="AT62" s="81">
        <v>0.6</v>
      </c>
      <c r="AU62" s="20"/>
      <c r="AV62" s="20"/>
      <c r="AW62" s="20"/>
      <c r="AX62" s="20"/>
      <c r="AY62" s="20"/>
      <c r="AZ62" s="20"/>
      <c r="BA62" s="20"/>
      <c r="BB62" s="20"/>
      <c r="BC62" s="20"/>
      <c r="BD62" s="20"/>
      <c r="BE62" s="20"/>
      <c r="BF62" s="20"/>
      <c r="BG62" s="20"/>
      <c r="BH62" s="20"/>
    </row>
    <row r="63" spans="1:60">
      <c r="A63" s="195"/>
      <c r="B63" s="170"/>
      <c r="C63" s="170"/>
      <c r="D63" s="170"/>
      <c r="E63" s="170"/>
      <c r="F63" s="170"/>
      <c r="G63" s="170"/>
      <c r="H63" s="170"/>
      <c r="I63" s="170"/>
      <c r="J63" s="170"/>
      <c r="K63" s="170"/>
      <c r="L63" s="170"/>
      <c r="M63" s="170"/>
      <c r="N63" s="170"/>
      <c r="O63" s="170"/>
      <c r="P63" s="168"/>
      <c r="Q63" s="168"/>
      <c r="R63" s="168"/>
      <c r="S63" s="168"/>
      <c r="T63" s="168"/>
      <c r="U63" s="168"/>
      <c r="V63" s="168"/>
      <c r="W63" s="168"/>
      <c r="X63" s="168"/>
      <c r="Y63" s="168"/>
      <c r="Z63" s="201"/>
      <c r="AA63" s="20"/>
      <c r="AB63" s="20"/>
      <c r="AC63" s="20"/>
      <c r="AD63" s="387"/>
      <c r="AE63" s="67"/>
      <c r="AF63" s="70" t="s">
        <v>404</v>
      </c>
      <c r="AG63" s="75" t="s">
        <v>84</v>
      </c>
      <c r="AH63" s="75" t="s">
        <v>84</v>
      </c>
      <c r="AI63" s="75" t="s">
        <v>84</v>
      </c>
      <c r="AJ63" s="75" t="s">
        <v>84</v>
      </c>
      <c r="AK63" s="75">
        <v>1</v>
      </c>
      <c r="AL63" s="75">
        <v>1</v>
      </c>
      <c r="AM63" s="75">
        <v>1</v>
      </c>
      <c r="AN63" s="75">
        <v>0.9</v>
      </c>
      <c r="AO63" s="75">
        <v>0.9</v>
      </c>
      <c r="AP63" s="75">
        <v>0.8</v>
      </c>
      <c r="AQ63" s="75">
        <v>0.8</v>
      </c>
      <c r="AR63" s="75">
        <v>0.7</v>
      </c>
      <c r="AS63" s="75">
        <v>0.7</v>
      </c>
      <c r="AT63" s="81">
        <v>0.7</v>
      </c>
      <c r="AU63" s="20"/>
      <c r="AV63" s="20"/>
      <c r="AW63" s="20"/>
      <c r="AX63" s="20"/>
      <c r="AY63" s="20"/>
      <c r="AZ63" s="20"/>
      <c r="BA63" s="20"/>
      <c r="BB63" s="20"/>
      <c r="BC63" s="20"/>
      <c r="BD63" s="20"/>
      <c r="BE63" s="20"/>
      <c r="BF63" s="20"/>
      <c r="BG63" s="20"/>
      <c r="BH63" s="20"/>
    </row>
    <row r="64" spans="1:60">
      <c r="A64" s="195"/>
      <c r="B64" s="170"/>
      <c r="C64" s="170" t="s">
        <v>425</v>
      </c>
      <c r="D64" s="170" t="s">
        <v>377</v>
      </c>
      <c r="E64" s="170"/>
      <c r="F64" s="170"/>
      <c r="G64" s="170"/>
      <c r="H64" s="170"/>
      <c r="I64" s="170"/>
      <c r="J64" s="170"/>
      <c r="K64" s="170"/>
      <c r="L64" s="170"/>
      <c r="M64" s="170"/>
      <c r="N64" s="170"/>
      <c r="O64" s="170"/>
      <c r="P64" s="305"/>
      <c r="Q64" s="305"/>
      <c r="R64" s="170" t="s">
        <v>163</v>
      </c>
      <c r="S64" s="168"/>
      <c r="T64" s="168"/>
      <c r="U64" s="168"/>
      <c r="V64" s="168"/>
      <c r="W64" s="168"/>
      <c r="X64" s="168"/>
      <c r="Y64" s="168"/>
      <c r="Z64" s="201"/>
      <c r="AA64" s="20"/>
      <c r="AB64" s="20"/>
      <c r="AC64" s="20"/>
      <c r="AD64" s="387"/>
      <c r="AE64" s="67"/>
      <c r="AF64" s="70" t="s">
        <v>405</v>
      </c>
      <c r="AG64" s="75" t="s">
        <v>84</v>
      </c>
      <c r="AH64" s="75" t="s">
        <v>84</v>
      </c>
      <c r="AI64" s="75" t="s">
        <v>84</v>
      </c>
      <c r="AJ64" s="75" t="s">
        <v>84</v>
      </c>
      <c r="AK64" s="75" t="s">
        <v>84</v>
      </c>
      <c r="AL64" s="75">
        <v>1</v>
      </c>
      <c r="AM64" s="75">
        <v>1</v>
      </c>
      <c r="AN64" s="75">
        <v>1</v>
      </c>
      <c r="AO64" s="75">
        <v>0.9</v>
      </c>
      <c r="AP64" s="75">
        <v>0.9</v>
      </c>
      <c r="AQ64" s="75">
        <v>0.8</v>
      </c>
      <c r="AR64" s="75">
        <v>0.8</v>
      </c>
      <c r="AS64" s="75">
        <v>0.8</v>
      </c>
      <c r="AT64" s="81">
        <v>0.7</v>
      </c>
      <c r="AU64" s="20"/>
      <c r="AV64" s="20"/>
      <c r="AW64" s="20"/>
      <c r="AX64" s="20"/>
      <c r="AY64" s="20"/>
      <c r="AZ64" s="20"/>
      <c r="BA64" s="20"/>
      <c r="BB64" s="20"/>
      <c r="BC64" s="20"/>
      <c r="BD64" s="20"/>
      <c r="BE64" s="20"/>
      <c r="BF64" s="20"/>
      <c r="BG64" s="20"/>
      <c r="BH64" s="20"/>
    </row>
    <row r="65" spans="1:60">
      <c r="A65" s="195"/>
      <c r="B65" s="170"/>
      <c r="C65" s="170"/>
      <c r="D65" s="170"/>
      <c r="E65" s="170"/>
      <c r="F65" s="170"/>
      <c r="G65" s="170"/>
      <c r="H65" s="170"/>
      <c r="I65" s="170"/>
      <c r="J65" s="170"/>
      <c r="K65" s="170"/>
      <c r="L65" s="170"/>
      <c r="M65" s="170"/>
      <c r="N65" s="170"/>
      <c r="O65" s="170"/>
      <c r="P65" s="168"/>
      <c r="Q65" s="168"/>
      <c r="R65" s="168"/>
      <c r="S65" s="168"/>
      <c r="T65" s="168"/>
      <c r="U65" s="168"/>
      <c r="V65" s="168"/>
      <c r="W65" s="168"/>
      <c r="X65" s="168"/>
      <c r="Y65" s="168"/>
      <c r="Z65" s="201"/>
      <c r="AA65" s="20"/>
      <c r="AB65" s="20"/>
      <c r="AC65" s="20"/>
      <c r="AD65" s="387"/>
      <c r="AE65" s="67"/>
      <c r="AF65" s="70" t="s">
        <v>406</v>
      </c>
      <c r="AG65" s="75" t="s">
        <v>84</v>
      </c>
      <c r="AH65" s="75" t="s">
        <v>84</v>
      </c>
      <c r="AI65" s="75" t="s">
        <v>84</v>
      </c>
      <c r="AJ65" s="75" t="s">
        <v>84</v>
      </c>
      <c r="AK65" s="75" t="s">
        <v>84</v>
      </c>
      <c r="AL65" s="75" t="s">
        <v>84</v>
      </c>
      <c r="AM65" s="75">
        <v>1</v>
      </c>
      <c r="AN65" s="75">
        <v>1</v>
      </c>
      <c r="AO65" s="75">
        <v>1</v>
      </c>
      <c r="AP65" s="75">
        <v>0.9</v>
      </c>
      <c r="AQ65" s="75">
        <v>0.9</v>
      </c>
      <c r="AR65" s="75">
        <v>0.9</v>
      </c>
      <c r="AS65" s="75">
        <v>0.8</v>
      </c>
      <c r="AT65" s="81">
        <v>0.8</v>
      </c>
      <c r="AU65" s="20"/>
      <c r="AV65" s="20"/>
      <c r="AW65" s="20"/>
      <c r="AX65" s="20"/>
      <c r="AY65" s="20"/>
      <c r="AZ65" s="20"/>
      <c r="BA65" s="20"/>
      <c r="BB65" s="20"/>
      <c r="BC65" s="20"/>
      <c r="BD65" s="20"/>
      <c r="BE65" s="20"/>
      <c r="BF65" s="20"/>
      <c r="BG65" s="20"/>
      <c r="BH65" s="20"/>
    </row>
    <row r="66" spans="1:60">
      <c r="A66" s="195"/>
      <c r="B66" s="170"/>
      <c r="C66" s="170" t="s">
        <v>426</v>
      </c>
      <c r="D66" s="170" t="s">
        <v>379</v>
      </c>
      <c r="E66" s="170"/>
      <c r="F66" s="170"/>
      <c r="G66" s="170"/>
      <c r="H66" s="170"/>
      <c r="I66" s="170"/>
      <c r="J66" s="170"/>
      <c r="K66" s="170"/>
      <c r="L66" s="170"/>
      <c r="M66" s="170"/>
      <c r="N66" s="170"/>
      <c r="O66" s="170"/>
      <c r="P66" s="312">
        <f>((P62*P64)/100)+P62</f>
        <v>0</v>
      </c>
      <c r="Q66" s="312"/>
      <c r="R66" s="170" t="s">
        <v>30</v>
      </c>
      <c r="S66" s="168"/>
      <c r="T66" s="168"/>
      <c r="U66" s="168"/>
      <c r="V66" s="168"/>
      <c r="W66" s="168"/>
      <c r="X66" s="168"/>
      <c r="Y66" s="168"/>
      <c r="Z66" s="201"/>
      <c r="AA66" s="20"/>
      <c r="AB66" s="20"/>
      <c r="AC66" s="20"/>
      <c r="AD66" s="387"/>
      <c r="AE66" s="67"/>
      <c r="AF66" s="70" t="s">
        <v>407</v>
      </c>
      <c r="AG66" s="75" t="s">
        <v>84</v>
      </c>
      <c r="AH66" s="75" t="s">
        <v>84</v>
      </c>
      <c r="AI66" s="75" t="s">
        <v>84</v>
      </c>
      <c r="AJ66" s="75" t="s">
        <v>84</v>
      </c>
      <c r="AK66" s="75" t="s">
        <v>84</v>
      </c>
      <c r="AL66" s="75" t="s">
        <v>84</v>
      </c>
      <c r="AM66" s="75" t="s">
        <v>84</v>
      </c>
      <c r="AN66" s="75">
        <v>1</v>
      </c>
      <c r="AO66" s="75">
        <v>1</v>
      </c>
      <c r="AP66" s="75">
        <v>1</v>
      </c>
      <c r="AQ66" s="75">
        <v>0.9</v>
      </c>
      <c r="AR66" s="75">
        <v>0.9</v>
      </c>
      <c r="AS66" s="75">
        <v>0.9</v>
      </c>
      <c r="AT66" s="81">
        <v>0.9</v>
      </c>
      <c r="AU66" s="20"/>
      <c r="AV66" s="20"/>
      <c r="AW66" s="20"/>
      <c r="AX66" s="20"/>
      <c r="AY66" s="20"/>
      <c r="AZ66" s="20"/>
      <c r="BA66" s="20"/>
      <c r="BB66" s="20"/>
      <c r="BC66" s="20"/>
      <c r="BD66" s="20"/>
      <c r="BE66" s="20"/>
      <c r="BF66" s="20"/>
      <c r="BG66" s="20"/>
      <c r="BH66" s="20"/>
    </row>
    <row r="67" spans="1:60">
      <c r="A67" s="193"/>
      <c r="B67" s="168"/>
      <c r="C67" s="168"/>
      <c r="D67" s="168"/>
      <c r="E67" s="168"/>
      <c r="F67" s="168"/>
      <c r="G67" s="168"/>
      <c r="H67" s="168"/>
      <c r="I67" s="168"/>
      <c r="J67" s="168"/>
      <c r="K67" s="168"/>
      <c r="L67" s="168"/>
      <c r="M67" s="168"/>
      <c r="N67" s="168"/>
      <c r="O67" s="168"/>
      <c r="P67" s="168"/>
      <c r="Q67" s="168"/>
      <c r="R67" s="168"/>
      <c r="S67" s="168"/>
      <c r="T67" s="168"/>
      <c r="U67" s="168"/>
      <c r="V67" s="168"/>
      <c r="W67" s="168"/>
      <c r="X67" s="168"/>
      <c r="Y67" s="168"/>
      <c r="Z67" s="201"/>
      <c r="AA67" s="20"/>
      <c r="AB67" s="20"/>
      <c r="AC67" s="20"/>
      <c r="AD67" s="387"/>
      <c r="AE67" s="67"/>
      <c r="AF67" s="70" t="s">
        <v>408</v>
      </c>
      <c r="AG67" s="75" t="s">
        <v>84</v>
      </c>
      <c r="AH67" s="75" t="s">
        <v>84</v>
      </c>
      <c r="AI67" s="75" t="s">
        <v>84</v>
      </c>
      <c r="AJ67" s="75" t="s">
        <v>84</v>
      </c>
      <c r="AK67" s="75" t="s">
        <v>84</v>
      </c>
      <c r="AL67" s="75" t="s">
        <v>84</v>
      </c>
      <c r="AM67" s="75" t="s">
        <v>84</v>
      </c>
      <c r="AN67" s="75" t="s">
        <v>84</v>
      </c>
      <c r="AO67" s="75">
        <v>1</v>
      </c>
      <c r="AP67" s="75">
        <v>1</v>
      </c>
      <c r="AQ67" s="75">
        <v>1</v>
      </c>
      <c r="AR67" s="75">
        <v>1</v>
      </c>
      <c r="AS67" s="75">
        <v>0.9</v>
      </c>
      <c r="AT67" s="81">
        <v>0.9</v>
      </c>
      <c r="AU67" s="20"/>
      <c r="AV67" s="20"/>
      <c r="AW67" s="20"/>
      <c r="AX67" s="20"/>
      <c r="AY67" s="20"/>
      <c r="AZ67" s="20"/>
      <c r="BA67" s="20"/>
      <c r="BB67" s="20"/>
      <c r="BC67" s="20"/>
      <c r="BD67" s="20"/>
      <c r="BE67" s="20"/>
      <c r="BF67" s="20"/>
      <c r="BG67" s="20"/>
      <c r="BH67" s="20"/>
    </row>
    <row r="68" spans="1:60">
      <c r="A68" s="193"/>
      <c r="B68" s="206" t="s">
        <v>376</v>
      </c>
      <c r="C68" s="206" t="s">
        <v>427</v>
      </c>
      <c r="D68" s="206"/>
      <c r="E68" s="206"/>
      <c r="F68" s="206"/>
      <c r="G68" s="206"/>
      <c r="H68" s="206"/>
      <c r="I68" s="206"/>
      <c r="J68" s="206"/>
      <c r="K68" s="206"/>
      <c r="L68" s="206"/>
      <c r="M68" s="206"/>
      <c r="N68" s="206"/>
      <c r="O68" s="206"/>
      <c r="P68" s="168"/>
      <c r="Q68" s="168"/>
      <c r="R68" s="168"/>
      <c r="S68" s="168"/>
      <c r="T68" s="168"/>
      <c r="U68" s="168"/>
      <c r="V68" s="168"/>
      <c r="W68" s="168"/>
      <c r="X68" s="168"/>
      <c r="Y68" s="168"/>
      <c r="Z68" s="201"/>
      <c r="AA68" s="20"/>
      <c r="AB68" s="20"/>
      <c r="AC68" s="20"/>
      <c r="AD68" s="387"/>
      <c r="AE68" s="67"/>
      <c r="AF68" s="70" t="s">
        <v>409</v>
      </c>
      <c r="AG68" s="75" t="s">
        <v>84</v>
      </c>
      <c r="AH68" s="75" t="s">
        <v>84</v>
      </c>
      <c r="AI68" s="75" t="s">
        <v>84</v>
      </c>
      <c r="AJ68" s="75" t="s">
        <v>84</v>
      </c>
      <c r="AK68" s="75" t="s">
        <v>84</v>
      </c>
      <c r="AL68" s="75" t="s">
        <v>84</v>
      </c>
      <c r="AM68" s="75" t="s">
        <v>84</v>
      </c>
      <c r="AN68" s="75" t="s">
        <v>84</v>
      </c>
      <c r="AO68" s="75" t="s">
        <v>84</v>
      </c>
      <c r="AP68" s="75">
        <v>1</v>
      </c>
      <c r="AQ68" s="75">
        <v>1</v>
      </c>
      <c r="AR68" s="75">
        <v>1</v>
      </c>
      <c r="AS68" s="75">
        <v>1</v>
      </c>
      <c r="AT68" s="81">
        <v>0.9</v>
      </c>
      <c r="AU68" s="20"/>
      <c r="AV68" s="20"/>
      <c r="AW68" s="20"/>
      <c r="AX68" s="20"/>
      <c r="AY68" s="20"/>
      <c r="AZ68" s="20"/>
      <c r="BA68" s="20"/>
      <c r="BB68" s="20"/>
      <c r="BC68" s="20"/>
      <c r="BD68" s="20"/>
      <c r="BE68" s="20"/>
      <c r="BF68" s="20"/>
      <c r="BG68" s="20"/>
      <c r="BH68" s="20"/>
    </row>
    <row r="69" spans="1:60">
      <c r="A69" s="193"/>
      <c r="B69" s="206"/>
      <c r="C69" s="206"/>
      <c r="D69" s="206"/>
      <c r="E69" s="206"/>
      <c r="F69" s="206"/>
      <c r="G69" s="206"/>
      <c r="H69" s="206"/>
      <c r="I69" s="206"/>
      <c r="J69" s="206"/>
      <c r="K69" s="206"/>
      <c r="L69" s="206"/>
      <c r="M69" s="206"/>
      <c r="N69" s="206"/>
      <c r="O69" s="206"/>
      <c r="P69" s="168"/>
      <c r="Q69" s="168"/>
      <c r="R69" s="168"/>
      <c r="S69" s="168"/>
      <c r="T69" s="168"/>
      <c r="U69" s="207"/>
      <c r="V69" s="231"/>
      <c r="W69" s="17"/>
      <c r="X69" s="17"/>
      <c r="Y69" s="168"/>
      <c r="Z69" s="201"/>
      <c r="AA69" s="20"/>
      <c r="AB69" s="20"/>
      <c r="AC69" s="20"/>
      <c r="AD69" s="387"/>
      <c r="AE69" s="67"/>
      <c r="AF69" s="70" t="s">
        <v>410</v>
      </c>
      <c r="AG69" s="75" t="s">
        <v>84</v>
      </c>
      <c r="AH69" s="75" t="s">
        <v>84</v>
      </c>
      <c r="AI69" s="75" t="s">
        <v>84</v>
      </c>
      <c r="AJ69" s="75" t="s">
        <v>84</v>
      </c>
      <c r="AK69" s="75" t="s">
        <v>84</v>
      </c>
      <c r="AL69" s="75" t="s">
        <v>84</v>
      </c>
      <c r="AM69" s="75" t="s">
        <v>84</v>
      </c>
      <c r="AN69" s="75" t="s">
        <v>84</v>
      </c>
      <c r="AO69" s="75" t="s">
        <v>84</v>
      </c>
      <c r="AP69" s="75" t="s">
        <v>84</v>
      </c>
      <c r="AQ69" s="75">
        <v>1</v>
      </c>
      <c r="AR69" s="75">
        <v>1</v>
      </c>
      <c r="AS69" s="75">
        <v>1</v>
      </c>
      <c r="AT69" s="81">
        <v>1</v>
      </c>
      <c r="AU69" s="20"/>
      <c r="AV69" s="20"/>
      <c r="AW69" s="20"/>
      <c r="AX69" s="20"/>
      <c r="AY69" s="20"/>
      <c r="AZ69" s="20"/>
      <c r="BA69" s="20"/>
      <c r="BB69" s="20"/>
      <c r="BC69" s="20"/>
      <c r="BD69" s="20"/>
      <c r="BE69" s="20"/>
      <c r="BF69" s="20"/>
      <c r="BG69" s="20"/>
      <c r="BH69" s="20"/>
    </row>
    <row r="70" spans="1:60">
      <c r="A70" s="193"/>
      <c r="B70" s="206"/>
      <c r="C70" s="206" t="s">
        <v>418</v>
      </c>
      <c r="D70" s="206" t="s">
        <v>428</v>
      </c>
      <c r="E70" s="206"/>
      <c r="F70" s="206"/>
      <c r="G70" s="206"/>
      <c r="H70" s="206"/>
      <c r="I70" s="206"/>
      <c r="J70" s="206"/>
      <c r="K70" s="206"/>
      <c r="L70" s="206"/>
      <c r="M70" s="206"/>
      <c r="N70" s="206"/>
      <c r="O70" s="206"/>
      <c r="P70" s="168"/>
      <c r="Q70" s="168"/>
      <c r="R70" s="168"/>
      <c r="S70" s="168"/>
      <c r="T70" s="168"/>
      <c r="U70" s="207"/>
      <c r="V70" s="231"/>
      <c r="W70" s="17"/>
      <c r="X70" s="17"/>
      <c r="Y70" s="168"/>
      <c r="Z70" s="201"/>
      <c r="AA70" s="20"/>
      <c r="AB70" s="20"/>
      <c r="AC70" s="20"/>
      <c r="AD70" s="387"/>
      <c r="AE70" s="67"/>
      <c r="AF70" s="70" t="s">
        <v>411</v>
      </c>
      <c r="AG70" s="75" t="s">
        <v>84</v>
      </c>
      <c r="AH70" s="75" t="s">
        <v>84</v>
      </c>
      <c r="AI70" s="75" t="s">
        <v>84</v>
      </c>
      <c r="AJ70" s="75" t="s">
        <v>84</v>
      </c>
      <c r="AK70" s="75" t="s">
        <v>84</v>
      </c>
      <c r="AL70" s="75" t="s">
        <v>84</v>
      </c>
      <c r="AM70" s="75" t="s">
        <v>84</v>
      </c>
      <c r="AN70" s="75" t="s">
        <v>84</v>
      </c>
      <c r="AO70" s="75" t="s">
        <v>84</v>
      </c>
      <c r="AP70" s="75" t="s">
        <v>84</v>
      </c>
      <c r="AQ70" s="75" t="s">
        <v>84</v>
      </c>
      <c r="AR70" s="75">
        <v>1</v>
      </c>
      <c r="AS70" s="75">
        <v>1</v>
      </c>
      <c r="AT70" s="81">
        <v>1</v>
      </c>
      <c r="AU70" s="20"/>
      <c r="AV70" s="20"/>
      <c r="AW70" s="20"/>
      <c r="AX70" s="20"/>
      <c r="AY70" s="20"/>
      <c r="AZ70" s="20"/>
      <c r="BA70" s="20"/>
      <c r="BB70" s="20"/>
      <c r="BC70" s="20"/>
      <c r="BD70" s="20"/>
      <c r="BE70" s="20"/>
      <c r="BF70" s="20"/>
      <c r="BG70" s="20"/>
      <c r="BH70" s="20"/>
    </row>
    <row r="71" spans="1:60">
      <c r="A71" s="193"/>
      <c r="B71" s="206"/>
      <c r="C71" s="206"/>
      <c r="D71" s="206"/>
      <c r="E71" s="206"/>
      <c r="F71" s="206"/>
      <c r="G71" s="206"/>
      <c r="H71" s="206"/>
      <c r="I71" s="206"/>
      <c r="J71" s="206"/>
      <c r="K71" s="206"/>
      <c r="L71" s="206"/>
      <c r="M71" s="206"/>
      <c r="N71" s="206"/>
      <c r="O71" s="206"/>
      <c r="P71" s="168"/>
      <c r="Q71" s="168"/>
      <c r="R71" s="168"/>
      <c r="S71" s="168"/>
      <c r="T71" s="168"/>
      <c r="U71" s="207"/>
      <c r="V71" s="231"/>
      <c r="W71" s="17"/>
      <c r="X71" s="17"/>
      <c r="Y71" s="168"/>
      <c r="Z71" s="201"/>
      <c r="AA71" s="20"/>
      <c r="AB71" s="20"/>
      <c r="AC71" s="20"/>
      <c r="AD71" s="387"/>
      <c r="AE71" s="67"/>
      <c r="AF71" s="70" t="s">
        <v>412</v>
      </c>
      <c r="AG71" s="75" t="s">
        <v>84</v>
      </c>
      <c r="AH71" s="75" t="s">
        <v>84</v>
      </c>
      <c r="AI71" s="75" t="s">
        <v>84</v>
      </c>
      <c r="AJ71" s="75" t="s">
        <v>84</v>
      </c>
      <c r="AK71" s="75" t="s">
        <v>84</v>
      </c>
      <c r="AL71" s="75" t="s">
        <v>84</v>
      </c>
      <c r="AM71" s="75" t="s">
        <v>84</v>
      </c>
      <c r="AN71" s="75" t="s">
        <v>84</v>
      </c>
      <c r="AO71" s="75" t="s">
        <v>84</v>
      </c>
      <c r="AP71" s="75" t="s">
        <v>84</v>
      </c>
      <c r="AQ71" s="75" t="s">
        <v>84</v>
      </c>
      <c r="AR71" s="75" t="s">
        <v>84</v>
      </c>
      <c r="AS71" s="75">
        <v>1</v>
      </c>
      <c r="AT71" s="81">
        <v>1</v>
      </c>
      <c r="AU71" s="20"/>
      <c r="AV71" s="20"/>
      <c r="AW71" s="20"/>
      <c r="AX71" s="20"/>
      <c r="AY71" s="20"/>
      <c r="AZ71" s="20"/>
      <c r="BA71" s="20"/>
      <c r="BB71" s="20"/>
      <c r="BC71" s="20"/>
      <c r="BD71" s="20"/>
      <c r="BE71" s="20"/>
      <c r="BF71" s="20"/>
      <c r="BG71" s="20"/>
      <c r="BH71" s="20"/>
    </row>
    <row r="72" spans="1:60">
      <c r="A72" s="193"/>
      <c r="B72" s="206"/>
      <c r="C72" s="206" t="s">
        <v>419</v>
      </c>
      <c r="D72" s="206" t="s">
        <v>429</v>
      </c>
      <c r="E72" s="206"/>
      <c r="F72" s="206"/>
      <c r="G72" s="168"/>
      <c r="H72" s="168"/>
      <c r="I72" s="206"/>
      <c r="J72" s="206"/>
      <c r="K72" s="206"/>
      <c r="L72" s="206"/>
      <c r="M72" s="206"/>
      <c r="N72" s="206"/>
      <c r="O72" s="206"/>
      <c r="P72" s="365">
        <f>SUM(U69:X80)</f>
        <v>0</v>
      </c>
      <c r="Q72" s="365"/>
      <c r="R72" s="168"/>
      <c r="S72" s="168"/>
      <c r="T72" s="168"/>
      <c r="U72" s="207"/>
      <c r="V72" s="231"/>
      <c r="W72" s="17"/>
      <c r="X72" s="17"/>
      <c r="Y72" s="168"/>
      <c r="Z72" s="201"/>
      <c r="AA72" s="20"/>
      <c r="AB72" s="20"/>
      <c r="AC72" s="20"/>
      <c r="AD72" s="387"/>
      <c r="AE72" s="67"/>
      <c r="AF72" s="70" t="s">
        <v>413</v>
      </c>
      <c r="AG72" s="75" t="s">
        <v>84</v>
      </c>
      <c r="AH72" s="75" t="s">
        <v>84</v>
      </c>
      <c r="AI72" s="75" t="s">
        <v>84</v>
      </c>
      <c r="AJ72" s="75" t="s">
        <v>84</v>
      </c>
      <c r="AK72" s="75" t="s">
        <v>84</v>
      </c>
      <c r="AL72" s="75" t="s">
        <v>84</v>
      </c>
      <c r="AM72" s="75" t="s">
        <v>84</v>
      </c>
      <c r="AN72" s="75" t="s">
        <v>84</v>
      </c>
      <c r="AO72" s="75" t="s">
        <v>84</v>
      </c>
      <c r="AP72" s="75" t="s">
        <v>84</v>
      </c>
      <c r="AQ72" s="75" t="s">
        <v>84</v>
      </c>
      <c r="AR72" s="75" t="s">
        <v>84</v>
      </c>
      <c r="AS72" s="75" t="s">
        <v>84</v>
      </c>
      <c r="AT72" s="81">
        <v>1</v>
      </c>
      <c r="AU72" s="20"/>
      <c r="AV72" s="20"/>
      <c r="AW72" s="20"/>
      <c r="AX72" s="20"/>
      <c r="AY72" s="20"/>
      <c r="AZ72" s="20"/>
      <c r="BA72" s="20"/>
      <c r="BB72" s="20"/>
      <c r="BC72" s="20"/>
      <c r="BD72" s="20"/>
      <c r="BE72" s="20"/>
      <c r="BF72" s="20"/>
      <c r="BG72" s="20"/>
      <c r="BH72" s="20"/>
    </row>
    <row r="73" spans="1:60">
      <c r="A73" s="193"/>
      <c r="B73" s="206"/>
      <c r="C73" s="206"/>
      <c r="D73" s="206"/>
      <c r="E73" s="206"/>
      <c r="F73" s="206"/>
      <c r="G73" s="168"/>
      <c r="H73" s="168"/>
      <c r="I73" s="206"/>
      <c r="J73" s="206"/>
      <c r="K73" s="206"/>
      <c r="L73" s="206"/>
      <c r="M73" s="206"/>
      <c r="N73" s="206"/>
      <c r="O73" s="206"/>
      <c r="P73" s="168"/>
      <c r="Q73" s="168"/>
      <c r="R73" s="168"/>
      <c r="S73" s="168"/>
      <c r="T73" s="168"/>
      <c r="U73" s="207"/>
      <c r="V73" s="231"/>
      <c r="W73" s="17"/>
      <c r="X73" s="17"/>
      <c r="Y73" s="168"/>
      <c r="Z73" s="201"/>
      <c r="AA73" s="20"/>
      <c r="AB73" s="20"/>
      <c r="AC73" s="20"/>
      <c r="AD73" s="388"/>
      <c r="AE73" s="71"/>
      <c r="AF73" s="72"/>
      <c r="AG73" s="73"/>
      <c r="AH73" s="73"/>
      <c r="AI73" s="73"/>
      <c r="AJ73" s="73"/>
      <c r="AK73" s="73"/>
      <c r="AL73" s="73"/>
      <c r="AM73" s="73"/>
      <c r="AN73" s="73"/>
      <c r="AO73" s="73"/>
      <c r="AP73" s="73"/>
      <c r="AQ73" s="73"/>
      <c r="AR73" s="73"/>
      <c r="AS73" s="73"/>
      <c r="AT73" s="82"/>
      <c r="AU73" s="20"/>
      <c r="AV73" s="20"/>
      <c r="AW73" s="20"/>
      <c r="AX73" s="20"/>
      <c r="AY73" s="20"/>
      <c r="AZ73" s="20"/>
      <c r="BA73" s="20"/>
      <c r="BB73" s="20"/>
      <c r="BC73" s="20"/>
      <c r="BD73" s="20"/>
      <c r="BE73" s="20"/>
      <c r="BF73" s="20"/>
      <c r="BG73" s="20"/>
      <c r="BH73" s="20"/>
    </row>
    <row r="74" spans="1:60">
      <c r="A74" s="193"/>
      <c r="B74" s="206"/>
      <c r="C74" s="206" t="s">
        <v>420</v>
      </c>
      <c r="D74" s="206" t="s">
        <v>371</v>
      </c>
      <c r="E74" s="206"/>
      <c r="F74" s="206"/>
      <c r="G74" s="168"/>
      <c r="H74" s="168"/>
      <c r="I74" s="206"/>
      <c r="J74" s="206"/>
      <c r="K74" s="206"/>
      <c r="L74" s="206"/>
      <c r="M74" s="206"/>
      <c r="N74" s="206"/>
      <c r="O74" s="206"/>
      <c r="P74" s="365">
        <f>COUNT(U69:X80)</f>
        <v>0</v>
      </c>
      <c r="Q74" s="365"/>
      <c r="R74" s="168"/>
      <c r="S74" s="168"/>
      <c r="T74" s="168"/>
      <c r="U74" s="207"/>
      <c r="V74" s="231"/>
      <c r="W74" s="17"/>
      <c r="X74" s="17"/>
      <c r="Y74" s="168"/>
      <c r="Z74" s="201"/>
      <c r="AA74" s="20"/>
      <c r="AB74" s="20"/>
      <c r="AC74" s="20"/>
      <c r="AD74" s="20"/>
      <c r="AE74" s="20"/>
      <c r="AF74" s="20"/>
      <c r="AG74" s="20"/>
      <c r="AH74" s="20"/>
      <c r="AI74" s="20"/>
      <c r="AJ74" s="20"/>
      <c r="AK74" s="20"/>
      <c r="AL74" s="20"/>
      <c r="AM74" s="20"/>
      <c r="AN74" s="20"/>
      <c r="AO74" s="20"/>
      <c r="AP74" s="20"/>
      <c r="AQ74" s="20"/>
      <c r="AR74" s="20"/>
      <c r="AS74" s="20"/>
      <c r="AT74" s="20"/>
      <c r="AU74" s="20"/>
      <c r="AV74" s="20"/>
      <c r="AW74" s="20"/>
      <c r="AX74" s="20"/>
      <c r="AY74" s="20"/>
      <c r="AZ74" s="20"/>
      <c r="BA74" s="20"/>
      <c r="BB74" s="20"/>
      <c r="BC74" s="20"/>
      <c r="BD74" s="20"/>
      <c r="BE74" s="20"/>
      <c r="BF74" s="20"/>
      <c r="BG74" s="20"/>
      <c r="BH74" s="20"/>
    </row>
    <row r="75" spans="1:60">
      <c r="A75" s="193"/>
      <c r="B75" s="170"/>
      <c r="C75" s="170"/>
      <c r="D75" s="170"/>
      <c r="E75" s="170"/>
      <c r="F75" s="170"/>
      <c r="G75" s="170"/>
      <c r="H75" s="170"/>
      <c r="I75" s="170"/>
      <c r="J75" s="206"/>
      <c r="K75" s="206"/>
      <c r="L75" s="206"/>
      <c r="M75" s="206"/>
      <c r="N75" s="206"/>
      <c r="O75" s="206"/>
      <c r="P75" s="168"/>
      <c r="Q75" s="168"/>
      <c r="R75" s="168"/>
      <c r="S75" s="168"/>
      <c r="T75" s="168"/>
      <c r="U75" s="207"/>
      <c r="V75" s="231"/>
      <c r="W75" s="17"/>
      <c r="X75" s="17"/>
      <c r="Y75" s="168"/>
      <c r="Z75" s="201"/>
      <c r="AA75" s="20"/>
      <c r="AB75" s="20"/>
      <c r="AC75" s="20"/>
      <c r="AD75" s="20"/>
      <c r="AE75" s="20"/>
      <c r="AF75" s="20"/>
      <c r="AG75" s="20"/>
      <c r="AH75" s="20"/>
      <c r="AI75" s="20"/>
      <c r="AJ75" s="20"/>
      <c r="AK75" s="20"/>
      <c r="AL75" s="20"/>
      <c r="AM75" s="20"/>
      <c r="AN75" s="20"/>
      <c r="AO75" s="20"/>
      <c r="AP75" s="20"/>
      <c r="AQ75" s="20"/>
      <c r="AR75" s="20"/>
      <c r="AS75" s="20"/>
      <c r="AT75" s="20"/>
      <c r="AU75" s="20"/>
      <c r="AV75" s="20"/>
      <c r="AW75" s="20"/>
      <c r="AX75" s="20"/>
      <c r="AY75" s="20"/>
      <c r="AZ75" s="20"/>
      <c r="BA75" s="20"/>
      <c r="BB75" s="20"/>
      <c r="BC75" s="20"/>
      <c r="BD75" s="20"/>
      <c r="BE75" s="20"/>
      <c r="BF75" s="20"/>
      <c r="BG75" s="20"/>
      <c r="BH75" s="20"/>
    </row>
    <row r="76" spans="1:60">
      <c r="A76" s="193"/>
      <c r="B76" s="170"/>
      <c r="C76" s="170" t="s">
        <v>421</v>
      </c>
      <c r="D76" s="170" t="s">
        <v>430</v>
      </c>
      <c r="E76" s="170"/>
      <c r="F76" s="170"/>
      <c r="G76" s="170"/>
      <c r="H76" s="170"/>
      <c r="I76" s="170"/>
      <c r="J76" s="206"/>
      <c r="K76" s="206"/>
      <c r="L76" s="206"/>
      <c r="M76" s="206"/>
      <c r="N76" s="206"/>
      <c r="O76" s="206"/>
      <c r="P76" s="312" t="str">
        <f>IF(P74=0,"0",P72/P74)</f>
        <v>0</v>
      </c>
      <c r="Q76" s="312"/>
      <c r="R76" s="168"/>
      <c r="S76" s="168"/>
      <c r="T76" s="168"/>
      <c r="U76" s="207"/>
      <c r="V76" s="231"/>
      <c r="W76" s="17"/>
      <c r="X76" s="17"/>
      <c r="Y76" s="168"/>
      <c r="Z76" s="201"/>
      <c r="AA76" s="20"/>
      <c r="AB76" s="20"/>
      <c r="AC76" s="20"/>
      <c r="AD76" s="20"/>
      <c r="AE76" s="20"/>
      <c r="AF76" s="20"/>
      <c r="AG76" s="20"/>
      <c r="AH76" s="20"/>
      <c r="AI76" s="20"/>
      <c r="AJ76" s="20"/>
      <c r="AK76" s="20"/>
      <c r="AL76" s="20"/>
      <c r="AM76" s="20"/>
      <c r="AN76" s="20"/>
      <c r="AO76" s="20"/>
      <c r="AP76" s="20"/>
      <c r="AQ76" s="20"/>
      <c r="AR76" s="20"/>
      <c r="AS76" s="20"/>
      <c r="AT76" s="20"/>
      <c r="AU76" s="20"/>
      <c r="AV76" s="20"/>
      <c r="AW76" s="20"/>
      <c r="AX76" s="20"/>
      <c r="AY76" s="20"/>
      <c r="AZ76" s="20"/>
      <c r="BA76" s="20"/>
      <c r="BB76" s="20"/>
      <c r="BC76" s="20"/>
      <c r="BD76" s="20"/>
      <c r="BE76" s="20"/>
      <c r="BF76" s="20"/>
      <c r="BG76" s="20"/>
      <c r="BH76" s="20"/>
    </row>
    <row r="77" spans="1:60">
      <c r="A77" s="193"/>
      <c r="B77" s="170"/>
      <c r="C77" s="170"/>
      <c r="D77" s="170"/>
      <c r="E77" s="170"/>
      <c r="F77" s="170"/>
      <c r="G77" s="170"/>
      <c r="H77" s="170"/>
      <c r="I77" s="170"/>
      <c r="J77" s="206"/>
      <c r="K77" s="206"/>
      <c r="L77" s="206"/>
      <c r="M77" s="206"/>
      <c r="N77" s="206"/>
      <c r="O77" s="206"/>
      <c r="P77" s="168"/>
      <c r="Q77" s="168"/>
      <c r="R77" s="168"/>
      <c r="S77" s="168"/>
      <c r="T77" s="168"/>
      <c r="U77" s="207"/>
      <c r="V77" s="231"/>
      <c r="W77" s="17"/>
      <c r="X77" s="17"/>
      <c r="Y77" s="168"/>
      <c r="Z77" s="201"/>
      <c r="AA77" s="20"/>
      <c r="AB77" s="20"/>
      <c r="AC77" s="20"/>
      <c r="AD77" s="20"/>
      <c r="AE77" s="20"/>
      <c r="AF77" s="20"/>
      <c r="AG77" s="20"/>
      <c r="AH77" s="20"/>
      <c r="AI77" s="20"/>
      <c r="AJ77" s="20"/>
      <c r="AK77" s="20"/>
      <c r="AL77" s="20"/>
      <c r="AM77" s="20"/>
      <c r="AN77" s="20"/>
      <c r="AO77" s="20"/>
      <c r="AP77" s="20"/>
      <c r="AQ77" s="20"/>
      <c r="AR77" s="20"/>
      <c r="AS77" s="20"/>
      <c r="AT77" s="20"/>
      <c r="AU77" s="20"/>
      <c r="AV77" s="20"/>
      <c r="AW77" s="20"/>
      <c r="AX77" s="20"/>
      <c r="AY77" s="20"/>
      <c r="AZ77" s="20"/>
      <c r="BA77" s="20"/>
      <c r="BB77" s="20"/>
      <c r="BC77" s="20"/>
      <c r="BD77" s="20"/>
      <c r="BE77" s="20"/>
      <c r="BF77" s="20"/>
      <c r="BG77" s="20"/>
      <c r="BH77" s="20"/>
    </row>
    <row r="78" spans="1:60">
      <c r="A78" s="193"/>
      <c r="B78" s="170"/>
      <c r="C78" s="170" t="s">
        <v>422</v>
      </c>
      <c r="D78" s="170" t="s">
        <v>431</v>
      </c>
      <c r="E78" s="170"/>
      <c r="F78" s="170"/>
      <c r="G78" s="170"/>
      <c r="H78" s="170"/>
      <c r="I78" s="170"/>
      <c r="J78" s="206"/>
      <c r="K78" s="206"/>
      <c r="L78" s="206"/>
      <c r="M78" s="206"/>
      <c r="N78" s="206"/>
      <c r="O78" s="206"/>
      <c r="P78" s="168"/>
      <c r="Q78" s="168"/>
      <c r="R78" s="168"/>
      <c r="S78" s="168"/>
      <c r="T78" s="168"/>
      <c r="U78" s="207"/>
      <c r="V78" s="231"/>
      <c r="W78" s="17"/>
      <c r="X78" s="17"/>
      <c r="Y78" s="168"/>
      <c r="Z78" s="201"/>
      <c r="AA78" s="20"/>
      <c r="AB78" s="20"/>
      <c r="AC78" s="20"/>
      <c r="AD78" s="20"/>
      <c r="AE78" s="20"/>
      <c r="AF78" s="20"/>
      <c r="AG78" s="20"/>
      <c r="AH78" s="20"/>
      <c r="AI78" s="20"/>
      <c r="AJ78" s="20"/>
      <c r="AK78" s="20"/>
      <c r="AL78" s="20"/>
      <c r="AM78" s="20"/>
      <c r="AN78" s="20"/>
      <c r="AO78" s="20"/>
      <c r="AP78" s="20"/>
      <c r="AQ78" s="20"/>
      <c r="AR78" s="20"/>
      <c r="AS78" s="20"/>
      <c r="AT78" s="20"/>
      <c r="AU78" s="20"/>
      <c r="AV78" s="20"/>
      <c r="AW78" s="20"/>
      <c r="AX78" s="20"/>
      <c r="AY78" s="20"/>
      <c r="AZ78" s="20"/>
      <c r="BA78" s="20"/>
      <c r="BB78" s="20"/>
      <c r="BC78" s="20"/>
      <c r="BD78" s="20"/>
      <c r="BE78" s="20"/>
      <c r="BF78" s="20"/>
      <c r="BG78" s="20"/>
      <c r="BH78" s="20"/>
    </row>
    <row r="79" spans="1:60">
      <c r="A79" s="193"/>
      <c r="B79" s="170"/>
      <c r="C79" s="170"/>
      <c r="D79" s="170"/>
      <c r="E79" s="170"/>
      <c r="F79" s="170"/>
      <c r="G79" s="170"/>
      <c r="H79" s="170"/>
      <c r="I79" s="170"/>
      <c r="J79" s="206"/>
      <c r="K79" s="206"/>
      <c r="L79" s="206"/>
      <c r="M79" s="206"/>
      <c r="N79" s="206"/>
      <c r="O79" s="206"/>
      <c r="P79" s="168"/>
      <c r="Q79" s="168"/>
      <c r="R79" s="168"/>
      <c r="S79" s="168"/>
      <c r="T79" s="168"/>
      <c r="U79" s="207"/>
      <c r="V79" s="231"/>
      <c r="W79" s="17"/>
      <c r="X79" s="17"/>
      <c r="Y79" s="168"/>
      <c r="Z79" s="201"/>
      <c r="AA79" s="20"/>
      <c r="AB79" s="20"/>
      <c r="AC79" s="20"/>
      <c r="AD79" s="20"/>
      <c r="AE79" s="20"/>
      <c r="AF79" s="20"/>
      <c r="AG79" s="20"/>
      <c r="AH79" s="20"/>
      <c r="AI79" s="20"/>
      <c r="AJ79" s="20"/>
      <c r="AK79" s="20"/>
      <c r="AL79" s="20"/>
      <c r="AM79" s="20"/>
      <c r="AN79" s="20"/>
      <c r="AO79" s="20"/>
      <c r="AP79" s="20"/>
      <c r="AQ79" s="20"/>
      <c r="AR79" s="20"/>
      <c r="AS79" s="20"/>
      <c r="AT79" s="20"/>
      <c r="AU79" s="20"/>
      <c r="AV79" s="20"/>
      <c r="AW79" s="20"/>
      <c r="AX79" s="20"/>
      <c r="AY79" s="20"/>
      <c r="AZ79" s="20"/>
      <c r="BA79" s="20"/>
      <c r="BB79" s="20"/>
      <c r="BC79" s="20"/>
      <c r="BD79" s="20"/>
      <c r="BE79" s="20"/>
      <c r="BF79" s="20"/>
      <c r="BG79" s="20"/>
      <c r="BH79" s="20"/>
    </row>
    <row r="80" spans="1:60">
      <c r="A80" s="193"/>
      <c r="B80" s="184"/>
      <c r="C80" s="170" t="s">
        <v>423</v>
      </c>
      <c r="D80" s="170" t="s">
        <v>432</v>
      </c>
      <c r="E80" s="170"/>
      <c r="F80" s="170"/>
      <c r="G80" s="170"/>
      <c r="H80" s="170"/>
      <c r="I80" s="170"/>
      <c r="J80" s="206"/>
      <c r="K80" s="206"/>
      <c r="L80" s="206"/>
      <c r="M80" s="206"/>
      <c r="N80" s="206"/>
      <c r="O80" s="206"/>
      <c r="P80" s="312">
        <f>Q17</f>
        <v>0</v>
      </c>
      <c r="Q80" s="312"/>
      <c r="R80" s="170" t="s">
        <v>30</v>
      </c>
      <c r="S80" s="206"/>
      <c r="T80" s="168"/>
      <c r="U80" s="207"/>
      <c r="V80" s="231"/>
      <c r="W80" s="17"/>
      <c r="X80" s="17"/>
      <c r="Y80" s="168"/>
      <c r="Z80" s="201"/>
      <c r="AA80" s="20"/>
      <c r="AB80" s="20"/>
      <c r="AC80" s="20"/>
      <c r="AD80" s="57"/>
      <c r="AE80" s="58"/>
      <c r="AF80" s="58"/>
      <c r="AG80" s="58"/>
      <c r="AH80" s="58"/>
      <c r="AI80" s="58"/>
      <c r="AJ80" s="59" t="s">
        <v>396</v>
      </c>
      <c r="AK80" s="60"/>
      <c r="AL80" s="60"/>
      <c r="AM80" s="60"/>
      <c r="AN80" s="60"/>
      <c r="AO80" s="60"/>
      <c r="AP80" s="60"/>
      <c r="AQ80" s="60"/>
      <c r="AR80" s="61"/>
      <c r="AS80" s="58"/>
      <c r="AT80" s="77"/>
      <c r="AU80" s="20"/>
      <c r="AV80" s="20"/>
      <c r="AW80" s="20"/>
      <c r="AX80" s="20"/>
      <c r="AY80" s="20"/>
      <c r="AZ80" s="20"/>
      <c r="BA80" s="20"/>
      <c r="BB80" s="20"/>
      <c r="BC80" s="20"/>
      <c r="BD80" s="20"/>
      <c r="BE80" s="20"/>
      <c r="BF80" s="20"/>
      <c r="BG80" s="20"/>
      <c r="BH80" s="20"/>
    </row>
    <row r="81" spans="1:60">
      <c r="A81" s="193"/>
      <c r="B81" s="170"/>
      <c r="C81" s="170"/>
      <c r="D81" s="170"/>
      <c r="E81" s="170"/>
      <c r="F81" s="170"/>
      <c r="G81" s="170"/>
      <c r="H81" s="170"/>
      <c r="I81" s="170"/>
      <c r="J81" s="206"/>
      <c r="K81" s="206"/>
      <c r="L81" s="206"/>
      <c r="M81" s="206"/>
      <c r="N81" s="206"/>
      <c r="O81" s="206"/>
      <c r="P81" s="168"/>
      <c r="Q81" s="168"/>
      <c r="R81" s="168"/>
      <c r="S81" s="168"/>
      <c r="T81" s="168"/>
      <c r="U81" s="168"/>
      <c r="V81" s="168"/>
      <c r="W81" s="168"/>
      <c r="X81" s="168"/>
      <c r="Y81" s="168"/>
      <c r="Z81" s="201"/>
      <c r="AA81" s="20"/>
      <c r="AB81" s="20"/>
      <c r="AC81" s="20"/>
      <c r="AD81" s="62"/>
      <c r="AE81" s="28"/>
      <c r="AF81" s="28"/>
      <c r="AG81" s="28"/>
      <c r="AH81" s="28"/>
      <c r="AI81" s="28"/>
      <c r="AJ81" s="28"/>
      <c r="AK81" s="28"/>
      <c r="AL81" s="28"/>
      <c r="AM81" s="28"/>
      <c r="AN81" s="28"/>
      <c r="AO81" s="28"/>
      <c r="AP81" s="28"/>
      <c r="AQ81" s="28"/>
      <c r="AR81" s="28"/>
      <c r="AS81" s="28"/>
      <c r="AT81" s="78"/>
      <c r="AU81" s="20"/>
      <c r="AV81" s="20"/>
      <c r="AW81" s="20"/>
      <c r="AX81" s="20"/>
      <c r="AY81" s="20"/>
      <c r="AZ81" s="20"/>
      <c r="BA81" s="20"/>
      <c r="BB81" s="20"/>
      <c r="BC81" s="20"/>
      <c r="BD81" s="20"/>
      <c r="BE81" s="20"/>
      <c r="BF81" s="20"/>
      <c r="BG81" s="20"/>
      <c r="BH81" s="20"/>
    </row>
    <row r="82" spans="1:60">
      <c r="A82" s="193"/>
      <c r="B82" s="170"/>
      <c r="C82" s="170" t="s">
        <v>424</v>
      </c>
      <c r="D82" s="170" t="s">
        <v>433</v>
      </c>
      <c r="E82" s="170"/>
      <c r="F82" s="170"/>
      <c r="G82" s="170"/>
      <c r="H82" s="170"/>
      <c r="I82" s="170"/>
      <c r="J82" s="206"/>
      <c r="K82" s="206"/>
      <c r="L82" s="206"/>
      <c r="M82" s="206"/>
      <c r="N82" s="206"/>
      <c r="O82" s="206"/>
      <c r="P82" s="312">
        <f>P80*P76</f>
        <v>0</v>
      </c>
      <c r="Q82" s="312"/>
      <c r="R82" s="170" t="s">
        <v>30</v>
      </c>
      <c r="S82" s="168"/>
      <c r="T82" s="168"/>
      <c r="U82" s="168"/>
      <c r="V82" s="168"/>
      <c r="W82" s="168"/>
      <c r="X82" s="168"/>
      <c r="Y82" s="168"/>
      <c r="Z82" s="201"/>
      <c r="AA82" s="20"/>
      <c r="AB82" s="20"/>
      <c r="AC82" s="20"/>
      <c r="AD82" s="63"/>
      <c r="AE82" s="64"/>
      <c r="AF82" s="65"/>
      <c r="AG82" s="66"/>
      <c r="AH82" s="66"/>
      <c r="AI82" s="66"/>
      <c r="AJ82" s="66"/>
      <c r="AK82" s="66" t="s">
        <v>397</v>
      </c>
      <c r="AL82" s="66"/>
      <c r="AM82" s="66"/>
      <c r="AN82" s="66"/>
      <c r="AO82" s="66"/>
      <c r="AP82" s="66"/>
      <c r="AQ82" s="66"/>
      <c r="AR82" s="66"/>
      <c r="AS82" s="66"/>
      <c r="AT82" s="79"/>
      <c r="AU82" s="20"/>
      <c r="AV82" s="20"/>
      <c r="AW82" s="20"/>
      <c r="AX82" s="20"/>
      <c r="AY82" s="20"/>
      <c r="AZ82" s="20"/>
      <c r="BA82" s="20"/>
      <c r="BB82" s="20"/>
      <c r="BC82" s="20"/>
      <c r="BD82" s="20"/>
      <c r="BE82" s="20"/>
      <c r="BF82" s="20"/>
      <c r="BG82" s="20"/>
      <c r="BH82" s="20"/>
    </row>
    <row r="83" spans="1:60">
      <c r="A83" s="193"/>
      <c r="B83" s="170"/>
      <c r="C83" s="170"/>
      <c r="D83" s="170"/>
      <c r="E83" s="170"/>
      <c r="F83" s="170"/>
      <c r="G83" s="170"/>
      <c r="H83" s="170"/>
      <c r="I83" s="170"/>
      <c r="J83" s="170"/>
      <c r="K83" s="170"/>
      <c r="L83" s="170"/>
      <c r="M83" s="170"/>
      <c r="N83" s="170"/>
      <c r="O83" s="170"/>
      <c r="P83" s="168"/>
      <c r="Q83" s="168"/>
      <c r="R83" s="168"/>
      <c r="S83" s="168"/>
      <c r="T83" s="168"/>
      <c r="U83" s="168"/>
      <c r="V83" s="168"/>
      <c r="W83" s="168"/>
      <c r="X83" s="168"/>
      <c r="Y83" s="168"/>
      <c r="Z83" s="201"/>
      <c r="AA83" s="20"/>
      <c r="AB83" s="20"/>
      <c r="AC83" s="20"/>
      <c r="AD83" s="62"/>
      <c r="AE83" s="67"/>
      <c r="AF83" s="68"/>
      <c r="AG83" s="69"/>
      <c r="AH83" s="69"/>
      <c r="AI83" s="69"/>
      <c r="AJ83" s="69"/>
      <c r="AK83" s="69"/>
      <c r="AL83" s="69"/>
      <c r="AM83" s="69"/>
      <c r="AN83" s="69"/>
      <c r="AO83" s="69"/>
      <c r="AP83" s="69"/>
      <c r="AQ83" s="69"/>
      <c r="AR83" s="69"/>
      <c r="AS83" s="69"/>
      <c r="AT83" s="80"/>
      <c r="AU83" s="20"/>
      <c r="AV83" s="20"/>
      <c r="AW83" s="20"/>
      <c r="AX83" s="20"/>
      <c r="AY83" s="20"/>
      <c r="AZ83" s="20"/>
      <c r="BA83" s="20"/>
      <c r="BB83" s="20"/>
      <c r="BC83" s="20"/>
      <c r="BD83" s="20"/>
      <c r="BE83" s="20"/>
      <c r="BF83" s="20"/>
      <c r="BG83" s="20"/>
      <c r="BH83" s="20"/>
    </row>
    <row r="84" spans="1:60">
      <c r="A84" s="193"/>
      <c r="B84" s="170"/>
      <c r="C84" s="170" t="s">
        <v>425</v>
      </c>
      <c r="D84" s="170" t="s">
        <v>377</v>
      </c>
      <c r="E84" s="170"/>
      <c r="F84" s="170"/>
      <c r="G84" s="170"/>
      <c r="H84" s="170"/>
      <c r="I84" s="170"/>
      <c r="J84" s="170"/>
      <c r="K84" s="170"/>
      <c r="L84" s="170"/>
      <c r="M84" s="170"/>
      <c r="N84" s="170"/>
      <c r="O84" s="170"/>
      <c r="P84" s="305"/>
      <c r="Q84" s="305"/>
      <c r="R84" s="170" t="s">
        <v>163</v>
      </c>
      <c r="S84" s="168"/>
      <c r="T84" s="168"/>
      <c r="U84" s="168"/>
      <c r="V84" s="168"/>
      <c r="W84" s="168"/>
      <c r="X84" s="168"/>
      <c r="Y84" s="168"/>
      <c r="Z84" s="201"/>
      <c r="AA84" s="20"/>
      <c r="AB84" s="20"/>
      <c r="AC84" s="20"/>
      <c r="AD84" s="387" t="s">
        <v>398</v>
      </c>
      <c r="AE84" s="67"/>
      <c r="AF84" s="65"/>
      <c r="AG84" s="66" t="s">
        <v>399</v>
      </c>
      <c r="AH84" s="66" t="s">
        <v>399</v>
      </c>
      <c r="AI84" s="66" t="s">
        <v>399</v>
      </c>
      <c r="AJ84" s="66" t="s">
        <v>399</v>
      </c>
      <c r="AK84" s="66" t="s">
        <v>399</v>
      </c>
      <c r="AL84" s="66" t="s">
        <v>399</v>
      </c>
      <c r="AM84" s="66" t="s">
        <v>399</v>
      </c>
      <c r="AN84" s="66" t="s">
        <v>399</v>
      </c>
      <c r="AO84" s="66" t="s">
        <v>399</v>
      </c>
      <c r="AP84" s="66" t="s">
        <v>399</v>
      </c>
      <c r="AQ84" s="66" t="s">
        <v>399</v>
      </c>
      <c r="AR84" s="66" t="s">
        <v>399</v>
      </c>
      <c r="AS84" s="66" t="s">
        <v>399</v>
      </c>
      <c r="AT84" s="79" t="s">
        <v>399</v>
      </c>
      <c r="AU84" s="20"/>
      <c r="AV84" s="20"/>
      <c r="AW84" s="20"/>
      <c r="AX84" s="20"/>
      <c r="AY84" s="20"/>
      <c r="AZ84" s="20"/>
      <c r="BA84" s="20"/>
      <c r="BB84" s="20"/>
      <c r="BC84" s="20"/>
      <c r="BD84" s="20"/>
      <c r="BE84" s="20"/>
      <c r="BF84" s="20"/>
      <c r="BG84" s="20"/>
      <c r="BH84" s="20"/>
    </row>
    <row r="85" spans="1:60">
      <c r="A85" s="193"/>
      <c r="B85" s="170"/>
      <c r="C85" s="170"/>
      <c r="D85" s="170"/>
      <c r="E85" s="170"/>
      <c r="F85" s="170"/>
      <c r="G85" s="170"/>
      <c r="H85" s="170"/>
      <c r="I85" s="170"/>
      <c r="J85" s="170"/>
      <c r="K85" s="170"/>
      <c r="L85" s="170"/>
      <c r="M85" s="170"/>
      <c r="N85" s="170"/>
      <c r="O85" s="170"/>
      <c r="P85" s="168"/>
      <c r="Q85" s="168"/>
      <c r="R85" s="168"/>
      <c r="S85" s="168"/>
      <c r="T85" s="168"/>
      <c r="U85" s="168"/>
      <c r="V85" s="168"/>
      <c r="W85" s="168"/>
      <c r="X85" s="168"/>
      <c r="Y85" s="168"/>
      <c r="Z85" s="201"/>
      <c r="AA85" s="20"/>
      <c r="AB85" s="20"/>
      <c r="AC85" s="20"/>
      <c r="AD85" s="387"/>
      <c r="AE85" s="67"/>
      <c r="AF85" s="70"/>
      <c r="AG85" s="28"/>
      <c r="AH85" s="28"/>
      <c r="AI85" s="28"/>
      <c r="AJ85" s="28"/>
      <c r="AK85" s="28"/>
      <c r="AL85" s="28"/>
      <c r="AM85" s="28"/>
      <c r="AN85" s="28"/>
      <c r="AO85" s="28"/>
      <c r="AP85" s="28"/>
      <c r="AQ85" s="28"/>
      <c r="AR85" s="28"/>
      <c r="AS85" s="28"/>
      <c r="AT85" s="78"/>
      <c r="AU85" s="20"/>
      <c r="AV85" s="20"/>
      <c r="AW85" s="20"/>
      <c r="AX85" s="20"/>
      <c r="AY85" s="20"/>
      <c r="AZ85" s="20"/>
      <c r="BA85" s="20"/>
      <c r="BB85" s="20"/>
      <c r="BC85" s="20"/>
      <c r="BD85" s="20"/>
      <c r="BE85" s="20"/>
      <c r="BF85" s="20"/>
      <c r="BG85" s="20"/>
      <c r="BH85" s="20"/>
    </row>
    <row r="86" spans="1:60">
      <c r="A86" s="193"/>
      <c r="B86" s="170"/>
      <c r="C86" s="170" t="s">
        <v>426</v>
      </c>
      <c r="D86" s="170" t="s">
        <v>434</v>
      </c>
      <c r="E86" s="170"/>
      <c r="F86" s="170"/>
      <c r="G86" s="170"/>
      <c r="H86" s="170"/>
      <c r="I86" s="170"/>
      <c r="J86" s="170"/>
      <c r="K86" s="170"/>
      <c r="L86" s="170"/>
      <c r="M86" s="170"/>
      <c r="N86" s="170"/>
      <c r="O86" s="170"/>
      <c r="P86" s="312">
        <f>((P82*P84)/100)+P82</f>
        <v>0</v>
      </c>
      <c r="Q86" s="312"/>
      <c r="R86" s="170" t="s">
        <v>30</v>
      </c>
      <c r="S86" s="168"/>
      <c r="T86" s="168"/>
      <c r="U86" s="168"/>
      <c r="V86" s="168"/>
      <c r="W86" s="168"/>
      <c r="X86" s="168"/>
      <c r="Y86" s="168"/>
      <c r="Z86" s="201"/>
      <c r="AA86" s="20"/>
      <c r="AB86" s="20"/>
      <c r="AC86" s="20"/>
      <c r="AD86" s="387"/>
      <c r="AE86" s="67"/>
      <c r="AF86" s="70"/>
      <c r="AG86" s="28" t="s">
        <v>400</v>
      </c>
      <c r="AH86" s="28" t="s">
        <v>401</v>
      </c>
      <c r="AI86" s="28" t="s">
        <v>402</v>
      </c>
      <c r="AJ86" s="28" t="s">
        <v>403</v>
      </c>
      <c r="AK86" s="28" t="s">
        <v>404</v>
      </c>
      <c r="AL86" s="28" t="s">
        <v>405</v>
      </c>
      <c r="AM86" s="28" t="s">
        <v>406</v>
      </c>
      <c r="AN86" s="28" t="s">
        <v>407</v>
      </c>
      <c r="AO86" s="28" t="s">
        <v>408</v>
      </c>
      <c r="AP86" s="28" t="s">
        <v>409</v>
      </c>
      <c r="AQ86" s="28" t="s">
        <v>410</v>
      </c>
      <c r="AR86" s="28" t="s">
        <v>411</v>
      </c>
      <c r="AS86" s="28" t="s">
        <v>412</v>
      </c>
      <c r="AT86" s="78" t="s">
        <v>413</v>
      </c>
      <c r="AU86" s="20"/>
      <c r="AV86" s="20"/>
      <c r="AW86" s="20"/>
      <c r="AX86" s="20"/>
      <c r="AY86" s="20"/>
      <c r="AZ86" s="20"/>
      <c r="BA86" s="20"/>
      <c r="BB86" s="20"/>
      <c r="BC86" s="20"/>
      <c r="BD86" s="20"/>
      <c r="BE86" s="20"/>
      <c r="BF86" s="20"/>
      <c r="BG86" s="20"/>
      <c r="BH86" s="20"/>
    </row>
    <row r="87" spans="1:60">
      <c r="A87" s="193"/>
      <c r="B87" s="168"/>
      <c r="C87" s="168"/>
      <c r="D87" s="168"/>
      <c r="E87" s="168"/>
      <c r="F87" s="168"/>
      <c r="G87" s="168"/>
      <c r="H87" s="168"/>
      <c r="I87" s="168"/>
      <c r="J87" s="168"/>
      <c r="K87" s="168"/>
      <c r="L87" s="168"/>
      <c r="M87" s="168"/>
      <c r="N87" s="168"/>
      <c r="O87" s="168"/>
      <c r="P87" s="168"/>
      <c r="Q87" s="168"/>
      <c r="R87" s="168"/>
      <c r="S87" s="168"/>
      <c r="T87" s="168"/>
      <c r="U87" s="168"/>
      <c r="V87" s="168"/>
      <c r="W87" s="168"/>
      <c r="X87" s="168"/>
      <c r="Y87" s="168"/>
      <c r="Z87" s="201"/>
      <c r="AA87" s="20"/>
      <c r="AB87" s="20"/>
      <c r="AC87" s="20"/>
      <c r="AD87" s="387"/>
      <c r="AE87" s="67"/>
      <c r="AF87" s="70"/>
      <c r="AG87" s="28"/>
      <c r="AH87" s="28"/>
      <c r="AI87" s="28"/>
      <c r="AJ87" s="28"/>
      <c r="AK87" s="28"/>
      <c r="AL87" s="28"/>
      <c r="AM87" s="28"/>
      <c r="AN87" s="28"/>
      <c r="AO87" s="28"/>
      <c r="AP87" s="28"/>
      <c r="AQ87" s="28"/>
      <c r="AR87" s="28"/>
      <c r="AS87" s="28"/>
      <c r="AT87" s="78"/>
      <c r="AU87" s="20"/>
      <c r="AV87" s="20"/>
      <c r="AW87" s="20"/>
      <c r="AX87" s="20"/>
      <c r="AY87" s="20"/>
      <c r="AZ87" s="20"/>
      <c r="BA87" s="20"/>
      <c r="BB87" s="20"/>
      <c r="BC87" s="20"/>
      <c r="BD87" s="20"/>
      <c r="BE87" s="20"/>
      <c r="BF87" s="20"/>
      <c r="BG87" s="20"/>
      <c r="BH87" s="20"/>
    </row>
    <row r="88" spans="1:60">
      <c r="A88" s="193"/>
      <c r="B88" s="206" t="s">
        <v>378</v>
      </c>
      <c r="C88" s="206" t="s">
        <v>435</v>
      </c>
      <c r="D88" s="206"/>
      <c r="E88" s="206"/>
      <c r="F88" s="206"/>
      <c r="G88" s="206"/>
      <c r="H88" s="206"/>
      <c r="I88" s="206"/>
      <c r="J88" s="206"/>
      <c r="K88" s="206"/>
      <c r="L88" s="206"/>
      <c r="M88" s="206"/>
      <c r="N88" s="206"/>
      <c r="O88" s="206"/>
      <c r="P88" s="168"/>
      <c r="Q88" s="168"/>
      <c r="R88" s="168"/>
      <c r="S88" s="168"/>
      <c r="T88" s="168"/>
      <c r="U88" s="168"/>
      <c r="V88" s="168"/>
      <c r="W88" s="168"/>
      <c r="X88" s="168"/>
      <c r="Y88" s="168"/>
      <c r="Z88" s="201"/>
      <c r="AA88" s="20"/>
      <c r="AB88" s="20"/>
      <c r="AC88" s="20"/>
      <c r="AD88" s="387"/>
      <c r="AE88" s="67"/>
      <c r="AF88" s="70" t="s">
        <v>414</v>
      </c>
      <c r="AG88" s="75">
        <v>0.4</v>
      </c>
      <c r="AH88" s="75">
        <v>0.3</v>
      </c>
      <c r="AI88" s="75">
        <v>0.3</v>
      </c>
      <c r="AJ88" s="75">
        <v>0.2</v>
      </c>
      <c r="AK88" s="75">
        <v>0.2</v>
      </c>
      <c r="AL88" s="75">
        <v>0.2</v>
      </c>
      <c r="AM88" s="75">
        <v>0.2</v>
      </c>
      <c r="AN88" s="75">
        <v>0.1</v>
      </c>
      <c r="AO88" s="75">
        <v>0.1</v>
      </c>
      <c r="AP88" s="75">
        <v>0.1</v>
      </c>
      <c r="AQ88" s="75">
        <v>0.1</v>
      </c>
      <c r="AR88" s="75">
        <v>0.1</v>
      </c>
      <c r="AS88" s="75">
        <v>0.1</v>
      </c>
      <c r="AT88" s="81">
        <v>0.1</v>
      </c>
      <c r="AU88" s="20"/>
      <c r="AV88" s="20"/>
      <c r="AW88" s="20"/>
      <c r="AX88" s="20"/>
      <c r="AY88" s="20"/>
      <c r="AZ88" s="20"/>
      <c r="BA88" s="20"/>
      <c r="BB88" s="20"/>
      <c r="BC88" s="20"/>
      <c r="BD88" s="20"/>
      <c r="BE88" s="20"/>
      <c r="BF88" s="20"/>
      <c r="BG88" s="20"/>
      <c r="BH88" s="20"/>
    </row>
    <row r="89" spans="1:60">
      <c r="A89" s="193"/>
      <c r="B89" s="206"/>
      <c r="C89" s="206"/>
      <c r="D89" s="206"/>
      <c r="E89" s="206"/>
      <c r="F89" s="206"/>
      <c r="G89" s="206"/>
      <c r="H89" s="206"/>
      <c r="I89" s="206"/>
      <c r="J89" s="206"/>
      <c r="K89" s="206"/>
      <c r="L89" s="206"/>
      <c r="M89" s="206"/>
      <c r="N89" s="206"/>
      <c r="O89" s="206"/>
      <c r="P89" s="168"/>
      <c r="Q89" s="168"/>
      <c r="R89" s="168"/>
      <c r="S89" s="168"/>
      <c r="T89" s="168"/>
      <c r="U89" s="207"/>
      <c r="V89" s="231"/>
      <c r="W89" s="17"/>
      <c r="X89" s="17"/>
      <c r="Y89" s="168"/>
      <c r="Z89" s="201"/>
      <c r="AA89" s="20"/>
      <c r="AB89" s="20"/>
      <c r="AC89" s="20"/>
      <c r="AD89" s="387"/>
      <c r="AE89" s="67"/>
      <c r="AF89" s="70" t="s">
        <v>415</v>
      </c>
      <c r="AG89" s="75">
        <v>0.7</v>
      </c>
      <c r="AH89" s="75">
        <v>0.6</v>
      </c>
      <c r="AI89" s="75">
        <v>0.5</v>
      </c>
      <c r="AJ89" s="75">
        <v>0.4</v>
      </c>
      <c r="AK89" s="75">
        <v>0.4</v>
      </c>
      <c r="AL89" s="75">
        <v>0.3</v>
      </c>
      <c r="AM89" s="75">
        <v>0.3</v>
      </c>
      <c r="AN89" s="75">
        <v>0.3</v>
      </c>
      <c r="AO89" s="75">
        <v>0.3</v>
      </c>
      <c r="AP89" s="75">
        <v>0.2</v>
      </c>
      <c r="AQ89" s="75">
        <v>0.2</v>
      </c>
      <c r="AR89" s="75">
        <v>0.2</v>
      </c>
      <c r="AS89" s="75">
        <v>0.2</v>
      </c>
      <c r="AT89" s="81">
        <v>0.2</v>
      </c>
      <c r="AU89" s="20"/>
      <c r="AV89" s="20"/>
      <c r="AW89" s="20"/>
      <c r="AX89" s="20"/>
      <c r="AY89" s="20"/>
      <c r="AZ89" s="20"/>
      <c r="BA89" s="20"/>
      <c r="BB89" s="20"/>
      <c r="BC89" s="20"/>
      <c r="BD89" s="20"/>
      <c r="BE89" s="20"/>
      <c r="BF89" s="20"/>
      <c r="BG89" s="20"/>
      <c r="BH89" s="20"/>
    </row>
    <row r="90" spans="1:60">
      <c r="A90" s="193"/>
      <c r="B90" s="206"/>
      <c r="C90" s="206" t="s">
        <v>418</v>
      </c>
      <c r="D90" s="206" t="s">
        <v>436</v>
      </c>
      <c r="E90" s="206"/>
      <c r="F90" s="206"/>
      <c r="G90" s="206"/>
      <c r="H90" s="206"/>
      <c r="I90" s="206"/>
      <c r="J90" s="206"/>
      <c r="K90" s="206"/>
      <c r="L90" s="206"/>
      <c r="M90" s="206"/>
      <c r="N90" s="206"/>
      <c r="O90" s="206"/>
      <c r="P90" s="168"/>
      <c r="Q90" s="168"/>
      <c r="R90" s="168"/>
      <c r="S90" s="168"/>
      <c r="T90" s="168"/>
      <c r="U90" s="207"/>
      <c r="V90" s="231"/>
      <c r="W90" s="17"/>
      <c r="X90" s="17"/>
      <c r="Y90" s="168"/>
      <c r="Z90" s="201"/>
      <c r="AA90" s="20"/>
      <c r="AB90" s="20"/>
      <c r="AC90" s="20"/>
      <c r="AD90" s="387"/>
      <c r="AE90" s="67"/>
      <c r="AF90" s="70" t="s">
        <v>416</v>
      </c>
      <c r="AG90" s="75">
        <v>0.9</v>
      </c>
      <c r="AH90" s="75">
        <v>0.8</v>
      </c>
      <c r="AI90" s="75">
        <v>0.7</v>
      </c>
      <c r="AJ90" s="75">
        <v>0.6</v>
      </c>
      <c r="AK90" s="75">
        <v>0.6</v>
      </c>
      <c r="AL90" s="75">
        <v>0.5</v>
      </c>
      <c r="AM90" s="75">
        <v>0.5</v>
      </c>
      <c r="AN90" s="75">
        <v>0.4</v>
      </c>
      <c r="AO90" s="75">
        <v>0.4</v>
      </c>
      <c r="AP90" s="75">
        <v>0.4</v>
      </c>
      <c r="AQ90" s="75">
        <v>0.3</v>
      </c>
      <c r="AR90" s="75">
        <v>0.3</v>
      </c>
      <c r="AS90" s="75">
        <v>0.3</v>
      </c>
      <c r="AT90" s="81">
        <v>0.3</v>
      </c>
      <c r="AU90" s="20"/>
      <c r="AV90" s="20"/>
      <c r="AW90" s="20"/>
      <c r="AX90" s="20"/>
      <c r="AY90" s="20"/>
      <c r="AZ90" s="20"/>
      <c r="BA90" s="20"/>
      <c r="BB90" s="20"/>
      <c r="BC90" s="20"/>
      <c r="BD90" s="20"/>
      <c r="BE90" s="20"/>
      <c r="BF90" s="20"/>
      <c r="BG90" s="20"/>
      <c r="BH90" s="20"/>
    </row>
    <row r="91" spans="1:60">
      <c r="A91" s="193"/>
      <c r="B91" s="206"/>
      <c r="C91" s="206"/>
      <c r="D91" s="206"/>
      <c r="E91" s="206"/>
      <c r="F91" s="206"/>
      <c r="G91" s="206"/>
      <c r="H91" s="206"/>
      <c r="I91" s="206"/>
      <c r="J91" s="206"/>
      <c r="K91" s="206"/>
      <c r="L91" s="206"/>
      <c r="M91" s="206"/>
      <c r="N91" s="206"/>
      <c r="O91" s="206"/>
      <c r="P91" s="168"/>
      <c r="Q91" s="168"/>
      <c r="R91" s="168"/>
      <c r="S91" s="168"/>
      <c r="T91" s="168"/>
      <c r="U91" s="207"/>
      <c r="V91" s="231"/>
      <c r="W91" s="17"/>
      <c r="X91" s="17"/>
      <c r="Y91" s="168"/>
      <c r="Z91" s="201"/>
      <c r="AA91" s="20"/>
      <c r="AB91" s="20"/>
      <c r="AC91" s="20"/>
      <c r="AD91" s="387"/>
      <c r="AE91" s="67"/>
      <c r="AF91" s="70" t="s">
        <v>400</v>
      </c>
      <c r="AG91" s="75">
        <v>1</v>
      </c>
      <c r="AH91" s="75">
        <v>1</v>
      </c>
      <c r="AI91" s="75">
        <v>0.9</v>
      </c>
      <c r="AJ91" s="75">
        <v>0.8</v>
      </c>
      <c r="AK91" s="75">
        <v>0.7</v>
      </c>
      <c r="AL91" s="75">
        <v>0.6</v>
      </c>
      <c r="AM91" s="75">
        <v>0.6</v>
      </c>
      <c r="AN91" s="75">
        <v>0.5</v>
      </c>
      <c r="AO91" s="75">
        <v>0.5</v>
      </c>
      <c r="AP91" s="75">
        <v>0.5</v>
      </c>
      <c r="AQ91" s="75">
        <v>0.4</v>
      </c>
      <c r="AR91" s="75">
        <v>0.4</v>
      </c>
      <c r="AS91" s="75">
        <v>0.4</v>
      </c>
      <c r="AT91" s="81">
        <v>0.4</v>
      </c>
      <c r="AU91" s="20"/>
      <c r="AV91" s="20"/>
      <c r="AW91" s="20"/>
      <c r="AX91" s="20"/>
      <c r="AY91" s="20"/>
      <c r="AZ91" s="20"/>
      <c r="BA91" s="20"/>
      <c r="BB91" s="20"/>
      <c r="BC91" s="20"/>
      <c r="BD91" s="20"/>
      <c r="BE91" s="20"/>
      <c r="BF91" s="20"/>
      <c r="BG91" s="20"/>
      <c r="BH91" s="20"/>
    </row>
    <row r="92" spans="1:60">
      <c r="A92" s="193"/>
      <c r="B92" s="206"/>
      <c r="C92" s="206" t="s">
        <v>419</v>
      </c>
      <c r="D92" s="206" t="s">
        <v>437</v>
      </c>
      <c r="E92" s="206"/>
      <c r="F92" s="206"/>
      <c r="G92" s="168"/>
      <c r="H92" s="168"/>
      <c r="I92" s="206"/>
      <c r="J92" s="206"/>
      <c r="K92" s="206"/>
      <c r="L92" s="206"/>
      <c r="M92" s="206"/>
      <c r="N92" s="206"/>
      <c r="O92" s="206"/>
      <c r="P92" s="365">
        <f>SUM(U89:X100)</f>
        <v>0</v>
      </c>
      <c r="Q92" s="365"/>
      <c r="R92" s="168"/>
      <c r="S92" s="168"/>
      <c r="T92" s="168"/>
      <c r="U92" s="207"/>
      <c r="V92" s="231"/>
      <c r="W92" s="17"/>
      <c r="X92" s="17"/>
      <c r="Y92" s="168"/>
      <c r="Z92" s="201"/>
      <c r="AA92" s="20"/>
      <c r="AB92" s="20"/>
      <c r="AC92" s="20"/>
      <c r="AD92" s="387"/>
      <c r="AE92" s="67"/>
      <c r="AF92" s="70" t="s">
        <v>401</v>
      </c>
      <c r="AG92" s="75" t="s">
        <v>84</v>
      </c>
      <c r="AH92" s="75">
        <v>1</v>
      </c>
      <c r="AI92" s="75">
        <v>1</v>
      </c>
      <c r="AJ92" s="75">
        <v>0.9</v>
      </c>
      <c r="AK92" s="75">
        <v>0.8</v>
      </c>
      <c r="AL92" s="75">
        <v>0.8</v>
      </c>
      <c r="AM92" s="75">
        <v>0.7</v>
      </c>
      <c r="AN92" s="75">
        <v>0.7</v>
      </c>
      <c r="AO92" s="75">
        <v>0.6</v>
      </c>
      <c r="AP92" s="75">
        <v>0.6</v>
      </c>
      <c r="AQ92" s="75">
        <v>0.5</v>
      </c>
      <c r="AR92" s="75">
        <v>0.5</v>
      </c>
      <c r="AS92" s="75">
        <v>0.5</v>
      </c>
      <c r="AT92" s="81">
        <v>0.4</v>
      </c>
      <c r="AU92" s="20"/>
      <c r="AV92" s="20"/>
      <c r="AW92" s="20"/>
      <c r="AX92" s="20"/>
      <c r="AY92" s="20"/>
      <c r="AZ92" s="20"/>
      <c r="BA92" s="20"/>
      <c r="BB92" s="20"/>
      <c r="BC92" s="20"/>
      <c r="BD92" s="20"/>
      <c r="BE92" s="20"/>
      <c r="BF92" s="20"/>
      <c r="BG92" s="20"/>
      <c r="BH92" s="20"/>
    </row>
    <row r="93" spans="1:60">
      <c r="A93" s="193"/>
      <c r="B93" s="206"/>
      <c r="C93" s="206"/>
      <c r="D93" s="206"/>
      <c r="E93" s="206"/>
      <c r="F93" s="206"/>
      <c r="G93" s="168"/>
      <c r="H93" s="168"/>
      <c r="I93" s="206"/>
      <c r="J93" s="206"/>
      <c r="K93" s="206"/>
      <c r="L93" s="206"/>
      <c r="M93" s="206"/>
      <c r="N93" s="206"/>
      <c r="O93" s="206"/>
      <c r="P93" s="168"/>
      <c r="Q93" s="168"/>
      <c r="R93" s="168"/>
      <c r="S93" s="168"/>
      <c r="T93" s="168"/>
      <c r="U93" s="207"/>
      <c r="V93" s="231"/>
      <c r="W93" s="17"/>
      <c r="X93" s="17"/>
      <c r="Y93" s="168"/>
      <c r="Z93" s="201"/>
      <c r="AA93" s="20"/>
      <c r="AB93" s="20"/>
      <c r="AC93" s="20"/>
      <c r="AD93" s="387"/>
      <c r="AE93" s="67"/>
      <c r="AF93" s="70" t="s">
        <v>402</v>
      </c>
      <c r="AG93" s="75" t="s">
        <v>84</v>
      </c>
      <c r="AH93" s="75" t="s">
        <v>84</v>
      </c>
      <c r="AI93" s="75">
        <v>1</v>
      </c>
      <c r="AJ93" s="75">
        <v>1</v>
      </c>
      <c r="AK93" s="75">
        <v>0.9</v>
      </c>
      <c r="AL93" s="75">
        <v>0.9</v>
      </c>
      <c r="AM93" s="75">
        <v>0.8</v>
      </c>
      <c r="AN93" s="75">
        <v>0.8</v>
      </c>
      <c r="AO93" s="75">
        <v>0.7</v>
      </c>
      <c r="AP93" s="75">
        <v>0.7</v>
      </c>
      <c r="AQ93" s="75">
        <v>0.6</v>
      </c>
      <c r="AR93" s="75">
        <v>0.6</v>
      </c>
      <c r="AS93" s="75">
        <v>0.6</v>
      </c>
      <c r="AT93" s="81">
        <v>0.5</v>
      </c>
      <c r="AU93" s="20"/>
      <c r="AV93" s="20"/>
      <c r="AW93" s="20"/>
      <c r="AX93" s="20"/>
      <c r="AY93" s="20"/>
      <c r="AZ93" s="20"/>
      <c r="BA93" s="20"/>
      <c r="BB93" s="20"/>
      <c r="BC93" s="20"/>
      <c r="BD93" s="20"/>
      <c r="BE93" s="20"/>
      <c r="BF93" s="20"/>
      <c r="BG93" s="20"/>
      <c r="BH93" s="20"/>
    </row>
    <row r="94" spans="1:60">
      <c r="A94" s="193"/>
      <c r="B94" s="206"/>
      <c r="C94" s="206" t="s">
        <v>420</v>
      </c>
      <c r="D94" s="206" t="s">
        <v>371</v>
      </c>
      <c r="E94" s="206"/>
      <c r="F94" s="206"/>
      <c r="G94" s="168"/>
      <c r="H94" s="168"/>
      <c r="I94" s="206"/>
      <c r="J94" s="206"/>
      <c r="K94" s="206"/>
      <c r="L94" s="206"/>
      <c r="M94" s="206"/>
      <c r="N94" s="206"/>
      <c r="O94" s="206"/>
      <c r="P94" s="365">
        <f>COUNT(U89:X100)</f>
        <v>0</v>
      </c>
      <c r="Q94" s="365"/>
      <c r="R94" s="168"/>
      <c r="S94" s="168"/>
      <c r="T94" s="168"/>
      <c r="U94" s="207"/>
      <c r="V94" s="231"/>
      <c r="W94" s="17"/>
      <c r="X94" s="17"/>
      <c r="Y94" s="168"/>
      <c r="Z94" s="201"/>
      <c r="AA94" s="20"/>
      <c r="AB94" s="20"/>
      <c r="AC94" s="20"/>
      <c r="AD94" s="387"/>
      <c r="AE94" s="67"/>
      <c r="AF94" s="70" t="s">
        <v>403</v>
      </c>
      <c r="AG94" s="75" t="s">
        <v>84</v>
      </c>
      <c r="AH94" s="75" t="s">
        <v>84</v>
      </c>
      <c r="AI94" s="75" t="s">
        <v>84</v>
      </c>
      <c r="AJ94" s="75">
        <v>1</v>
      </c>
      <c r="AK94" s="75">
        <v>1</v>
      </c>
      <c r="AL94" s="75">
        <v>0.9</v>
      </c>
      <c r="AM94" s="75">
        <v>0.9</v>
      </c>
      <c r="AN94" s="75">
        <v>0.8</v>
      </c>
      <c r="AO94" s="75">
        <v>0.8</v>
      </c>
      <c r="AP94" s="75">
        <v>0.7</v>
      </c>
      <c r="AQ94" s="75">
        <v>0.7</v>
      </c>
      <c r="AR94" s="75">
        <v>0.7</v>
      </c>
      <c r="AS94" s="75">
        <v>0.6</v>
      </c>
      <c r="AT94" s="81">
        <v>0.6</v>
      </c>
      <c r="AU94" s="20"/>
      <c r="AV94" s="20"/>
      <c r="AW94" s="20"/>
      <c r="AX94" s="20"/>
      <c r="AY94" s="20"/>
      <c r="AZ94" s="20"/>
      <c r="BA94" s="20"/>
      <c r="BB94" s="20"/>
      <c r="BC94" s="20"/>
      <c r="BD94" s="20"/>
      <c r="BE94" s="20"/>
      <c r="BF94" s="20"/>
      <c r="BG94" s="20"/>
      <c r="BH94" s="20"/>
    </row>
    <row r="95" spans="1:60">
      <c r="A95" s="193"/>
      <c r="B95" s="170"/>
      <c r="C95" s="170"/>
      <c r="D95" s="170"/>
      <c r="E95" s="170"/>
      <c r="F95" s="170"/>
      <c r="G95" s="170"/>
      <c r="H95" s="170"/>
      <c r="I95" s="170"/>
      <c r="J95" s="206"/>
      <c r="K95" s="206"/>
      <c r="L95" s="206"/>
      <c r="M95" s="206"/>
      <c r="N95" s="206"/>
      <c r="O95" s="206"/>
      <c r="P95" s="168"/>
      <c r="Q95" s="168"/>
      <c r="R95" s="168"/>
      <c r="S95" s="168"/>
      <c r="T95" s="168"/>
      <c r="U95" s="207"/>
      <c r="V95" s="231"/>
      <c r="W95" s="17"/>
      <c r="X95" s="17"/>
      <c r="Y95" s="168"/>
      <c r="Z95" s="201"/>
      <c r="AA95" s="20"/>
      <c r="AB95" s="20"/>
      <c r="AC95" s="20"/>
      <c r="AD95" s="387"/>
      <c r="AE95" s="67"/>
      <c r="AF95" s="70" t="s">
        <v>404</v>
      </c>
      <c r="AG95" s="75" t="s">
        <v>84</v>
      </c>
      <c r="AH95" s="75" t="s">
        <v>84</v>
      </c>
      <c r="AI95" s="75" t="s">
        <v>84</v>
      </c>
      <c r="AJ95" s="75" t="s">
        <v>84</v>
      </c>
      <c r="AK95" s="75">
        <v>1</v>
      </c>
      <c r="AL95" s="75">
        <v>1</v>
      </c>
      <c r="AM95" s="75">
        <v>1</v>
      </c>
      <c r="AN95" s="75">
        <v>0.9</v>
      </c>
      <c r="AO95" s="75">
        <v>0.9</v>
      </c>
      <c r="AP95" s="75">
        <v>0.8</v>
      </c>
      <c r="AQ95" s="75">
        <v>0.8</v>
      </c>
      <c r="AR95" s="75">
        <v>0.7</v>
      </c>
      <c r="AS95" s="75">
        <v>0.7</v>
      </c>
      <c r="AT95" s="81">
        <v>0.7</v>
      </c>
      <c r="AU95" s="20"/>
      <c r="AV95" s="20"/>
      <c r="AW95" s="20"/>
      <c r="AX95" s="20"/>
      <c r="AY95" s="20"/>
      <c r="AZ95" s="20"/>
      <c r="BA95" s="20"/>
      <c r="BB95" s="20"/>
      <c r="BC95" s="20"/>
      <c r="BD95" s="20"/>
      <c r="BE95" s="20"/>
      <c r="BF95" s="20"/>
      <c r="BG95" s="20"/>
      <c r="BH95" s="20"/>
    </row>
    <row r="96" spans="1:60">
      <c r="A96" s="193"/>
      <c r="B96" s="170"/>
      <c r="C96" s="170" t="s">
        <v>421</v>
      </c>
      <c r="D96" s="170" t="s">
        <v>438</v>
      </c>
      <c r="E96" s="170"/>
      <c r="F96" s="170"/>
      <c r="G96" s="170"/>
      <c r="H96" s="170"/>
      <c r="I96" s="170"/>
      <c r="J96" s="206"/>
      <c r="K96" s="206"/>
      <c r="L96" s="206"/>
      <c r="M96" s="206"/>
      <c r="N96" s="206"/>
      <c r="O96" s="206"/>
      <c r="P96" s="312" t="str">
        <f>IF(P94=0,"0",P92/P94)</f>
        <v>0</v>
      </c>
      <c r="Q96" s="312"/>
      <c r="R96" s="168"/>
      <c r="S96" s="168"/>
      <c r="T96" s="168"/>
      <c r="U96" s="207"/>
      <c r="V96" s="231"/>
      <c r="W96" s="17"/>
      <c r="X96" s="17"/>
      <c r="Y96" s="168"/>
      <c r="Z96" s="201"/>
      <c r="AA96" s="20"/>
      <c r="AB96" s="20"/>
      <c r="AC96" s="20"/>
      <c r="AD96" s="387"/>
      <c r="AE96" s="67"/>
      <c r="AF96" s="70" t="s">
        <v>405</v>
      </c>
      <c r="AG96" s="75" t="s">
        <v>84</v>
      </c>
      <c r="AH96" s="75" t="s">
        <v>84</v>
      </c>
      <c r="AI96" s="75" t="s">
        <v>84</v>
      </c>
      <c r="AJ96" s="75" t="s">
        <v>84</v>
      </c>
      <c r="AK96" s="75" t="s">
        <v>84</v>
      </c>
      <c r="AL96" s="75">
        <v>1</v>
      </c>
      <c r="AM96" s="75">
        <v>1</v>
      </c>
      <c r="AN96" s="75">
        <v>1</v>
      </c>
      <c r="AO96" s="75">
        <v>0.9</v>
      </c>
      <c r="AP96" s="75">
        <v>0.9</v>
      </c>
      <c r="AQ96" s="75">
        <v>0.8</v>
      </c>
      <c r="AR96" s="75">
        <v>0.8</v>
      </c>
      <c r="AS96" s="75">
        <v>0.8</v>
      </c>
      <c r="AT96" s="81">
        <v>0.7</v>
      </c>
      <c r="AU96" s="20"/>
      <c r="AV96" s="20"/>
      <c r="AW96" s="20"/>
      <c r="AX96" s="20"/>
      <c r="AY96" s="20"/>
      <c r="AZ96" s="20"/>
      <c r="BA96" s="20"/>
      <c r="BB96" s="20"/>
      <c r="BC96" s="20"/>
      <c r="BD96" s="20"/>
      <c r="BE96" s="20"/>
      <c r="BF96" s="20"/>
      <c r="BG96" s="20"/>
      <c r="BH96" s="20"/>
    </row>
    <row r="97" spans="1:60">
      <c r="A97" s="193"/>
      <c r="B97" s="170"/>
      <c r="C97" s="170"/>
      <c r="D97" s="170"/>
      <c r="E97" s="170"/>
      <c r="F97" s="170"/>
      <c r="G97" s="170"/>
      <c r="H97" s="170"/>
      <c r="I97" s="170"/>
      <c r="J97" s="206"/>
      <c r="K97" s="206"/>
      <c r="L97" s="206"/>
      <c r="M97" s="206"/>
      <c r="N97" s="206"/>
      <c r="O97" s="206"/>
      <c r="P97" s="168"/>
      <c r="Q97" s="168"/>
      <c r="R97" s="168"/>
      <c r="S97" s="168"/>
      <c r="T97" s="168"/>
      <c r="U97" s="207"/>
      <c r="V97" s="231"/>
      <c r="W97" s="17"/>
      <c r="X97" s="17"/>
      <c r="Y97" s="168"/>
      <c r="Z97" s="201"/>
      <c r="AA97" s="20"/>
      <c r="AB97" s="20"/>
      <c r="AC97" s="20"/>
      <c r="AD97" s="387"/>
      <c r="AE97" s="67"/>
      <c r="AF97" s="70" t="s">
        <v>406</v>
      </c>
      <c r="AG97" s="75" t="s">
        <v>84</v>
      </c>
      <c r="AH97" s="75" t="s">
        <v>84</v>
      </c>
      <c r="AI97" s="75" t="s">
        <v>84</v>
      </c>
      <c r="AJ97" s="75" t="s">
        <v>84</v>
      </c>
      <c r="AK97" s="75" t="s">
        <v>84</v>
      </c>
      <c r="AL97" s="75" t="s">
        <v>84</v>
      </c>
      <c r="AM97" s="75">
        <v>1</v>
      </c>
      <c r="AN97" s="75">
        <v>1</v>
      </c>
      <c r="AO97" s="75">
        <v>1</v>
      </c>
      <c r="AP97" s="75">
        <v>0.9</v>
      </c>
      <c r="AQ97" s="75">
        <v>0.9</v>
      </c>
      <c r="AR97" s="75">
        <v>0.9</v>
      </c>
      <c r="AS97" s="75">
        <v>0.8</v>
      </c>
      <c r="AT97" s="81">
        <v>0.8</v>
      </c>
      <c r="AU97" s="20"/>
      <c r="AV97" s="20"/>
      <c r="AW97" s="20"/>
      <c r="AX97" s="20"/>
      <c r="AY97" s="20"/>
      <c r="AZ97" s="20"/>
      <c r="BA97" s="20"/>
      <c r="BB97" s="20"/>
      <c r="BC97" s="20"/>
      <c r="BD97" s="20"/>
      <c r="BE97" s="20"/>
      <c r="BF97" s="20"/>
      <c r="BG97" s="20"/>
      <c r="BH97" s="20"/>
    </row>
    <row r="98" spans="1:60">
      <c r="A98" s="193"/>
      <c r="B98" s="170"/>
      <c r="C98" s="170" t="s">
        <v>422</v>
      </c>
      <c r="D98" s="170" t="s">
        <v>439</v>
      </c>
      <c r="E98" s="170"/>
      <c r="F98" s="170"/>
      <c r="G98" s="170"/>
      <c r="H98" s="170"/>
      <c r="I98" s="170"/>
      <c r="J98" s="206"/>
      <c r="K98" s="206"/>
      <c r="L98" s="206"/>
      <c r="M98" s="206"/>
      <c r="N98" s="206"/>
      <c r="O98" s="206"/>
      <c r="P98" s="168"/>
      <c r="Q98" s="168"/>
      <c r="R98" s="168"/>
      <c r="S98" s="168"/>
      <c r="T98" s="168"/>
      <c r="U98" s="207"/>
      <c r="V98" s="231"/>
      <c r="W98" s="17"/>
      <c r="X98" s="17"/>
      <c r="Y98" s="168"/>
      <c r="Z98" s="201"/>
      <c r="AA98" s="20"/>
      <c r="AB98" s="20"/>
      <c r="AC98" s="20"/>
      <c r="AD98" s="387"/>
      <c r="AE98" s="67"/>
      <c r="AF98" s="70" t="s">
        <v>407</v>
      </c>
      <c r="AG98" s="75" t="s">
        <v>84</v>
      </c>
      <c r="AH98" s="75" t="s">
        <v>84</v>
      </c>
      <c r="AI98" s="75" t="s">
        <v>84</v>
      </c>
      <c r="AJ98" s="75" t="s">
        <v>84</v>
      </c>
      <c r="AK98" s="75" t="s">
        <v>84</v>
      </c>
      <c r="AL98" s="75" t="s">
        <v>84</v>
      </c>
      <c r="AM98" s="75" t="s">
        <v>84</v>
      </c>
      <c r="AN98" s="75">
        <v>1</v>
      </c>
      <c r="AO98" s="75">
        <v>1</v>
      </c>
      <c r="AP98" s="75">
        <v>1</v>
      </c>
      <c r="AQ98" s="75">
        <v>0.9</v>
      </c>
      <c r="AR98" s="75">
        <v>0.9</v>
      </c>
      <c r="AS98" s="75">
        <v>0.9</v>
      </c>
      <c r="AT98" s="81">
        <v>0.9</v>
      </c>
      <c r="AU98" s="20"/>
      <c r="AV98" s="20"/>
      <c r="AW98" s="20"/>
      <c r="AX98" s="20"/>
      <c r="AY98" s="20"/>
      <c r="AZ98" s="20"/>
      <c r="BA98" s="20"/>
      <c r="BB98" s="20"/>
      <c r="BC98" s="20"/>
      <c r="BD98" s="20"/>
      <c r="BE98" s="20"/>
      <c r="BF98" s="20"/>
      <c r="BG98" s="20"/>
      <c r="BH98" s="20"/>
    </row>
    <row r="99" spans="1:60">
      <c r="A99" s="193"/>
      <c r="B99" s="170"/>
      <c r="C99" s="170"/>
      <c r="D99" s="170"/>
      <c r="E99" s="170"/>
      <c r="F99" s="170"/>
      <c r="G99" s="170"/>
      <c r="H99" s="170"/>
      <c r="I99" s="170"/>
      <c r="J99" s="206"/>
      <c r="K99" s="206"/>
      <c r="L99" s="206"/>
      <c r="M99" s="206"/>
      <c r="N99" s="206"/>
      <c r="O99" s="206"/>
      <c r="P99" s="168"/>
      <c r="Q99" s="168"/>
      <c r="R99" s="168"/>
      <c r="S99" s="168"/>
      <c r="T99" s="168"/>
      <c r="U99" s="207"/>
      <c r="V99" s="231"/>
      <c r="W99" s="17"/>
      <c r="X99" s="17"/>
      <c r="Y99" s="168"/>
      <c r="Z99" s="201"/>
      <c r="AA99" s="20"/>
      <c r="AB99" s="20"/>
      <c r="AC99" s="20"/>
      <c r="AD99" s="387"/>
      <c r="AE99" s="67"/>
      <c r="AF99" s="70" t="s">
        <v>408</v>
      </c>
      <c r="AG99" s="75" t="s">
        <v>84</v>
      </c>
      <c r="AH99" s="75" t="s">
        <v>84</v>
      </c>
      <c r="AI99" s="75" t="s">
        <v>84</v>
      </c>
      <c r="AJ99" s="75" t="s">
        <v>84</v>
      </c>
      <c r="AK99" s="75" t="s">
        <v>84</v>
      </c>
      <c r="AL99" s="75" t="s">
        <v>84</v>
      </c>
      <c r="AM99" s="75" t="s">
        <v>84</v>
      </c>
      <c r="AN99" s="75" t="s">
        <v>84</v>
      </c>
      <c r="AO99" s="75">
        <v>1</v>
      </c>
      <c r="AP99" s="75">
        <v>1</v>
      </c>
      <c r="AQ99" s="75">
        <v>1</v>
      </c>
      <c r="AR99" s="75">
        <v>1</v>
      </c>
      <c r="AS99" s="75">
        <v>0.9</v>
      </c>
      <c r="AT99" s="81">
        <v>0.9</v>
      </c>
      <c r="AU99" s="20"/>
      <c r="AV99" s="20"/>
      <c r="AW99" s="20"/>
      <c r="AX99" s="20"/>
      <c r="AY99" s="20"/>
      <c r="AZ99" s="20"/>
      <c r="BA99" s="20"/>
      <c r="BB99" s="20"/>
      <c r="BC99" s="20"/>
      <c r="BD99" s="20"/>
      <c r="BE99" s="20"/>
      <c r="BF99" s="20"/>
      <c r="BG99" s="20"/>
      <c r="BH99" s="20"/>
    </row>
    <row r="100" spans="1:60">
      <c r="A100" s="193"/>
      <c r="B100" s="184"/>
      <c r="C100" s="170" t="s">
        <v>423</v>
      </c>
      <c r="D100" s="170" t="s">
        <v>440</v>
      </c>
      <c r="E100" s="170"/>
      <c r="F100" s="170"/>
      <c r="G100" s="170"/>
      <c r="H100" s="170"/>
      <c r="I100" s="170"/>
      <c r="J100" s="206"/>
      <c r="K100" s="206"/>
      <c r="L100" s="206"/>
      <c r="M100" s="206"/>
      <c r="N100" s="206"/>
      <c r="O100" s="206"/>
      <c r="P100" s="312">
        <f>Q18</f>
        <v>0</v>
      </c>
      <c r="Q100" s="312"/>
      <c r="R100" s="170" t="s">
        <v>30</v>
      </c>
      <c r="S100" s="206"/>
      <c r="T100" s="168"/>
      <c r="U100" s="207"/>
      <c r="V100" s="231"/>
      <c r="W100" s="17"/>
      <c r="X100" s="17"/>
      <c r="Y100" s="168"/>
      <c r="Z100" s="201"/>
      <c r="AA100" s="20"/>
      <c r="AB100" s="20"/>
      <c r="AC100" s="20"/>
      <c r="AD100" s="387"/>
      <c r="AE100" s="67"/>
      <c r="AF100" s="70" t="s">
        <v>409</v>
      </c>
      <c r="AG100" s="75" t="s">
        <v>84</v>
      </c>
      <c r="AH100" s="75" t="s">
        <v>84</v>
      </c>
      <c r="AI100" s="75" t="s">
        <v>84</v>
      </c>
      <c r="AJ100" s="75" t="s">
        <v>84</v>
      </c>
      <c r="AK100" s="75" t="s">
        <v>84</v>
      </c>
      <c r="AL100" s="75" t="s">
        <v>84</v>
      </c>
      <c r="AM100" s="75" t="s">
        <v>84</v>
      </c>
      <c r="AN100" s="75" t="s">
        <v>84</v>
      </c>
      <c r="AO100" s="75" t="s">
        <v>84</v>
      </c>
      <c r="AP100" s="75">
        <v>1</v>
      </c>
      <c r="AQ100" s="75">
        <v>1</v>
      </c>
      <c r="AR100" s="75">
        <v>1</v>
      </c>
      <c r="AS100" s="75">
        <v>1</v>
      </c>
      <c r="AT100" s="81">
        <v>0.9</v>
      </c>
      <c r="AU100" s="20"/>
      <c r="AV100" s="20"/>
      <c r="AW100" s="20"/>
      <c r="AX100" s="20"/>
      <c r="AY100" s="20"/>
      <c r="AZ100" s="20"/>
      <c r="BA100" s="20"/>
      <c r="BB100" s="20"/>
      <c r="BC100" s="20"/>
      <c r="BD100" s="20"/>
      <c r="BE100" s="20"/>
      <c r="BF100" s="20"/>
      <c r="BG100" s="20"/>
      <c r="BH100" s="20"/>
    </row>
    <row r="101" spans="1:60">
      <c r="A101" s="193"/>
      <c r="B101" s="170"/>
      <c r="C101" s="170"/>
      <c r="D101" s="170"/>
      <c r="E101" s="170"/>
      <c r="F101" s="170"/>
      <c r="G101" s="170"/>
      <c r="H101" s="170"/>
      <c r="I101" s="170"/>
      <c r="J101" s="206"/>
      <c r="K101" s="206"/>
      <c r="L101" s="206"/>
      <c r="M101" s="206"/>
      <c r="N101" s="206"/>
      <c r="O101" s="206"/>
      <c r="P101" s="168"/>
      <c r="Q101" s="168"/>
      <c r="R101" s="168"/>
      <c r="S101" s="168"/>
      <c r="T101" s="168"/>
      <c r="U101" s="168"/>
      <c r="V101" s="168"/>
      <c r="W101" s="168"/>
      <c r="X101" s="168"/>
      <c r="Y101" s="168"/>
      <c r="Z101" s="201"/>
      <c r="AA101" s="20"/>
      <c r="AB101" s="20"/>
      <c r="AC101" s="20"/>
      <c r="AD101" s="387"/>
      <c r="AE101" s="67"/>
      <c r="AF101" s="70" t="s">
        <v>410</v>
      </c>
      <c r="AG101" s="75" t="s">
        <v>84</v>
      </c>
      <c r="AH101" s="75" t="s">
        <v>84</v>
      </c>
      <c r="AI101" s="75" t="s">
        <v>84</v>
      </c>
      <c r="AJ101" s="75" t="s">
        <v>84</v>
      </c>
      <c r="AK101" s="75" t="s">
        <v>84</v>
      </c>
      <c r="AL101" s="75" t="s">
        <v>84</v>
      </c>
      <c r="AM101" s="75" t="s">
        <v>84</v>
      </c>
      <c r="AN101" s="75" t="s">
        <v>84</v>
      </c>
      <c r="AO101" s="75" t="s">
        <v>84</v>
      </c>
      <c r="AP101" s="75" t="s">
        <v>84</v>
      </c>
      <c r="AQ101" s="75">
        <v>1</v>
      </c>
      <c r="AR101" s="75">
        <v>1</v>
      </c>
      <c r="AS101" s="75">
        <v>1</v>
      </c>
      <c r="AT101" s="81">
        <v>1</v>
      </c>
      <c r="AU101" s="20"/>
      <c r="AV101" s="20"/>
      <c r="AW101" s="20"/>
      <c r="AX101" s="20"/>
      <c r="AY101" s="20"/>
      <c r="AZ101" s="20"/>
      <c r="BA101" s="20"/>
      <c r="BB101" s="20"/>
      <c r="BC101" s="20"/>
      <c r="BD101" s="20"/>
      <c r="BE101" s="20"/>
      <c r="BF101" s="20"/>
      <c r="BG101" s="20"/>
      <c r="BH101" s="20"/>
    </row>
    <row r="102" spans="1:60">
      <c r="A102" s="193"/>
      <c r="B102" s="170"/>
      <c r="C102" s="170" t="s">
        <v>424</v>
      </c>
      <c r="D102" s="170" t="s">
        <v>441</v>
      </c>
      <c r="E102" s="170"/>
      <c r="F102" s="170"/>
      <c r="G102" s="170"/>
      <c r="H102" s="170"/>
      <c r="I102" s="170"/>
      <c r="J102" s="206"/>
      <c r="K102" s="206"/>
      <c r="L102" s="206"/>
      <c r="M102" s="206"/>
      <c r="N102" s="206"/>
      <c r="O102" s="206"/>
      <c r="P102" s="312">
        <f>P100*P96</f>
        <v>0</v>
      </c>
      <c r="Q102" s="312"/>
      <c r="R102" s="170" t="s">
        <v>30</v>
      </c>
      <c r="S102" s="168"/>
      <c r="T102" s="168"/>
      <c r="U102" s="168"/>
      <c r="V102" s="168"/>
      <c r="W102" s="168"/>
      <c r="X102" s="168"/>
      <c r="Y102" s="168"/>
      <c r="Z102" s="201"/>
      <c r="AA102" s="20"/>
      <c r="AB102" s="20"/>
      <c r="AC102" s="20"/>
      <c r="AD102" s="387"/>
      <c r="AE102" s="67"/>
      <c r="AF102" s="70" t="s">
        <v>411</v>
      </c>
      <c r="AG102" s="75" t="s">
        <v>84</v>
      </c>
      <c r="AH102" s="75" t="s">
        <v>84</v>
      </c>
      <c r="AI102" s="75" t="s">
        <v>84</v>
      </c>
      <c r="AJ102" s="75" t="s">
        <v>84</v>
      </c>
      <c r="AK102" s="75" t="s">
        <v>84</v>
      </c>
      <c r="AL102" s="75" t="s">
        <v>84</v>
      </c>
      <c r="AM102" s="75" t="s">
        <v>84</v>
      </c>
      <c r="AN102" s="75" t="s">
        <v>84</v>
      </c>
      <c r="AO102" s="75" t="s">
        <v>84</v>
      </c>
      <c r="AP102" s="75" t="s">
        <v>84</v>
      </c>
      <c r="AQ102" s="75" t="s">
        <v>84</v>
      </c>
      <c r="AR102" s="75">
        <v>1</v>
      </c>
      <c r="AS102" s="75">
        <v>1</v>
      </c>
      <c r="AT102" s="81">
        <v>1</v>
      </c>
      <c r="AU102" s="20"/>
      <c r="AV102" s="20"/>
      <c r="AW102" s="20"/>
      <c r="AX102" s="20"/>
      <c r="AY102" s="20"/>
      <c r="AZ102" s="20"/>
      <c r="BA102" s="20"/>
      <c r="BB102" s="20"/>
      <c r="BC102" s="20"/>
      <c r="BD102" s="20"/>
      <c r="BE102" s="20"/>
      <c r="BF102" s="20"/>
      <c r="BG102" s="20"/>
      <c r="BH102" s="20"/>
    </row>
    <row r="103" spans="1:60">
      <c r="A103" s="193"/>
      <c r="B103" s="170"/>
      <c r="C103" s="170"/>
      <c r="D103" s="170"/>
      <c r="E103" s="170"/>
      <c r="F103" s="170"/>
      <c r="G103" s="170"/>
      <c r="H103" s="170"/>
      <c r="I103" s="170"/>
      <c r="J103" s="170"/>
      <c r="K103" s="170"/>
      <c r="L103" s="170"/>
      <c r="M103" s="170"/>
      <c r="N103" s="170"/>
      <c r="O103" s="170"/>
      <c r="P103" s="168"/>
      <c r="Q103" s="168"/>
      <c r="R103" s="168"/>
      <c r="S103" s="168"/>
      <c r="T103" s="168"/>
      <c r="U103" s="168"/>
      <c r="V103" s="168"/>
      <c r="W103" s="168"/>
      <c r="X103" s="168"/>
      <c r="Y103" s="168"/>
      <c r="Z103" s="201"/>
      <c r="AA103" s="20"/>
      <c r="AB103" s="20"/>
      <c r="AC103" s="20"/>
      <c r="AD103" s="387"/>
      <c r="AE103" s="67"/>
      <c r="AF103" s="70" t="s">
        <v>412</v>
      </c>
      <c r="AG103" s="75" t="s">
        <v>84</v>
      </c>
      <c r="AH103" s="75" t="s">
        <v>84</v>
      </c>
      <c r="AI103" s="75" t="s">
        <v>84</v>
      </c>
      <c r="AJ103" s="75" t="s">
        <v>84</v>
      </c>
      <c r="AK103" s="75" t="s">
        <v>84</v>
      </c>
      <c r="AL103" s="75" t="s">
        <v>84</v>
      </c>
      <c r="AM103" s="75" t="s">
        <v>84</v>
      </c>
      <c r="AN103" s="75" t="s">
        <v>84</v>
      </c>
      <c r="AO103" s="75" t="s">
        <v>84</v>
      </c>
      <c r="AP103" s="75" t="s">
        <v>84</v>
      </c>
      <c r="AQ103" s="75" t="s">
        <v>84</v>
      </c>
      <c r="AR103" s="75" t="s">
        <v>84</v>
      </c>
      <c r="AS103" s="75">
        <v>1</v>
      </c>
      <c r="AT103" s="81">
        <v>1</v>
      </c>
      <c r="AU103" s="20"/>
      <c r="AV103" s="20"/>
      <c r="AW103" s="20"/>
      <c r="AX103" s="20"/>
      <c r="AY103" s="20"/>
      <c r="AZ103" s="20"/>
      <c r="BA103" s="20"/>
      <c r="BB103" s="20"/>
      <c r="BC103" s="20"/>
      <c r="BD103" s="20"/>
      <c r="BE103" s="20"/>
      <c r="BF103" s="20"/>
      <c r="BG103" s="20"/>
      <c r="BH103" s="20"/>
    </row>
    <row r="104" spans="1:60">
      <c r="A104" s="193"/>
      <c r="B104" s="170"/>
      <c r="C104" s="170" t="s">
        <v>425</v>
      </c>
      <c r="D104" s="170" t="s">
        <v>377</v>
      </c>
      <c r="E104" s="170"/>
      <c r="F104" s="170"/>
      <c r="G104" s="170"/>
      <c r="H104" s="170"/>
      <c r="I104" s="170"/>
      <c r="J104" s="170"/>
      <c r="K104" s="170"/>
      <c r="L104" s="170"/>
      <c r="M104" s="170"/>
      <c r="N104" s="170"/>
      <c r="O104" s="170"/>
      <c r="P104" s="305"/>
      <c r="Q104" s="305"/>
      <c r="R104" s="170" t="s">
        <v>163</v>
      </c>
      <c r="S104" s="168"/>
      <c r="T104" s="168"/>
      <c r="U104" s="168"/>
      <c r="V104" s="168"/>
      <c r="W104" s="168"/>
      <c r="X104" s="168"/>
      <c r="Y104" s="168"/>
      <c r="Z104" s="201"/>
      <c r="AA104" s="20"/>
      <c r="AB104" s="20"/>
      <c r="AC104" s="20"/>
      <c r="AD104" s="387"/>
      <c r="AE104" s="67"/>
      <c r="AF104" s="70" t="s">
        <v>413</v>
      </c>
      <c r="AG104" s="75" t="s">
        <v>84</v>
      </c>
      <c r="AH104" s="75" t="s">
        <v>84</v>
      </c>
      <c r="AI104" s="75" t="s">
        <v>84</v>
      </c>
      <c r="AJ104" s="75" t="s">
        <v>84</v>
      </c>
      <c r="AK104" s="75" t="s">
        <v>84</v>
      </c>
      <c r="AL104" s="75" t="s">
        <v>84</v>
      </c>
      <c r="AM104" s="75" t="s">
        <v>84</v>
      </c>
      <c r="AN104" s="75" t="s">
        <v>84</v>
      </c>
      <c r="AO104" s="75" t="s">
        <v>84</v>
      </c>
      <c r="AP104" s="75" t="s">
        <v>84</v>
      </c>
      <c r="AQ104" s="75" t="s">
        <v>84</v>
      </c>
      <c r="AR104" s="75" t="s">
        <v>84</v>
      </c>
      <c r="AS104" s="75" t="s">
        <v>84</v>
      </c>
      <c r="AT104" s="81">
        <v>1</v>
      </c>
      <c r="AU104" s="20"/>
      <c r="AV104" s="20"/>
      <c r="AW104" s="20"/>
      <c r="AX104" s="20"/>
      <c r="AY104" s="20"/>
      <c r="AZ104" s="20"/>
      <c r="BA104" s="20"/>
      <c r="BB104" s="20"/>
      <c r="BC104" s="20"/>
      <c r="BD104" s="20"/>
      <c r="BE104" s="20"/>
      <c r="BF104" s="20"/>
      <c r="BG104" s="20"/>
      <c r="BH104" s="20"/>
    </row>
    <row r="105" spans="1:60">
      <c r="A105" s="193"/>
      <c r="B105" s="170"/>
      <c r="C105" s="170"/>
      <c r="D105" s="170"/>
      <c r="E105" s="170"/>
      <c r="F105" s="170"/>
      <c r="G105" s="170"/>
      <c r="H105" s="170"/>
      <c r="I105" s="170"/>
      <c r="J105" s="170"/>
      <c r="K105" s="170"/>
      <c r="L105" s="170"/>
      <c r="M105" s="170"/>
      <c r="N105" s="170"/>
      <c r="O105" s="170"/>
      <c r="P105" s="168"/>
      <c r="Q105" s="168"/>
      <c r="R105" s="168"/>
      <c r="S105" s="168"/>
      <c r="T105" s="168"/>
      <c r="U105" s="168"/>
      <c r="V105" s="168"/>
      <c r="W105" s="168"/>
      <c r="X105" s="168"/>
      <c r="Y105" s="168"/>
      <c r="Z105" s="201"/>
      <c r="AA105" s="20"/>
      <c r="AB105" s="20"/>
      <c r="AC105" s="20"/>
      <c r="AD105" s="388"/>
      <c r="AE105" s="71"/>
      <c r="AF105" s="72"/>
      <c r="AG105" s="76"/>
      <c r="AH105" s="76"/>
      <c r="AI105" s="76"/>
      <c r="AJ105" s="76"/>
      <c r="AK105" s="76"/>
      <c r="AL105" s="76"/>
      <c r="AM105" s="76"/>
      <c r="AN105" s="76"/>
      <c r="AO105" s="76"/>
      <c r="AP105" s="76"/>
      <c r="AQ105" s="76"/>
      <c r="AR105" s="76"/>
      <c r="AS105" s="76"/>
      <c r="AT105" s="83"/>
      <c r="AU105" s="20"/>
      <c r="AV105" s="20"/>
      <c r="AW105" s="20"/>
      <c r="AX105" s="20"/>
      <c r="AY105" s="20"/>
      <c r="AZ105" s="20"/>
      <c r="BA105" s="20"/>
      <c r="BB105" s="20"/>
      <c r="BC105" s="20"/>
      <c r="BD105" s="20"/>
      <c r="BE105" s="20"/>
      <c r="BF105" s="20"/>
      <c r="BG105" s="20"/>
      <c r="BH105" s="20"/>
    </row>
    <row r="106" spans="1:60">
      <c r="A106" s="193"/>
      <c r="B106" s="170"/>
      <c r="C106" s="170" t="s">
        <v>426</v>
      </c>
      <c r="D106" s="170" t="s">
        <v>442</v>
      </c>
      <c r="E106" s="170"/>
      <c r="F106" s="170"/>
      <c r="G106" s="170"/>
      <c r="H106" s="170"/>
      <c r="I106" s="170"/>
      <c r="J106" s="170"/>
      <c r="K106" s="170"/>
      <c r="L106" s="170"/>
      <c r="M106" s="170"/>
      <c r="N106" s="170"/>
      <c r="O106" s="170"/>
      <c r="P106" s="312">
        <f>((P102*P104)/100)+P102</f>
        <v>0</v>
      </c>
      <c r="Q106" s="312"/>
      <c r="R106" s="170" t="s">
        <v>30</v>
      </c>
      <c r="S106" s="168"/>
      <c r="T106" s="168"/>
      <c r="U106" s="168"/>
      <c r="V106" s="168"/>
      <c r="W106" s="168"/>
      <c r="X106" s="168"/>
      <c r="Y106" s="168"/>
      <c r="Z106" s="201"/>
      <c r="AA106" s="20"/>
      <c r="AB106" s="20"/>
      <c r="AC106" s="20"/>
      <c r="AD106" s="20"/>
      <c r="AE106" s="20"/>
      <c r="AF106" s="20"/>
      <c r="AG106" s="20"/>
      <c r="AH106" s="20"/>
      <c r="AI106" s="20"/>
      <c r="AJ106" s="20"/>
      <c r="AK106" s="20"/>
      <c r="AL106" s="20"/>
      <c r="AM106" s="20"/>
      <c r="AN106" s="20"/>
      <c r="AO106" s="20"/>
      <c r="AP106" s="20"/>
      <c r="AQ106" s="20"/>
      <c r="AR106" s="20"/>
      <c r="AS106" s="20"/>
      <c r="AT106" s="20"/>
      <c r="AU106" s="20"/>
      <c r="AV106" s="20"/>
      <c r="AW106" s="20"/>
      <c r="AX106" s="20"/>
      <c r="AY106" s="20"/>
      <c r="AZ106" s="20"/>
      <c r="BA106" s="20"/>
      <c r="BB106" s="20"/>
      <c r="BC106" s="20"/>
      <c r="BD106" s="20"/>
      <c r="BE106" s="20"/>
      <c r="BF106" s="20"/>
      <c r="BG106" s="20"/>
      <c r="BH106" s="20"/>
    </row>
    <row r="107" spans="1:60">
      <c r="A107" s="193"/>
      <c r="B107" s="168"/>
      <c r="C107" s="168"/>
      <c r="D107" s="168"/>
      <c r="E107" s="168"/>
      <c r="F107" s="168"/>
      <c r="G107" s="168"/>
      <c r="H107" s="168"/>
      <c r="I107" s="168"/>
      <c r="J107" s="168"/>
      <c r="K107" s="168"/>
      <c r="L107" s="168"/>
      <c r="M107" s="168"/>
      <c r="N107" s="168"/>
      <c r="O107" s="168"/>
      <c r="P107" s="168"/>
      <c r="Q107" s="168"/>
      <c r="R107" s="168"/>
      <c r="S107" s="168"/>
      <c r="T107" s="168"/>
      <c r="U107" s="168"/>
      <c r="V107" s="168"/>
      <c r="W107" s="168"/>
      <c r="X107" s="168"/>
      <c r="Y107" s="168"/>
      <c r="Z107" s="201"/>
      <c r="AA107" s="20"/>
      <c r="AB107" s="20"/>
      <c r="AC107" s="20"/>
      <c r="AD107" s="20"/>
      <c r="AE107" s="20"/>
      <c r="AF107" s="20"/>
      <c r="AG107" s="20"/>
      <c r="AH107" s="20"/>
      <c r="AI107" s="20"/>
      <c r="AJ107" s="20"/>
      <c r="AK107" s="20"/>
      <c r="AL107" s="20"/>
      <c r="AM107" s="20"/>
      <c r="AN107" s="20"/>
      <c r="AO107" s="20"/>
      <c r="AP107" s="20"/>
      <c r="AQ107" s="20"/>
      <c r="AR107" s="20"/>
      <c r="AS107" s="20"/>
      <c r="AT107" s="20"/>
      <c r="AU107" s="20"/>
      <c r="AV107" s="20"/>
      <c r="AW107" s="20"/>
      <c r="AX107" s="20"/>
      <c r="AY107" s="20"/>
      <c r="AZ107" s="20"/>
      <c r="BA107" s="20"/>
      <c r="BB107" s="20"/>
      <c r="BC107" s="20"/>
      <c r="BD107" s="20"/>
      <c r="BE107" s="20"/>
      <c r="BF107" s="20"/>
      <c r="BG107" s="20"/>
      <c r="BH107" s="20"/>
    </row>
    <row r="108" spans="1:60">
      <c r="A108" s="193"/>
      <c r="B108" s="206" t="s">
        <v>443</v>
      </c>
      <c r="C108" s="206" t="s">
        <v>444</v>
      </c>
      <c r="D108" s="206"/>
      <c r="E108" s="206"/>
      <c r="F108" s="206"/>
      <c r="G108" s="206"/>
      <c r="H108" s="206"/>
      <c r="I108" s="206"/>
      <c r="J108" s="206"/>
      <c r="K108" s="206"/>
      <c r="L108" s="206"/>
      <c r="M108" s="206"/>
      <c r="N108" s="206"/>
      <c r="O108" s="206"/>
      <c r="P108" s="168"/>
      <c r="Q108" s="168"/>
      <c r="R108" s="168"/>
      <c r="S108" s="168"/>
      <c r="T108" s="168"/>
      <c r="U108" s="168"/>
      <c r="V108" s="168"/>
      <c r="W108" s="168"/>
      <c r="X108" s="168"/>
      <c r="Y108" s="168"/>
      <c r="Z108" s="201"/>
      <c r="AA108" s="20"/>
      <c r="AB108" s="20"/>
      <c r="AC108" s="20"/>
      <c r="AD108" s="20"/>
      <c r="AE108" s="20"/>
      <c r="AF108" s="20"/>
      <c r="AG108" s="20"/>
      <c r="AH108" s="20"/>
      <c r="AI108" s="20"/>
      <c r="AJ108" s="20"/>
      <c r="AK108" s="20"/>
      <c r="AL108" s="20"/>
      <c r="AM108" s="20"/>
      <c r="AN108" s="20"/>
      <c r="AO108" s="20"/>
      <c r="AP108" s="20"/>
      <c r="AQ108" s="20"/>
      <c r="AR108" s="20"/>
      <c r="AS108" s="20"/>
      <c r="AT108" s="20"/>
      <c r="AU108" s="20"/>
      <c r="AV108" s="20"/>
      <c r="AW108" s="20"/>
      <c r="AX108" s="20"/>
      <c r="AY108" s="20"/>
      <c r="AZ108" s="20"/>
      <c r="BA108" s="20"/>
      <c r="BB108" s="20"/>
      <c r="BC108" s="20"/>
      <c r="BD108" s="20"/>
      <c r="BE108" s="20"/>
      <c r="BF108" s="20"/>
      <c r="BG108" s="20"/>
      <c r="BH108" s="20"/>
    </row>
    <row r="109" spans="1:60">
      <c r="A109" s="193"/>
      <c r="B109" s="206"/>
      <c r="C109" s="206"/>
      <c r="D109" s="206"/>
      <c r="E109" s="206"/>
      <c r="F109" s="206"/>
      <c r="G109" s="206"/>
      <c r="H109" s="206"/>
      <c r="I109" s="206"/>
      <c r="J109" s="206"/>
      <c r="K109" s="206"/>
      <c r="L109" s="206"/>
      <c r="M109" s="206"/>
      <c r="N109" s="206"/>
      <c r="O109" s="206"/>
      <c r="P109" s="168"/>
      <c r="Q109" s="168"/>
      <c r="R109" s="168"/>
      <c r="S109" s="168"/>
      <c r="T109" s="168"/>
      <c r="U109" s="207"/>
      <c r="V109" s="231"/>
      <c r="W109" s="17"/>
      <c r="X109" s="17"/>
      <c r="Y109" s="168"/>
      <c r="Z109" s="201"/>
      <c r="AA109" s="20"/>
      <c r="AB109" s="20"/>
      <c r="AC109" s="20"/>
      <c r="AD109" s="20"/>
      <c r="AE109" s="20"/>
      <c r="AF109" s="20"/>
      <c r="AG109" s="20"/>
      <c r="AH109" s="20"/>
      <c r="AI109" s="20"/>
      <c r="AJ109" s="20"/>
      <c r="AK109" s="20"/>
      <c r="AL109" s="20"/>
      <c r="AM109" s="20"/>
      <c r="AN109" s="20"/>
      <c r="AO109" s="20"/>
      <c r="AP109" s="20"/>
      <c r="AQ109" s="20"/>
      <c r="AR109" s="20"/>
      <c r="AS109" s="20"/>
      <c r="AT109" s="20"/>
      <c r="AU109" s="20"/>
      <c r="AV109" s="20"/>
      <c r="AW109" s="20"/>
      <c r="AX109" s="20"/>
      <c r="AY109" s="20"/>
      <c r="AZ109" s="20"/>
      <c r="BA109" s="20"/>
      <c r="BB109" s="20"/>
      <c r="BC109" s="20"/>
      <c r="BD109" s="20"/>
      <c r="BE109" s="20"/>
      <c r="BF109" s="20"/>
      <c r="BG109" s="20"/>
      <c r="BH109" s="20"/>
    </row>
    <row r="110" spans="1:60">
      <c r="A110" s="193"/>
      <c r="B110" s="206"/>
      <c r="C110" s="206" t="s">
        <v>418</v>
      </c>
      <c r="D110" s="206" t="s">
        <v>445</v>
      </c>
      <c r="E110" s="206"/>
      <c r="F110" s="206"/>
      <c r="G110" s="206"/>
      <c r="H110" s="206"/>
      <c r="I110" s="206"/>
      <c r="J110" s="206"/>
      <c r="K110" s="206"/>
      <c r="L110" s="206"/>
      <c r="M110" s="206"/>
      <c r="N110" s="206"/>
      <c r="O110" s="206"/>
      <c r="P110" s="168"/>
      <c r="Q110" s="168"/>
      <c r="R110" s="168"/>
      <c r="S110" s="168"/>
      <c r="T110" s="168"/>
      <c r="U110" s="207"/>
      <c r="V110" s="231"/>
      <c r="W110" s="17"/>
      <c r="X110" s="17"/>
      <c r="Y110" s="168"/>
      <c r="Z110" s="201"/>
      <c r="AA110" s="20"/>
      <c r="AB110" s="20"/>
      <c r="AC110" s="20"/>
      <c r="AD110" s="20"/>
      <c r="AE110" s="20"/>
      <c r="AF110" s="20"/>
      <c r="AG110" s="20"/>
      <c r="AH110" s="20"/>
      <c r="AI110" s="20"/>
      <c r="AJ110" s="20"/>
      <c r="AK110" s="20"/>
      <c r="AL110" s="20"/>
      <c r="AM110" s="20"/>
      <c r="AN110" s="20"/>
      <c r="AO110" s="20"/>
      <c r="AP110" s="20"/>
      <c r="AQ110" s="20"/>
      <c r="AR110" s="20"/>
      <c r="AS110" s="20"/>
      <c r="AT110" s="20"/>
      <c r="AU110" s="20"/>
      <c r="AV110" s="20"/>
      <c r="AW110" s="20"/>
      <c r="AX110" s="20"/>
      <c r="AY110" s="20"/>
      <c r="AZ110" s="20"/>
      <c r="BA110" s="20"/>
      <c r="BB110" s="20"/>
      <c r="BC110" s="20"/>
      <c r="BD110" s="20"/>
      <c r="BE110" s="20"/>
      <c r="BF110" s="20"/>
      <c r="BG110" s="20"/>
      <c r="BH110" s="20"/>
    </row>
    <row r="111" spans="1:60">
      <c r="A111" s="193"/>
      <c r="B111" s="206"/>
      <c r="C111" s="206"/>
      <c r="D111" s="206"/>
      <c r="E111" s="206"/>
      <c r="F111" s="206"/>
      <c r="G111" s="206"/>
      <c r="H111" s="206"/>
      <c r="I111" s="206"/>
      <c r="J111" s="206"/>
      <c r="K111" s="206"/>
      <c r="L111" s="206"/>
      <c r="M111" s="206"/>
      <c r="N111" s="206"/>
      <c r="O111" s="206"/>
      <c r="P111" s="168"/>
      <c r="Q111" s="168"/>
      <c r="R111" s="168"/>
      <c r="S111" s="168"/>
      <c r="T111" s="168"/>
      <c r="U111" s="207"/>
      <c r="V111" s="231"/>
      <c r="W111" s="17"/>
      <c r="X111" s="17"/>
      <c r="Y111" s="168"/>
      <c r="Z111" s="201"/>
      <c r="AA111" s="20"/>
      <c r="AB111" s="20"/>
      <c r="AC111" s="20"/>
      <c r="AD111" s="57"/>
      <c r="AE111" s="58"/>
      <c r="AF111" s="58"/>
      <c r="AG111" s="58"/>
      <c r="AH111" s="58"/>
      <c r="AI111" s="58"/>
      <c r="AJ111" s="59" t="s">
        <v>396</v>
      </c>
      <c r="AK111" s="60"/>
      <c r="AL111" s="60"/>
      <c r="AM111" s="60"/>
      <c r="AN111" s="60"/>
      <c r="AO111" s="60"/>
      <c r="AP111" s="60"/>
      <c r="AQ111" s="60"/>
      <c r="AR111" s="61"/>
      <c r="AS111" s="58"/>
      <c r="AT111" s="77"/>
      <c r="AU111" s="20"/>
      <c r="AV111" s="20"/>
      <c r="AW111" s="20"/>
      <c r="AX111" s="20"/>
      <c r="AY111" s="20"/>
      <c r="AZ111" s="20"/>
      <c r="BA111" s="20"/>
      <c r="BB111" s="20"/>
      <c r="BC111" s="20"/>
      <c r="BD111" s="20"/>
      <c r="BE111" s="20"/>
      <c r="BF111" s="20"/>
      <c r="BG111" s="20"/>
      <c r="BH111" s="20"/>
    </row>
    <row r="112" spans="1:60">
      <c r="A112" s="193"/>
      <c r="B112" s="206"/>
      <c r="C112" s="206" t="s">
        <v>419</v>
      </c>
      <c r="D112" s="206" t="s">
        <v>446</v>
      </c>
      <c r="E112" s="206"/>
      <c r="F112" s="206"/>
      <c r="G112" s="168"/>
      <c r="H112" s="168"/>
      <c r="I112" s="206"/>
      <c r="J112" s="206"/>
      <c r="K112" s="206"/>
      <c r="L112" s="206"/>
      <c r="M112" s="206"/>
      <c r="N112" s="206"/>
      <c r="O112" s="206"/>
      <c r="P112" s="365">
        <f>SUM(U109:X120)</f>
        <v>0</v>
      </c>
      <c r="Q112" s="365"/>
      <c r="R112" s="168"/>
      <c r="S112" s="168"/>
      <c r="T112" s="168"/>
      <c r="U112" s="207"/>
      <c r="V112" s="231"/>
      <c r="W112" s="17"/>
      <c r="X112" s="17"/>
      <c r="Y112" s="168"/>
      <c r="Z112" s="201"/>
      <c r="AA112" s="20"/>
      <c r="AB112" s="20"/>
      <c r="AC112" s="20"/>
      <c r="AD112" s="62"/>
      <c r="AE112" s="28"/>
      <c r="AF112" s="28"/>
      <c r="AG112" s="28"/>
      <c r="AH112" s="28"/>
      <c r="AI112" s="28"/>
      <c r="AJ112" s="28"/>
      <c r="AK112" s="28"/>
      <c r="AL112" s="28"/>
      <c r="AM112" s="28"/>
      <c r="AN112" s="28"/>
      <c r="AO112" s="28"/>
      <c r="AP112" s="28"/>
      <c r="AQ112" s="28"/>
      <c r="AR112" s="28"/>
      <c r="AS112" s="28"/>
      <c r="AT112" s="78"/>
      <c r="AU112" s="20"/>
      <c r="AV112" s="20"/>
      <c r="AW112" s="20"/>
      <c r="AX112" s="20"/>
      <c r="AY112" s="20"/>
      <c r="AZ112" s="20"/>
      <c r="BA112" s="20"/>
      <c r="BB112" s="20"/>
      <c r="BC112" s="20"/>
      <c r="BD112" s="20"/>
      <c r="BE112" s="20"/>
      <c r="BF112" s="20"/>
      <c r="BG112" s="20"/>
      <c r="BH112" s="20"/>
    </row>
    <row r="113" spans="1:60">
      <c r="A113" s="193"/>
      <c r="B113" s="206"/>
      <c r="C113" s="206"/>
      <c r="D113" s="206"/>
      <c r="E113" s="206"/>
      <c r="F113" s="206"/>
      <c r="G113" s="168"/>
      <c r="H113" s="168"/>
      <c r="I113" s="206"/>
      <c r="J113" s="206"/>
      <c r="K113" s="206"/>
      <c r="L113" s="206"/>
      <c r="M113" s="206"/>
      <c r="N113" s="206"/>
      <c r="O113" s="206"/>
      <c r="P113" s="168"/>
      <c r="Q113" s="168"/>
      <c r="R113" s="168"/>
      <c r="S113" s="168"/>
      <c r="T113" s="168"/>
      <c r="U113" s="207"/>
      <c r="V113" s="231"/>
      <c r="W113" s="17"/>
      <c r="X113" s="17"/>
      <c r="Y113" s="168"/>
      <c r="Z113" s="201"/>
      <c r="AA113" s="20"/>
      <c r="AB113" s="20"/>
      <c r="AC113" s="20"/>
      <c r="AD113" s="63"/>
      <c r="AE113" s="64"/>
      <c r="AF113" s="65"/>
      <c r="AG113" s="66"/>
      <c r="AH113" s="66"/>
      <c r="AI113" s="66"/>
      <c r="AJ113" s="66"/>
      <c r="AK113" s="66" t="s">
        <v>397</v>
      </c>
      <c r="AL113" s="66"/>
      <c r="AM113" s="66"/>
      <c r="AN113" s="66"/>
      <c r="AO113" s="66"/>
      <c r="AP113" s="66"/>
      <c r="AQ113" s="66"/>
      <c r="AR113" s="66"/>
      <c r="AS113" s="66"/>
      <c r="AT113" s="79"/>
      <c r="AU113" s="20"/>
      <c r="AV113" s="20"/>
      <c r="AW113" s="20"/>
      <c r="AX113" s="20"/>
      <c r="AY113" s="20"/>
      <c r="AZ113" s="20"/>
      <c r="BA113" s="20"/>
      <c r="BB113" s="20"/>
      <c r="BC113" s="20"/>
      <c r="BD113" s="20"/>
      <c r="BE113" s="20"/>
      <c r="BF113" s="20"/>
      <c r="BG113" s="20"/>
      <c r="BH113" s="20"/>
    </row>
    <row r="114" spans="1:60">
      <c r="A114" s="193"/>
      <c r="B114" s="206"/>
      <c r="C114" s="206" t="s">
        <v>420</v>
      </c>
      <c r="D114" s="206" t="s">
        <v>371</v>
      </c>
      <c r="E114" s="206"/>
      <c r="F114" s="206"/>
      <c r="G114" s="168"/>
      <c r="H114" s="168"/>
      <c r="I114" s="206"/>
      <c r="J114" s="206"/>
      <c r="K114" s="206"/>
      <c r="L114" s="206"/>
      <c r="M114" s="206"/>
      <c r="N114" s="206"/>
      <c r="O114" s="206"/>
      <c r="P114" s="365">
        <f>COUNT(U109:X120)</f>
        <v>0</v>
      </c>
      <c r="Q114" s="365"/>
      <c r="R114" s="168"/>
      <c r="S114" s="168"/>
      <c r="T114" s="168"/>
      <c r="U114" s="207"/>
      <c r="V114" s="231"/>
      <c r="W114" s="17"/>
      <c r="X114" s="17"/>
      <c r="Y114" s="168"/>
      <c r="Z114" s="201"/>
      <c r="AA114" s="20"/>
      <c r="AB114" s="20"/>
      <c r="AC114" s="20"/>
      <c r="AD114" s="62"/>
      <c r="AE114" s="67"/>
      <c r="AF114" s="68"/>
      <c r="AG114" s="69"/>
      <c r="AH114" s="69"/>
      <c r="AI114" s="69"/>
      <c r="AJ114" s="69"/>
      <c r="AK114" s="69"/>
      <c r="AL114" s="69"/>
      <c r="AM114" s="69"/>
      <c r="AN114" s="69"/>
      <c r="AO114" s="69"/>
      <c r="AP114" s="69"/>
      <c r="AQ114" s="69"/>
      <c r="AR114" s="69"/>
      <c r="AS114" s="69"/>
      <c r="AT114" s="80"/>
      <c r="AU114" s="20"/>
      <c r="AV114" s="20"/>
      <c r="AW114" s="20"/>
      <c r="AX114" s="20"/>
      <c r="AY114" s="20"/>
      <c r="AZ114" s="20"/>
      <c r="BA114" s="20"/>
      <c r="BB114" s="20"/>
      <c r="BC114" s="20"/>
      <c r="BD114" s="20"/>
      <c r="BE114" s="20"/>
      <c r="BF114" s="20"/>
      <c r="BG114" s="20"/>
      <c r="BH114" s="20"/>
    </row>
    <row r="115" spans="1:60">
      <c r="A115" s="193"/>
      <c r="B115" s="170"/>
      <c r="C115" s="170"/>
      <c r="D115" s="170"/>
      <c r="E115" s="170"/>
      <c r="F115" s="170"/>
      <c r="G115" s="170"/>
      <c r="H115" s="170"/>
      <c r="I115" s="170"/>
      <c r="J115" s="206"/>
      <c r="K115" s="206"/>
      <c r="L115" s="206"/>
      <c r="M115" s="206"/>
      <c r="N115" s="206"/>
      <c r="O115" s="206"/>
      <c r="P115" s="168"/>
      <c r="Q115" s="168"/>
      <c r="R115" s="168"/>
      <c r="S115" s="168"/>
      <c r="T115" s="168"/>
      <c r="U115" s="207"/>
      <c r="V115" s="231"/>
      <c r="W115" s="17"/>
      <c r="X115" s="17"/>
      <c r="Y115" s="168"/>
      <c r="Z115" s="201"/>
      <c r="AA115" s="20"/>
      <c r="AB115" s="20"/>
      <c r="AC115" s="20"/>
      <c r="AD115" s="387" t="s">
        <v>398</v>
      </c>
      <c r="AE115" s="67"/>
      <c r="AF115" s="65"/>
      <c r="AG115" s="66" t="s">
        <v>399</v>
      </c>
      <c r="AH115" s="66" t="s">
        <v>399</v>
      </c>
      <c r="AI115" s="66" t="s">
        <v>399</v>
      </c>
      <c r="AJ115" s="66" t="s">
        <v>399</v>
      </c>
      <c r="AK115" s="66" t="s">
        <v>399</v>
      </c>
      <c r="AL115" s="66" t="s">
        <v>399</v>
      </c>
      <c r="AM115" s="66" t="s">
        <v>399</v>
      </c>
      <c r="AN115" s="66" t="s">
        <v>399</v>
      </c>
      <c r="AO115" s="66" t="s">
        <v>399</v>
      </c>
      <c r="AP115" s="66" t="s">
        <v>399</v>
      </c>
      <c r="AQ115" s="66" t="s">
        <v>399</v>
      </c>
      <c r="AR115" s="66" t="s">
        <v>399</v>
      </c>
      <c r="AS115" s="66" t="s">
        <v>399</v>
      </c>
      <c r="AT115" s="79" t="s">
        <v>399</v>
      </c>
      <c r="AU115" s="20"/>
      <c r="AV115" s="20"/>
      <c r="AW115" s="20"/>
      <c r="AX115" s="20"/>
      <c r="AY115" s="20"/>
      <c r="AZ115" s="20"/>
      <c r="BA115" s="20"/>
      <c r="BB115" s="20"/>
      <c r="BC115" s="20"/>
      <c r="BD115" s="20"/>
      <c r="BE115" s="20"/>
      <c r="BF115" s="20"/>
      <c r="BG115" s="20"/>
      <c r="BH115" s="20"/>
    </row>
    <row r="116" spans="1:60">
      <c r="A116" s="193"/>
      <c r="B116" s="170"/>
      <c r="C116" s="170" t="s">
        <v>421</v>
      </c>
      <c r="D116" s="170" t="s">
        <v>447</v>
      </c>
      <c r="E116" s="170"/>
      <c r="F116" s="170"/>
      <c r="G116" s="170"/>
      <c r="H116" s="170"/>
      <c r="I116" s="170"/>
      <c r="J116" s="206"/>
      <c r="K116" s="206"/>
      <c r="L116" s="206"/>
      <c r="M116" s="206"/>
      <c r="N116" s="206"/>
      <c r="O116" s="206"/>
      <c r="P116" s="312" t="str">
        <f>IF(P114=0,"0",P112/P114)</f>
        <v>0</v>
      </c>
      <c r="Q116" s="312"/>
      <c r="R116" s="168"/>
      <c r="S116" s="168"/>
      <c r="T116" s="168"/>
      <c r="U116" s="207"/>
      <c r="V116" s="231"/>
      <c r="W116" s="17"/>
      <c r="X116" s="17"/>
      <c r="Y116" s="168"/>
      <c r="Z116" s="201"/>
      <c r="AA116" s="20"/>
      <c r="AB116" s="20"/>
      <c r="AC116" s="20"/>
      <c r="AD116" s="387"/>
      <c r="AE116" s="67"/>
      <c r="AF116" s="70"/>
      <c r="AG116" s="28"/>
      <c r="AH116" s="28"/>
      <c r="AI116" s="28"/>
      <c r="AJ116" s="28"/>
      <c r="AK116" s="28"/>
      <c r="AL116" s="28"/>
      <c r="AM116" s="28"/>
      <c r="AN116" s="28"/>
      <c r="AO116" s="28"/>
      <c r="AP116" s="28"/>
      <c r="AQ116" s="28"/>
      <c r="AR116" s="28"/>
      <c r="AS116" s="28"/>
      <c r="AT116" s="78"/>
      <c r="AU116" s="20"/>
      <c r="AV116" s="20"/>
      <c r="AW116" s="20"/>
      <c r="AX116" s="20"/>
      <c r="AY116" s="20"/>
      <c r="AZ116" s="20"/>
      <c r="BA116" s="20"/>
      <c r="BB116" s="20"/>
      <c r="BC116" s="20"/>
      <c r="BD116" s="20"/>
      <c r="BE116" s="20"/>
      <c r="BF116" s="20"/>
      <c r="BG116" s="20"/>
      <c r="BH116" s="20"/>
    </row>
    <row r="117" spans="1:60">
      <c r="A117" s="193"/>
      <c r="B117" s="170"/>
      <c r="C117" s="170"/>
      <c r="D117" s="170"/>
      <c r="E117" s="170"/>
      <c r="F117" s="170"/>
      <c r="G117" s="170"/>
      <c r="H117" s="170"/>
      <c r="I117" s="170"/>
      <c r="J117" s="206"/>
      <c r="K117" s="206"/>
      <c r="L117" s="206"/>
      <c r="M117" s="206"/>
      <c r="N117" s="206"/>
      <c r="O117" s="206"/>
      <c r="P117" s="168"/>
      <c r="Q117" s="168"/>
      <c r="R117" s="168"/>
      <c r="S117" s="168"/>
      <c r="T117" s="168"/>
      <c r="U117" s="207"/>
      <c r="V117" s="231"/>
      <c r="W117" s="17"/>
      <c r="X117" s="17"/>
      <c r="Y117" s="168"/>
      <c r="Z117" s="201"/>
      <c r="AA117" s="20"/>
      <c r="AB117" s="20"/>
      <c r="AC117" s="20"/>
      <c r="AD117" s="387"/>
      <c r="AE117" s="67"/>
      <c r="AF117" s="70"/>
      <c r="AG117" s="28" t="s">
        <v>400</v>
      </c>
      <c r="AH117" s="28" t="s">
        <v>401</v>
      </c>
      <c r="AI117" s="28" t="s">
        <v>402</v>
      </c>
      <c r="AJ117" s="28" t="s">
        <v>403</v>
      </c>
      <c r="AK117" s="28" t="s">
        <v>404</v>
      </c>
      <c r="AL117" s="28" t="s">
        <v>405</v>
      </c>
      <c r="AM117" s="28" t="s">
        <v>406</v>
      </c>
      <c r="AN117" s="28" t="s">
        <v>407</v>
      </c>
      <c r="AO117" s="28" t="s">
        <v>408</v>
      </c>
      <c r="AP117" s="28" t="s">
        <v>409</v>
      </c>
      <c r="AQ117" s="28" t="s">
        <v>410</v>
      </c>
      <c r="AR117" s="28" t="s">
        <v>411</v>
      </c>
      <c r="AS117" s="28" t="s">
        <v>412</v>
      </c>
      <c r="AT117" s="78" t="s">
        <v>413</v>
      </c>
      <c r="AU117" s="20"/>
      <c r="AV117" s="20"/>
      <c r="AW117" s="20"/>
      <c r="AX117" s="20"/>
      <c r="AY117" s="20"/>
      <c r="AZ117" s="20"/>
      <c r="BA117" s="20"/>
      <c r="BB117" s="20"/>
      <c r="BC117" s="20"/>
      <c r="BD117" s="20"/>
      <c r="BE117" s="20"/>
      <c r="BF117" s="20"/>
      <c r="BG117" s="20"/>
      <c r="BH117" s="20"/>
    </row>
    <row r="118" spans="1:60">
      <c r="A118" s="193"/>
      <c r="B118" s="170"/>
      <c r="C118" s="170" t="s">
        <v>422</v>
      </c>
      <c r="D118" s="170" t="s">
        <v>448</v>
      </c>
      <c r="E118" s="170"/>
      <c r="F118" s="170"/>
      <c r="G118" s="170"/>
      <c r="H118" s="170"/>
      <c r="I118" s="170"/>
      <c r="J118" s="206"/>
      <c r="K118" s="206"/>
      <c r="L118" s="206"/>
      <c r="M118" s="206"/>
      <c r="N118" s="206"/>
      <c r="O118" s="206"/>
      <c r="P118" s="168"/>
      <c r="Q118" s="168"/>
      <c r="R118" s="168"/>
      <c r="S118" s="168"/>
      <c r="T118" s="168"/>
      <c r="U118" s="207"/>
      <c r="V118" s="231"/>
      <c r="W118" s="17"/>
      <c r="X118" s="17"/>
      <c r="Y118" s="168"/>
      <c r="Z118" s="201"/>
      <c r="AA118" s="20"/>
      <c r="AB118" s="20"/>
      <c r="AC118" s="20"/>
      <c r="AD118" s="387"/>
      <c r="AE118" s="67"/>
      <c r="AF118" s="70"/>
      <c r="AG118" s="28"/>
      <c r="AH118" s="28"/>
      <c r="AI118" s="28"/>
      <c r="AJ118" s="28"/>
      <c r="AK118" s="28"/>
      <c r="AL118" s="28"/>
      <c r="AM118" s="28"/>
      <c r="AN118" s="28"/>
      <c r="AO118" s="28"/>
      <c r="AP118" s="28"/>
      <c r="AQ118" s="28"/>
      <c r="AR118" s="28"/>
      <c r="AS118" s="28"/>
      <c r="AT118" s="78"/>
      <c r="AU118" s="20"/>
      <c r="AV118" s="20"/>
      <c r="AW118" s="20"/>
      <c r="AX118" s="20"/>
      <c r="AY118" s="20"/>
      <c r="AZ118" s="20"/>
      <c r="BA118" s="20"/>
      <c r="BB118" s="20"/>
      <c r="BC118" s="20"/>
      <c r="BD118" s="20"/>
      <c r="BE118" s="20"/>
      <c r="BF118" s="20"/>
      <c r="BG118" s="20"/>
      <c r="BH118" s="20"/>
    </row>
    <row r="119" spans="1:60">
      <c r="A119" s="193"/>
      <c r="B119" s="170"/>
      <c r="C119" s="170"/>
      <c r="D119" s="170"/>
      <c r="E119" s="170"/>
      <c r="F119" s="170"/>
      <c r="G119" s="170"/>
      <c r="H119" s="170"/>
      <c r="I119" s="170"/>
      <c r="J119" s="206"/>
      <c r="K119" s="206"/>
      <c r="L119" s="206"/>
      <c r="M119" s="206"/>
      <c r="N119" s="206"/>
      <c r="O119" s="206"/>
      <c r="P119" s="168"/>
      <c r="Q119" s="168"/>
      <c r="R119" s="168"/>
      <c r="S119" s="168"/>
      <c r="T119" s="168"/>
      <c r="U119" s="207"/>
      <c r="V119" s="231"/>
      <c r="W119" s="17"/>
      <c r="X119" s="17"/>
      <c r="Y119" s="168"/>
      <c r="Z119" s="201"/>
      <c r="AA119" s="20"/>
      <c r="AB119" s="20"/>
      <c r="AC119" s="20"/>
      <c r="AD119" s="387"/>
      <c r="AE119" s="67"/>
      <c r="AF119" s="70" t="s">
        <v>414</v>
      </c>
      <c r="AG119" s="75">
        <v>0.4</v>
      </c>
      <c r="AH119" s="75">
        <v>0.3</v>
      </c>
      <c r="AI119" s="75">
        <v>0.3</v>
      </c>
      <c r="AJ119" s="75">
        <v>0.2</v>
      </c>
      <c r="AK119" s="75">
        <v>0.2</v>
      </c>
      <c r="AL119" s="75">
        <v>0.2</v>
      </c>
      <c r="AM119" s="75">
        <v>0.2</v>
      </c>
      <c r="AN119" s="75">
        <v>0.1</v>
      </c>
      <c r="AO119" s="75">
        <v>0.1</v>
      </c>
      <c r="AP119" s="75">
        <v>0.1</v>
      </c>
      <c r="AQ119" s="75">
        <v>0.1</v>
      </c>
      <c r="AR119" s="75">
        <v>0.1</v>
      </c>
      <c r="AS119" s="75">
        <v>0.1</v>
      </c>
      <c r="AT119" s="81">
        <v>0.1</v>
      </c>
      <c r="AU119" s="20"/>
      <c r="AV119" s="20"/>
      <c r="AW119" s="20"/>
      <c r="AX119" s="20"/>
      <c r="AY119" s="20"/>
      <c r="AZ119" s="20"/>
      <c r="BA119" s="20"/>
      <c r="BB119" s="20"/>
      <c r="BC119" s="20"/>
      <c r="BD119" s="20"/>
      <c r="BE119" s="20"/>
      <c r="BF119" s="20"/>
      <c r="BG119" s="20"/>
      <c r="BH119" s="20"/>
    </row>
    <row r="120" spans="1:60">
      <c r="A120" s="193"/>
      <c r="B120" s="184"/>
      <c r="C120" s="170" t="s">
        <v>423</v>
      </c>
      <c r="D120" s="170" t="s">
        <v>449</v>
      </c>
      <c r="E120" s="170"/>
      <c r="F120" s="170"/>
      <c r="G120" s="170"/>
      <c r="H120" s="170"/>
      <c r="I120" s="170"/>
      <c r="J120" s="206"/>
      <c r="K120" s="206"/>
      <c r="L120" s="206"/>
      <c r="M120" s="206"/>
      <c r="N120" s="206"/>
      <c r="O120" s="206"/>
      <c r="P120" s="312">
        <f>Q19</f>
        <v>0</v>
      </c>
      <c r="Q120" s="312"/>
      <c r="R120" s="170" t="s">
        <v>30</v>
      </c>
      <c r="S120" s="206"/>
      <c r="T120" s="168"/>
      <c r="U120" s="207"/>
      <c r="V120" s="231"/>
      <c r="W120" s="17"/>
      <c r="X120" s="17"/>
      <c r="Y120" s="168"/>
      <c r="Z120" s="201"/>
      <c r="AA120" s="20"/>
      <c r="AB120" s="20"/>
      <c r="AC120" s="20"/>
      <c r="AD120" s="387"/>
      <c r="AE120" s="67"/>
      <c r="AF120" s="70" t="s">
        <v>415</v>
      </c>
      <c r="AG120" s="75">
        <v>0.7</v>
      </c>
      <c r="AH120" s="75">
        <v>0.6</v>
      </c>
      <c r="AI120" s="75">
        <v>0.5</v>
      </c>
      <c r="AJ120" s="75">
        <v>0.4</v>
      </c>
      <c r="AK120" s="75">
        <v>0.4</v>
      </c>
      <c r="AL120" s="75">
        <v>0.3</v>
      </c>
      <c r="AM120" s="75">
        <v>0.3</v>
      </c>
      <c r="AN120" s="75">
        <v>0.3</v>
      </c>
      <c r="AO120" s="75">
        <v>0.3</v>
      </c>
      <c r="AP120" s="75">
        <v>0.2</v>
      </c>
      <c r="AQ120" s="75">
        <v>0.2</v>
      </c>
      <c r="AR120" s="75">
        <v>0.2</v>
      </c>
      <c r="AS120" s="75">
        <v>0.2</v>
      </c>
      <c r="AT120" s="81">
        <v>0.2</v>
      </c>
      <c r="AU120" s="20"/>
      <c r="AV120" s="20"/>
      <c r="AW120" s="20"/>
      <c r="AX120" s="20"/>
      <c r="AY120" s="20"/>
      <c r="AZ120" s="20"/>
      <c r="BA120" s="20"/>
      <c r="BB120" s="20"/>
      <c r="BC120" s="20"/>
      <c r="BD120" s="20"/>
      <c r="BE120" s="20"/>
      <c r="BF120" s="20"/>
      <c r="BG120" s="20"/>
      <c r="BH120" s="20"/>
    </row>
    <row r="121" spans="1:60">
      <c r="A121" s="193"/>
      <c r="B121" s="170"/>
      <c r="C121" s="170"/>
      <c r="D121" s="170"/>
      <c r="E121" s="170"/>
      <c r="F121" s="170"/>
      <c r="G121" s="170"/>
      <c r="H121" s="170"/>
      <c r="I121" s="170"/>
      <c r="J121" s="206"/>
      <c r="K121" s="206"/>
      <c r="L121" s="206"/>
      <c r="M121" s="206"/>
      <c r="N121" s="206"/>
      <c r="O121" s="206"/>
      <c r="P121" s="168"/>
      <c r="Q121" s="168"/>
      <c r="R121" s="168"/>
      <c r="S121" s="168"/>
      <c r="T121" s="168"/>
      <c r="U121" s="168"/>
      <c r="V121" s="168"/>
      <c r="W121" s="168"/>
      <c r="X121" s="168"/>
      <c r="Y121" s="168"/>
      <c r="Z121" s="201"/>
      <c r="AA121" s="20"/>
      <c r="AB121" s="20"/>
      <c r="AC121" s="20"/>
      <c r="AD121" s="387"/>
      <c r="AE121" s="67"/>
      <c r="AF121" s="70" t="s">
        <v>416</v>
      </c>
      <c r="AG121" s="75">
        <v>0.9</v>
      </c>
      <c r="AH121" s="75">
        <v>0.8</v>
      </c>
      <c r="AI121" s="75">
        <v>0.7</v>
      </c>
      <c r="AJ121" s="75">
        <v>0.6</v>
      </c>
      <c r="AK121" s="75">
        <v>0.6</v>
      </c>
      <c r="AL121" s="75">
        <v>0.5</v>
      </c>
      <c r="AM121" s="75">
        <v>0.5</v>
      </c>
      <c r="AN121" s="75">
        <v>0.4</v>
      </c>
      <c r="AO121" s="75">
        <v>0.4</v>
      </c>
      <c r="AP121" s="75">
        <v>0.4</v>
      </c>
      <c r="AQ121" s="75">
        <v>0.3</v>
      </c>
      <c r="AR121" s="75">
        <v>0.3</v>
      </c>
      <c r="AS121" s="75">
        <v>0.3</v>
      </c>
      <c r="AT121" s="81">
        <v>0.3</v>
      </c>
      <c r="AU121" s="20"/>
      <c r="AV121" s="20"/>
      <c r="AW121" s="20"/>
      <c r="AX121" s="20"/>
      <c r="AY121" s="20"/>
      <c r="AZ121" s="20"/>
      <c r="BA121" s="20"/>
      <c r="BB121" s="20"/>
      <c r="BC121" s="20"/>
      <c r="BD121" s="20"/>
      <c r="BE121" s="20"/>
      <c r="BF121" s="20"/>
      <c r="BG121" s="20"/>
      <c r="BH121" s="20"/>
    </row>
    <row r="122" spans="1:60">
      <c r="A122" s="193"/>
      <c r="B122" s="170"/>
      <c r="C122" s="170" t="s">
        <v>424</v>
      </c>
      <c r="D122" s="170" t="s">
        <v>450</v>
      </c>
      <c r="E122" s="170"/>
      <c r="F122" s="170"/>
      <c r="G122" s="170"/>
      <c r="H122" s="170"/>
      <c r="I122" s="170"/>
      <c r="J122" s="206"/>
      <c r="K122" s="206"/>
      <c r="L122" s="206"/>
      <c r="M122" s="206"/>
      <c r="N122" s="206"/>
      <c r="O122" s="206"/>
      <c r="P122" s="312">
        <f>P120*P116</f>
        <v>0</v>
      </c>
      <c r="Q122" s="312"/>
      <c r="R122" s="170" t="s">
        <v>30</v>
      </c>
      <c r="S122" s="168"/>
      <c r="T122" s="168"/>
      <c r="U122" s="168"/>
      <c r="V122" s="168"/>
      <c r="W122" s="168"/>
      <c r="X122" s="168"/>
      <c r="Y122" s="168"/>
      <c r="Z122" s="201"/>
      <c r="AA122" s="20"/>
      <c r="AB122" s="20"/>
      <c r="AC122" s="20"/>
      <c r="AD122" s="387"/>
      <c r="AE122" s="67"/>
      <c r="AF122" s="70" t="s">
        <v>400</v>
      </c>
      <c r="AG122" s="75">
        <v>1</v>
      </c>
      <c r="AH122" s="75">
        <v>1</v>
      </c>
      <c r="AI122" s="75">
        <v>0.9</v>
      </c>
      <c r="AJ122" s="75">
        <v>0.8</v>
      </c>
      <c r="AK122" s="75">
        <v>0.7</v>
      </c>
      <c r="AL122" s="75">
        <v>0.6</v>
      </c>
      <c r="AM122" s="75">
        <v>0.6</v>
      </c>
      <c r="AN122" s="75">
        <v>0.5</v>
      </c>
      <c r="AO122" s="75">
        <v>0.5</v>
      </c>
      <c r="AP122" s="75">
        <v>0.5</v>
      </c>
      <c r="AQ122" s="75">
        <v>0.4</v>
      </c>
      <c r="AR122" s="75">
        <v>0.4</v>
      </c>
      <c r="AS122" s="75">
        <v>0.4</v>
      </c>
      <c r="AT122" s="81">
        <v>0.4</v>
      </c>
      <c r="AU122" s="20"/>
      <c r="AV122" s="20"/>
      <c r="AW122" s="20"/>
      <c r="AX122" s="20"/>
      <c r="AY122" s="20"/>
      <c r="AZ122" s="20"/>
      <c r="BA122" s="20"/>
      <c r="BB122" s="20"/>
      <c r="BC122" s="20"/>
      <c r="BD122" s="20"/>
      <c r="BE122" s="20"/>
      <c r="BF122" s="20"/>
      <c r="BG122" s="20"/>
      <c r="BH122" s="20"/>
    </row>
    <row r="123" spans="1:60">
      <c r="A123" s="193"/>
      <c r="B123" s="170"/>
      <c r="C123" s="170"/>
      <c r="D123" s="170"/>
      <c r="E123" s="170"/>
      <c r="F123" s="170"/>
      <c r="G123" s="170"/>
      <c r="H123" s="170"/>
      <c r="I123" s="170"/>
      <c r="J123" s="170"/>
      <c r="K123" s="170"/>
      <c r="L123" s="170"/>
      <c r="M123" s="170"/>
      <c r="N123" s="170"/>
      <c r="O123" s="170"/>
      <c r="P123" s="168"/>
      <c r="Q123" s="168"/>
      <c r="R123" s="168"/>
      <c r="S123" s="168"/>
      <c r="T123" s="168"/>
      <c r="U123" s="168"/>
      <c r="V123" s="168"/>
      <c r="W123" s="168"/>
      <c r="X123" s="168"/>
      <c r="Y123" s="168"/>
      <c r="Z123" s="201"/>
      <c r="AA123" s="20"/>
      <c r="AB123" s="20"/>
      <c r="AC123" s="20"/>
      <c r="AD123" s="387"/>
      <c r="AE123" s="67"/>
      <c r="AF123" s="70" t="s">
        <v>401</v>
      </c>
      <c r="AG123" s="75" t="s">
        <v>84</v>
      </c>
      <c r="AH123" s="75">
        <v>1</v>
      </c>
      <c r="AI123" s="75">
        <v>1</v>
      </c>
      <c r="AJ123" s="75">
        <v>0.9</v>
      </c>
      <c r="AK123" s="75">
        <v>0.8</v>
      </c>
      <c r="AL123" s="75">
        <v>0.8</v>
      </c>
      <c r="AM123" s="75">
        <v>0.7</v>
      </c>
      <c r="AN123" s="75">
        <v>0.7</v>
      </c>
      <c r="AO123" s="75">
        <v>0.6</v>
      </c>
      <c r="AP123" s="75">
        <v>0.6</v>
      </c>
      <c r="AQ123" s="75">
        <v>0.5</v>
      </c>
      <c r="AR123" s="75">
        <v>0.5</v>
      </c>
      <c r="AS123" s="75">
        <v>0.5</v>
      </c>
      <c r="AT123" s="81">
        <v>0.4</v>
      </c>
      <c r="AU123" s="20"/>
      <c r="AV123" s="20"/>
      <c r="AW123" s="20"/>
      <c r="AX123" s="20"/>
      <c r="AY123" s="20"/>
      <c r="AZ123" s="20"/>
      <c r="BA123" s="20"/>
      <c r="BB123" s="20"/>
      <c r="BC123" s="20"/>
      <c r="BD123" s="20"/>
      <c r="BE123" s="20"/>
      <c r="BF123" s="20"/>
      <c r="BG123" s="20"/>
      <c r="BH123" s="20"/>
    </row>
    <row r="124" spans="1:60">
      <c r="A124" s="193"/>
      <c r="B124" s="170"/>
      <c r="C124" s="170" t="s">
        <v>425</v>
      </c>
      <c r="D124" s="170" t="s">
        <v>377</v>
      </c>
      <c r="E124" s="170"/>
      <c r="F124" s="170"/>
      <c r="G124" s="170"/>
      <c r="H124" s="170"/>
      <c r="I124" s="170"/>
      <c r="J124" s="170"/>
      <c r="K124" s="170"/>
      <c r="L124" s="170"/>
      <c r="M124" s="170"/>
      <c r="N124" s="170"/>
      <c r="O124" s="170"/>
      <c r="P124" s="305"/>
      <c r="Q124" s="305"/>
      <c r="R124" s="170" t="s">
        <v>163</v>
      </c>
      <c r="S124" s="168"/>
      <c r="T124" s="168"/>
      <c r="U124" s="168"/>
      <c r="V124" s="168"/>
      <c r="W124" s="168"/>
      <c r="X124" s="168"/>
      <c r="Y124" s="168"/>
      <c r="Z124" s="201"/>
      <c r="AA124" s="20"/>
      <c r="AB124" s="20"/>
      <c r="AC124" s="20"/>
      <c r="AD124" s="387"/>
      <c r="AE124" s="67"/>
      <c r="AF124" s="70" t="s">
        <v>402</v>
      </c>
      <c r="AG124" s="75" t="s">
        <v>84</v>
      </c>
      <c r="AH124" s="75" t="s">
        <v>84</v>
      </c>
      <c r="AI124" s="75">
        <v>1</v>
      </c>
      <c r="AJ124" s="75">
        <v>1</v>
      </c>
      <c r="AK124" s="75">
        <v>0.9</v>
      </c>
      <c r="AL124" s="75">
        <v>0.9</v>
      </c>
      <c r="AM124" s="75">
        <v>0.8</v>
      </c>
      <c r="AN124" s="75">
        <v>0.8</v>
      </c>
      <c r="AO124" s="75">
        <v>0.7</v>
      </c>
      <c r="AP124" s="75">
        <v>0.7</v>
      </c>
      <c r="AQ124" s="75">
        <v>0.6</v>
      </c>
      <c r="AR124" s="75">
        <v>0.6</v>
      </c>
      <c r="AS124" s="75">
        <v>0.6</v>
      </c>
      <c r="AT124" s="81">
        <v>0.5</v>
      </c>
      <c r="AU124" s="20"/>
      <c r="AV124" s="20"/>
      <c r="AW124" s="20"/>
      <c r="AX124" s="20"/>
      <c r="AY124" s="20"/>
      <c r="AZ124" s="20"/>
      <c r="BA124" s="20"/>
      <c r="BB124" s="20"/>
      <c r="BC124" s="20"/>
      <c r="BD124" s="20"/>
      <c r="BE124" s="20"/>
      <c r="BF124" s="20"/>
      <c r="BG124" s="20"/>
      <c r="BH124" s="20"/>
    </row>
    <row r="125" spans="1:60">
      <c r="A125" s="193"/>
      <c r="B125" s="170"/>
      <c r="C125" s="170"/>
      <c r="D125" s="170"/>
      <c r="E125" s="170"/>
      <c r="F125" s="170"/>
      <c r="G125" s="170"/>
      <c r="H125" s="170"/>
      <c r="I125" s="170"/>
      <c r="J125" s="170"/>
      <c r="K125" s="170"/>
      <c r="L125" s="170"/>
      <c r="M125" s="170"/>
      <c r="N125" s="170"/>
      <c r="O125" s="170"/>
      <c r="P125" s="168"/>
      <c r="Q125" s="168"/>
      <c r="R125" s="168"/>
      <c r="S125" s="168"/>
      <c r="T125" s="168"/>
      <c r="U125" s="168"/>
      <c r="V125" s="168"/>
      <c r="W125" s="168"/>
      <c r="X125" s="168"/>
      <c r="Y125" s="168"/>
      <c r="Z125" s="201"/>
      <c r="AA125" s="20"/>
      <c r="AB125" s="20"/>
      <c r="AC125" s="20"/>
      <c r="AD125" s="387"/>
      <c r="AE125" s="67"/>
      <c r="AF125" s="70" t="s">
        <v>403</v>
      </c>
      <c r="AG125" s="75" t="s">
        <v>84</v>
      </c>
      <c r="AH125" s="75" t="s">
        <v>84</v>
      </c>
      <c r="AI125" s="75" t="s">
        <v>84</v>
      </c>
      <c r="AJ125" s="75">
        <v>1</v>
      </c>
      <c r="AK125" s="75">
        <v>1</v>
      </c>
      <c r="AL125" s="75">
        <v>0.9</v>
      </c>
      <c r="AM125" s="75">
        <v>0.9</v>
      </c>
      <c r="AN125" s="75">
        <v>0.8</v>
      </c>
      <c r="AO125" s="75">
        <v>0.8</v>
      </c>
      <c r="AP125" s="75">
        <v>0.7</v>
      </c>
      <c r="AQ125" s="75">
        <v>0.7</v>
      </c>
      <c r="AR125" s="75">
        <v>0.7</v>
      </c>
      <c r="AS125" s="75">
        <v>0.6</v>
      </c>
      <c r="AT125" s="81">
        <v>0.6</v>
      </c>
      <c r="AU125" s="20"/>
      <c r="AV125" s="20"/>
      <c r="AW125" s="20"/>
      <c r="AX125" s="20"/>
      <c r="AY125" s="20"/>
      <c r="AZ125" s="20"/>
      <c r="BA125" s="20"/>
      <c r="BB125" s="20"/>
      <c r="BC125" s="20"/>
      <c r="BD125" s="20"/>
      <c r="BE125" s="20"/>
      <c r="BF125" s="20"/>
      <c r="BG125" s="20"/>
      <c r="BH125" s="20"/>
    </row>
    <row r="126" spans="1:60">
      <c r="A126" s="193"/>
      <c r="B126" s="170"/>
      <c r="C126" s="170" t="s">
        <v>426</v>
      </c>
      <c r="D126" s="170" t="s">
        <v>451</v>
      </c>
      <c r="E126" s="170"/>
      <c r="F126" s="170"/>
      <c r="G126" s="170"/>
      <c r="H126" s="170"/>
      <c r="I126" s="170"/>
      <c r="J126" s="170"/>
      <c r="K126" s="170"/>
      <c r="L126" s="170"/>
      <c r="M126" s="170"/>
      <c r="N126" s="170"/>
      <c r="O126" s="170"/>
      <c r="P126" s="312">
        <f>((P122*P124)/100)+P122</f>
        <v>0</v>
      </c>
      <c r="Q126" s="312"/>
      <c r="R126" s="170" t="s">
        <v>30</v>
      </c>
      <c r="S126" s="168"/>
      <c r="T126" s="168"/>
      <c r="U126" s="168"/>
      <c r="V126" s="168"/>
      <c r="W126" s="168"/>
      <c r="X126" s="168"/>
      <c r="Y126" s="168"/>
      <c r="Z126" s="201"/>
      <c r="AA126" s="20"/>
      <c r="AB126" s="20"/>
      <c r="AC126" s="20"/>
      <c r="AD126" s="387"/>
      <c r="AE126" s="67"/>
      <c r="AF126" s="70" t="s">
        <v>404</v>
      </c>
      <c r="AG126" s="75" t="s">
        <v>84</v>
      </c>
      <c r="AH126" s="75" t="s">
        <v>84</v>
      </c>
      <c r="AI126" s="75" t="s">
        <v>84</v>
      </c>
      <c r="AJ126" s="75" t="s">
        <v>84</v>
      </c>
      <c r="AK126" s="75">
        <v>1</v>
      </c>
      <c r="AL126" s="75">
        <v>1</v>
      </c>
      <c r="AM126" s="75">
        <v>1</v>
      </c>
      <c r="AN126" s="75">
        <v>0.9</v>
      </c>
      <c r="AO126" s="75">
        <v>0.9</v>
      </c>
      <c r="AP126" s="75">
        <v>0.8</v>
      </c>
      <c r="AQ126" s="75">
        <v>0.8</v>
      </c>
      <c r="AR126" s="75">
        <v>0.7</v>
      </c>
      <c r="AS126" s="75">
        <v>0.7</v>
      </c>
      <c r="AT126" s="81">
        <v>0.7</v>
      </c>
      <c r="AU126" s="20"/>
      <c r="AV126" s="20"/>
      <c r="AW126" s="20"/>
      <c r="AX126" s="20"/>
      <c r="AY126" s="20"/>
      <c r="AZ126" s="20"/>
      <c r="BA126" s="20"/>
      <c r="BB126" s="20"/>
      <c r="BC126" s="20"/>
      <c r="BD126" s="20"/>
      <c r="BE126" s="20"/>
      <c r="BF126" s="20"/>
      <c r="BG126" s="20"/>
      <c r="BH126" s="20"/>
    </row>
    <row r="127" spans="1:60">
      <c r="A127" s="193"/>
      <c r="B127" s="168"/>
      <c r="C127" s="168"/>
      <c r="D127" s="168"/>
      <c r="E127" s="168"/>
      <c r="F127" s="168"/>
      <c r="G127" s="168"/>
      <c r="H127" s="168"/>
      <c r="I127" s="168"/>
      <c r="J127" s="168"/>
      <c r="K127" s="168"/>
      <c r="L127" s="168"/>
      <c r="M127" s="168"/>
      <c r="N127" s="168"/>
      <c r="O127" s="168"/>
      <c r="P127" s="168"/>
      <c r="Q127" s="168"/>
      <c r="R127" s="168"/>
      <c r="S127" s="168"/>
      <c r="T127" s="168"/>
      <c r="U127" s="168"/>
      <c r="V127" s="168"/>
      <c r="W127" s="168"/>
      <c r="X127" s="168"/>
      <c r="Y127" s="168"/>
      <c r="Z127" s="201"/>
      <c r="AA127" s="20"/>
      <c r="AB127" s="20"/>
      <c r="AC127" s="20"/>
      <c r="AD127" s="387"/>
      <c r="AE127" s="67"/>
      <c r="AF127" s="70" t="s">
        <v>405</v>
      </c>
      <c r="AG127" s="75" t="s">
        <v>84</v>
      </c>
      <c r="AH127" s="75" t="s">
        <v>84</v>
      </c>
      <c r="AI127" s="75" t="s">
        <v>84</v>
      </c>
      <c r="AJ127" s="75" t="s">
        <v>84</v>
      </c>
      <c r="AK127" s="75" t="s">
        <v>84</v>
      </c>
      <c r="AL127" s="75">
        <v>1</v>
      </c>
      <c r="AM127" s="75">
        <v>1</v>
      </c>
      <c r="AN127" s="75">
        <v>1</v>
      </c>
      <c r="AO127" s="75">
        <v>0.9</v>
      </c>
      <c r="AP127" s="75">
        <v>0.9</v>
      </c>
      <c r="AQ127" s="75">
        <v>0.8</v>
      </c>
      <c r="AR127" s="75">
        <v>0.8</v>
      </c>
      <c r="AS127" s="75">
        <v>0.8</v>
      </c>
      <c r="AT127" s="81">
        <v>0.7</v>
      </c>
      <c r="AU127" s="20"/>
      <c r="AV127" s="20"/>
      <c r="AW127" s="20"/>
      <c r="AX127" s="20"/>
      <c r="AY127" s="20"/>
      <c r="AZ127" s="20"/>
      <c r="BA127" s="20"/>
      <c r="BB127" s="20"/>
      <c r="BC127" s="20"/>
      <c r="BD127" s="20"/>
      <c r="BE127" s="20"/>
      <c r="BF127" s="20"/>
      <c r="BG127" s="20"/>
      <c r="BH127" s="20"/>
    </row>
    <row r="128" spans="1:60">
      <c r="A128" s="193"/>
      <c r="B128" s="206" t="s">
        <v>452</v>
      </c>
      <c r="C128" s="206" t="s">
        <v>453</v>
      </c>
      <c r="D128" s="206"/>
      <c r="E128" s="206"/>
      <c r="F128" s="206"/>
      <c r="G128" s="206"/>
      <c r="H128" s="206"/>
      <c r="I128" s="206"/>
      <c r="J128" s="206"/>
      <c r="K128" s="206"/>
      <c r="L128" s="206"/>
      <c r="M128" s="206"/>
      <c r="N128" s="206"/>
      <c r="O128" s="206"/>
      <c r="P128" s="168"/>
      <c r="Q128" s="168"/>
      <c r="R128" s="168"/>
      <c r="S128" s="168"/>
      <c r="T128" s="168"/>
      <c r="U128" s="168"/>
      <c r="V128" s="168"/>
      <c r="W128" s="168"/>
      <c r="X128" s="168"/>
      <c r="Y128" s="168"/>
      <c r="Z128" s="201"/>
      <c r="AA128" s="20"/>
      <c r="AB128" s="20"/>
      <c r="AC128" s="20"/>
      <c r="AD128" s="387"/>
      <c r="AE128" s="67"/>
      <c r="AF128" s="70" t="s">
        <v>406</v>
      </c>
      <c r="AG128" s="75" t="s">
        <v>84</v>
      </c>
      <c r="AH128" s="75" t="s">
        <v>84</v>
      </c>
      <c r="AI128" s="75" t="s">
        <v>84</v>
      </c>
      <c r="AJ128" s="75" t="s">
        <v>84</v>
      </c>
      <c r="AK128" s="75" t="s">
        <v>84</v>
      </c>
      <c r="AL128" s="75" t="s">
        <v>84</v>
      </c>
      <c r="AM128" s="75">
        <v>1</v>
      </c>
      <c r="AN128" s="75">
        <v>1</v>
      </c>
      <c r="AO128" s="75">
        <v>1</v>
      </c>
      <c r="AP128" s="75">
        <v>0.9</v>
      </c>
      <c r="AQ128" s="75">
        <v>0.9</v>
      </c>
      <c r="AR128" s="75">
        <v>0.9</v>
      </c>
      <c r="AS128" s="75">
        <v>0.8</v>
      </c>
      <c r="AT128" s="81">
        <v>0.8</v>
      </c>
      <c r="AU128" s="20"/>
      <c r="AV128" s="20"/>
      <c r="AW128" s="20"/>
      <c r="AX128" s="20"/>
      <c r="AY128" s="20"/>
      <c r="AZ128" s="20"/>
      <c r="BA128" s="20"/>
      <c r="BB128" s="20"/>
      <c r="BC128" s="20"/>
      <c r="BD128" s="20"/>
      <c r="BE128" s="20"/>
      <c r="BF128" s="20"/>
      <c r="BG128" s="20"/>
      <c r="BH128" s="20"/>
    </row>
    <row r="129" spans="1:60">
      <c r="A129" s="193"/>
      <c r="B129" s="206"/>
      <c r="C129" s="206"/>
      <c r="D129" s="206"/>
      <c r="E129" s="206"/>
      <c r="F129" s="206"/>
      <c r="G129" s="206"/>
      <c r="H129" s="206"/>
      <c r="I129" s="206"/>
      <c r="J129" s="206"/>
      <c r="K129" s="206"/>
      <c r="L129" s="206"/>
      <c r="M129" s="206"/>
      <c r="N129" s="206"/>
      <c r="O129" s="206"/>
      <c r="P129" s="168"/>
      <c r="Q129" s="168"/>
      <c r="R129" s="168"/>
      <c r="S129" s="168"/>
      <c r="T129" s="168"/>
      <c r="U129" s="207"/>
      <c r="V129" s="231"/>
      <c r="W129" s="17"/>
      <c r="X129" s="17"/>
      <c r="Y129" s="168"/>
      <c r="Z129" s="201"/>
      <c r="AA129" s="20"/>
      <c r="AB129" s="20"/>
      <c r="AC129" s="20"/>
      <c r="AD129" s="387"/>
      <c r="AE129" s="67"/>
      <c r="AF129" s="70" t="s">
        <v>407</v>
      </c>
      <c r="AG129" s="75" t="s">
        <v>84</v>
      </c>
      <c r="AH129" s="75" t="s">
        <v>84</v>
      </c>
      <c r="AI129" s="75" t="s">
        <v>84</v>
      </c>
      <c r="AJ129" s="75" t="s">
        <v>84</v>
      </c>
      <c r="AK129" s="75" t="s">
        <v>84</v>
      </c>
      <c r="AL129" s="75" t="s">
        <v>84</v>
      </c>
      <c r="AM129" s="75" t="s">
        <v>84</v>
      </c>
      <c r="AN129" s="75">
        <v>1</v>
      </c>
      <c r="AO129" s="75">
        <v>1</v>
      </c>
      <c r="AP129" s="75">
        <v>1</v>
      </c>
      <c r="AQ129" s="75">
        <v>0.9</v>
      </c>
      <c r="AR129" s="75">
        <v>0.9</v>
      </c>
      <c r="AS129" s="75">
        <v>0.9</v>
      </c>
      <c r="AT129" s="81">
        <v>0.9</v>
      </c>
      <c r="AU129" s="20"/>
      <c r="AV129" s="20"/>
      <c r="AW129" s="20"/>
      <c r="AX129" s="20"/>
      <c r="AY129" s="20"/>
      <c r="AZ129" s="20"/>
      <c r="BA129" s="20"/>
      <c r="BB129" s="20"/>
      <c r="BC129" s="20"/>
      <c r="BD129" s="20"/>
      <c r="BE129" s="20"/>
      <c r="BF129" s="20"/>
      <c r="BG129" s="20"/>
      <c r="BH129" s="20"/>
    </row>
    <row r="130" spans="1:60">
      <c r="A130" s="193"/>
      <c r="B130" s="206"/>
      <c r="C130" s="206" t="s">
        <v>418</v>
      </c>
      <c r="D130" s="206" t="s">
        <v>454</v>
      </c>
      <c r="E130" s="206"/>
      <c r="F130" s="206"/>
      <c r="G130" s="206"/>
      <c r="H130" s="206"/>
      <c r="I130" s="206"/>
      <c r="J130" s="206"/>
      <c r="K130" s="206"/>
      <c r="L130" s="206"/>
      <c r="M130" s="206"/>
      <c r="N130" s="206"/>
      <c r="O130" s="206"/>
      <c r="P130" s="168"/>
      <c r="Q130" s="168"/>
      <c r="R130" s="168"/>
      <c r="S130" s="168"/>
      <c r="T130" s="168"/>
      <c r="U130" s="207"/>
      <c r="V130" s="231"/>
      <c r="W130" s="17"/>
      <c r="X130" s="17"/>
      <c r="Y130" s="168"/>
      <c r="Z130" s="201"/>
      <c r="AA130" s="20"/>
      <c r="AB130" s="20"/>
      <c r="AC130" s="20"/>
      <c r="AD130" s="387"/>
      <c r="AE130" s="67"/>
      <c r="AF130" s="70" t="s">
        <v>408</v>
      </c>
      <c r="AG130" s="75" t="s">
        <v>84</v>
      </c>
      <c r="AH130" s="75" t="s">
        <v>84</v>
      </c>
      <c r="AI130" s="75" t="s">
        <v>84</v>
      </c>
      <c r="AJ130" s="75" t="s">
        <v>84</v>
      </c>
      <c r="AK130" s="75" t="s">
        <v>84</v>
      </c>
      <c r="AL130" s="75" t="s">
        <v>84</v>
      </c>
      <c r="AM130" s="75" t="s">
        <v>84</v>
      </c>
      <c r="AN130" s="75" t="s">
        <v>84</v>
      </c>
      <c r="AO130" s="75">
        <v>1</v>
      </c>
      <c r="AP130" s="75">
        <v>1</v>
      </c>
      <c r="AQ130" s="75">
        <v>1</v>
      </c>
      <c r="AR130" s="75">
        <v>1</v>
      </c>
      <c r="AS130" s="75">
        <v>0.9</v>
      </c>
      <c r="AT130" s="81">
        <v>0.9</v>
      </c>
      <c r="AU130" s="20"/>
      <c r="AV130" s="20"/>
      <c r="AW130" s="20"/>
      <c r="AX130" s="20"/>
      <c r="AY130" s="20"/>
      <c r="AZ130" s="20"/>
      <c r="BA130" s="20"/>
      <c r="BB130" s="20"/>
      <c r="BC130" s="20"/>
      <c r="BD130" s="20"/>
      <c r="BE130" s="20"/>
      <c r="BF130" s="20"/>
      <c r="BG130" s="20"/>
      <c r="BH130" s="20"/>
    </row>
    <row r="131" spans="1:60">
      <c r="A131" s="193"/>
      <c r="B131" s="206"/>
      <c r="C131" s="206"/>
      <c r="D131" s="206"/>
      <c r="E131" s="206"/>
      <c r="F131" s="206"/>
      <c r="G131" s="206"/>
      <c r="H131" s="206"/>
      <c r="I131" s="206"/>
      <c r="J131" s="206"/>
      <c r="K131" s="206"/>
      <c r="L131" s="206"/>
      <c r="M131" s="206"/>
      <c r="N131" s="206"/>
      <c r="O131" s="206"/>
      <c r="P131" s="168"/>
      <c r="Q131" s="168"/>
      <c r="R131" s="168"/>
      <c r="S131" s="168"/>
      <c r="T131" s="168"/>
      <c r="U131" s="207"/>
      <c r="V131" s="231"/>
      <c r="W131" s="17"/>
      <c r="X131" s="17"/>
      <c r="Y131" s="168"/>
      <c r="Z131" s="201"/>
      <c r="AA131" s="20"/>
      <c r="AB131" s="20"/>
      <c r="AC131" s="20"/>
      <c r="AD131" s="387"/>
      <c r="AE131" s="67"/>
      <c r="AF131" s="70" t="s">
        <v>409</v>
      </c>
      <c r="AG131" s="75" t="s">
        <v>84</v>
      </c>
      <c r="AH131" s="75" t="s">
        <v>84</v>
      </c>
      <c r="AI131" s="75" t="s">
        <v>84</v>
      </c>
      <c r="AJ131" s="75" t="s">
        <v>84</v>
      </c>
      <c r="AK131" s="75" t="s">
        <v>84</v>
      </c>
      <c r="AL131" s="75" t="s">
        <v>84</v>
      </c>
      <c r="AM131" s="75" t="s">
        <v>84</v>
      </c>
      <c r="AN131" s="75" t="s">
        <v>84</v>
      </c>
      <c r="AO131" s="75" t="s">
        <v>84</v>
      </c>
      <c r="AP131" s="75">
        <v>1</v>
      </c>
      <c r="AQ131" s="75">
        <v>1</v>
      </c>
      <c r="AR131" s="75">
        <v>1</v>
      </c>
      <c r="AS131" s="75">
        <v>1</v>
      </c>
      <c r="AT131" s="81">
        <v>0.9</v>
      </c>
      <c r="AU131" s="20"/>
      <c r="AV131" s="20"/>
      <c r="AW131" s="20"/>
      <c r="AX131" s="20"/>
      <c r="AY131" s="20"/>
      <c r="AZ131" s="20"/>
      <c r="BA131" s="20"/>
      <c r="BB131" s="20"/>
      <c r="BC131" s="20"/>
      <c r="BD131" s="20"/>
      <c r="BE131" s="20"/>
      <c r="BF131" s="20"/>
      <c r="BG131" s="20"/>
      <c r="BH131" s="20"/>
    </row>
    <row r="132" spans="1:60">
      <c r="A132" s="193"/>
      <c r="B132" s="206"/>
      <c r="C132" s="206" t="s">
        <v>419</v>
      </c>
      <c r="D132" s="206" t="s">
        <v>455</v>
      </c>
      <c r="E132" s="206"/>
      <c r="F132" s="206"/>
      <c r="G132" s="168"/>
      <c r="H132" s="168"/>
      <c r="I132" s="206"/>
      <c r="J132" s="206"/>
      <c r="K132" s="206"/>
      <c r="L132" s="206"/>
      <c r="M132" s="206"/>
      <c r="N132" s="206"/>
      <c r="O132" s="206"/>
      <c r="P132" s="365">
        <f>SUM(U129:X140)</f>
        <v>0</v>
      </c>
      <c r="Q132" s="365"/>
      <c r="R132" s="168"/>
      <c r="S132" s="168"/>
      <c r="T132" s="168"/>
      <c r="U132" s="207"/>
      <c r="V132" s="231"/>
      <c r="W132" s="17"/>
      <c r="X132" s="17"/>
      <c r="Y132" s="168"/>
      <c r="Z132" s="201"/>
      <c r="AA132" s="20"/>
      <c r="AB132" s="20"/>
      <c r="AC132" s="20"/>
      <c r="AD132" s="387"/>
      <c r="AE132" s="67"/>
      <c r="AF132" s="70" t="s">
        <v>410</v>
      </c>
      <c r="AG132" s="75" t="s">
        <v>84</v>
      </c>
      <c r="AH132" s="75" t="s">
        <v>84</v>
      </c>
      <c r="AI132" s="75" t="s">
        <v>84</v>
      </c>
      <c r="AJ132" s="75" t="s">
        <v>84</v>
      </c>
      <c r="AK132" s="75" t="s">
        <v>84</v>
      </c>
      <c r="AL132" s="75" t="s">
        <v>84</v>
      </c>
      <c r="AM132" s="75" t="s">
        <v>84</v>
      </c>
      <c r="AN132" s="75" t="s">
        <v>84</v>
      </c>
      <c r="AO132" s="75" t="s">
        <v>84</v>
      </c>
      <c r="AP132" s="75" t="s">
        <v>84</v>
      </c>
      <c r="AQ132" s="75">
        <v>1</v>
      </c>
      <c r="AR132" s="75">
        <v>1</v>
      </c>
      <c r="AS132" s="75">
        <v>1</v>
      </c>
      <c r="AT132" s="81">
        <v>1</v>
      </c>
      <c r="AU132" s="20"/>
      <c r="AV132" s="20"/>
      <c r="AW132" s="20"/>
      <c r="AX132" s="20"/>
      <c r="AY132" s="20"/>
      <c r="AZ132" s="20"/>
      <c r="BA132" s="20"/>
      <c r="BB132" s="20"/>
      <c r="BC132" s="20"/>
      <c r="BD132" s="20"/>
      <c r="BE132" s="20"/>
      <c r="BF132" s="20"/>
      <c r="BG132" s="20"/>
      <c r="BH132" s="20"/>
    </row>
    <row r="133" spans="1:60">
      <c r="A133" s="193"/>
      <c r="B133" s="206"/>
      <c r="C133" s="206"/>
      <c r="D133" s="206"/>
      <c r="E133" s="206"/>
      <c r="F133" s="206"/>
      <c r="G133" s="168"/>
      <c r="H133" s="168"/>
      <c r="I133" s="206"/>
      <c r="J133" s="206"/>
      <c r="K133" s="206"/>
      <c r="L133" s="206"/>
      <c r="M133" s="206"/>
      <c r="N133" s="206"/>
      <c r="O133" s="206"/>
      <c r="P133" s="168"/>
      <c r="Q133" s="168"/>
      <c r="R133" s="168"/>
      <c r="S133" s="168"/>
      <c r="T133" s="168"/>
      <c r="U133" s="207"/>
      <c r="V133" s="231"/>
      <c r="W133" s="17"/>
      <c r="X133" s="17"/>
      <c r="Y133" s="168"/>
      <c r="Z133" s="201"/>
      <c r="AA133" s="20"/>
      <c r="AB133" s="20"/>
      <c r="AC133" s="20"/>
      <c r="AD133" s="387"/>
      <c r="AE133" s="67"/>
      <c r="AF133" s="70" t="s">
        <v>411</v>
      </c>
      <c r="AG133" s="75" t="s">
        <v>84</v>
      </c>
      <c r="AH133" s="75" t="s">
        <v>84</v>
      </c>
      <c r="AI133" s="75" t="s">
        <v>84</v>
      </c>
      <c r="AJ133" s="75" t="s">
        <v>84</v>
      </c>
      <c r="AK133" s="75" t="s">
        <v>84</v>
      </c>
      <c r="AL133" s="75" t="s">
        <v>84</v>
      </c>
      <c r="AM133" s="75" t="s">
        <v>84</v>
      </c>
      <c r="AN133" s="75" t="s">
        <v>84</v>
      </c>
      <c r="AO133" s="75" t="s">
        <v>84</v>
      </c>
      <c r="AP133" s="75" t="s">
        <v>84</v>
      </c>
      <c r="AQ133" s="75" t="s">
        <v>84</v>
      </c>
      <c r="AR133" s="75">
        <v>1</v>
      </c>
      <c r="AS133" s="75">
        <v>1</v>
      </c>
      <c r="AT133" s="81">
        <v>1</v>
      </c>
      <c r="AU133" s="20"/>
      <c r="AV133" s="20"/>
      <c r="AW133" s="20"/>
      <c r="AX133" s="20"/>
      <c r="AY133" s="20"/>
      <c r="AZ133" s="20"/>
      <c r="BA133" s="20"/>
      <c r="BB133" s="20"/>
      <c r="BC133" s="20"/>
      <c r="BD133" s="20"/>
      <c r="BE133" s="20"/>
      <c r="BF133" s="20"/>
      <c r="BG133" s="20"/>
      <c r="BH133" s="20"/>
    </row>
    <row r="134" spans="1:60">
      <c r="A134" s="193"/>
      <c r="B134" s="206"/>
      <c r="C134" s="206" t="s">
        <v>420</v>
      </c>
      <c r="D134" s="206" t="s">
        <v>371</v>
      </c>
      <c r="E134" s="206"/>
      <c r="F134" s="206"/>
      <c r="G134" s="168"/>
      <c r="H134" s="168"/>
      <c r="I134" s="206"/>
      <c r="J134" s="206"/>
      <c r="K134" s="206"/>
      <c r="L134" s="206"/>
      <c r="M134" s="206"/>
      <c r="N134" s="206"/>
      <c r="O134" s="206"/>
      <c r="P134" s="365">
        <f>COUNT(U129:X140)</f>
        <v>0</v>
      </c>
      <c r="Q134" s="365"/>
      <c r="R134" s="168"/>
      <c r="S134" s="168"/>
      <c r="T134" s="168"/>
      <c r="U134" s="207"/>
      <c r="V134" s="231"/>
      <c r="W134" s="17"/>
      <c r="X134" s="17"/>
      <c r="Y134" s="168"/>
      <c r="Z134" s="201"/>
      <c r="AA134" s="20"/>
      <c r="AB134" s="20"/>
      <c r="AC134" s="20"/>
      <c r="AD134" s="387"/>
      <c r="AE134" s="67"/>
      <c r="AF134" s="70" t="s">
        <v>412</v>
      </c>
      <c r="AG134" s="75" t="s">
        <v>84</v>
      </c>
      <c r="AH134" s="75" t="s">
        <v>84</v>
      </c>
      <c r="AI134" s="75" t="s">
        <v>84</v>
      </c>
      <c r="AJ134" s="75" t="s">
        <v>84</v>
      </c>
      <c r="AK134" s="75" t="s">
        <v>84</v>
      </c>
      <c r="AL134" s="75" t="s">
        <v>84</v>
      </c>
      <c r="AM134" s="75" t="s">
        <v>84</v>
      </c>
      <c r="AN134" s="75" t="s">
        <v>84</v>
      </c>
      <c r="AO134" s="75" t="s">
        <v>84</v>
      </c>
      <c r="AP134" s="75" t="s">
        <v>84</v>
      </c>
      <c r="AQ134" s="75" t="s">
        <v>84</v>
      </c>
      <c r="AR134" s="75" t="s">
        <v>84</v>
      </c>
      <c r="AS134" s="75">
        <v>1</v>
      </c>
      <c r="AT134" s="81">
        <v>1</v>
      </c>
      <c r="AU134" s="20"/>
      <c r="AV134" s="20"/>
      <c r="AW134" s="20"/>
      <c r="AX134" s="20"/>
      <c r="AY134" s="20"/>
      <c r="AZ134" s="20"/>
      <c r="BA134" s="20"/>
      <c r="BB134" s="20"/>
      <c r="BC134" s="20"/>
      <c r="BD134" s="20"/>
      <c r="BE134" s="20"/>
      <c r="BF134" s="20"/>
      <c r="BG134" s="20"/>
      <c r="BH134" s="20"/>
    </row>
    <row r="135" spans="1:60">
      <c r="A135" s="193"/>
      <c r="B135" s="170"/>
      <c r="C135" s="170"/>
      <c r="D135" s="170"/>
      <c r="E135" s="170"/>
      <c r="F135" s="170"/>
      <c r="G135" s="170"/>
      <c r="H135" s="170"/>
      <c r="I135" s="170"/>
      <c r="J135" s="206"/>
      <c r="K135" s="206"/>
      <c r="L135" s="206"/>
      <c r="M135" s="206"/>
      <c r="N135" s="206"/>
      <c r="O135" s="206"/>
      <c r="P135" s="168"/>
      <c r="Q135" s="168"/>
      <c r="R135" s="168"/>
      <c r="S135" s="168"/>
      <c r="T135" s="168"/>
      <c r="U135" s="207"/>
      <c r="V135" s="231"/>
      <c r="W135" s="17"/>
      <c r="X135" s="17"/>
      <c r="Y135" s="168"/>
      <c r="Z135" s="201"/>
      <c r="AA135" s="20"/>
      <c r="AB135" s="20"/>
      <c r="AC135" s="20"/>
      <c r="AD135" s="387"/>
      <c r="AE135" s="67"/>
      <c r="AF135" s="70" t="s">
        <v>413</v>
      </c>
      <c r="AG135" s="28" t="s">
        <v>84</v>
      </c>
      <c r="AH135" s="28" t="s">
        <v>84</v>
      </c>
      <c r="AI135" s="28" t="s">
        <v>84</v>
      </c>
      <c r="AJ135" s="28" t="s">
        <v>84</v>
      </c>
      <c r="AK135" s="28" t="s">
        <v>84</v>
      </c>
      <c r="AL135" s="28" t="s">
        <v>84</v>
      </c>
      <c r="AM135" s="28" t="s">
        <v>84</v>
      </c>
      <c r="AN135" s="28" t="s">
        <v>84</v>
      </c>
      <c r="AO135" s="28" t="s">
        <v>84</v>
      </c>
      <c r="AP135" s="28" t="s">
        <v>84</v>
      </c>
      <c r="AQ135" s="28" t="s">
        <v>84</v>
      </c>
      <c r="AR135" s="28" t="s">
        <v>84</v>
      </c>
      <c r="AS135" s="28" t="s">
        <v>84</v>
      </c>
      <c r="AT135" s="78">
        <v>1</v>
      </c>
      <c r="AU135" s="20"/>
      <c r="AV135" s="20"/>
      <c r="AW135" s="20"/>
      <c r="AX135" s="20"/>
      <c r="AY135" s="20"/>
      <c r="AZ135" s="20"/>
      <c r="BA135" s="20"/>
      <c r="BB135" s="20"/>
      <c r="BC135" s="20"/>
      <c r="BD135" s="20"/>
      <c r="BE135" s="20"/>
      <c r="BF135" s="20"/>
      <c r="BG135" s="20"/>
      <c r="BH135" s="20"/>
    </row>
    <row r="136" spans="1:60">
      <c r="A136" s="193"/>
      <c r="B136" s="170"/>
      <c r="C136" s="170" t="s">
        <v>421</v>
      </c>
      <c r="D136" s="170" t="s">
        <v>456</v>
      </c>
      <c r="E136" s="170"/>
      <c r="F136" s="170"/>
      <c r="G136" s="170"/>
      <c r="H136" s="170"/>
      <c r="I136" s="170"/>
      <c r="J136" s="206"/>
      <c r="K136" s="206"/>
      <c r="L136" s="206"/>
      <c r="M136" s="206"/>
      <c r="N136" s="206"/>
      <c r="O136" s="206"/>
      <c r="P136" s="312" t="str">
        <f>IF(P134=0,"0",P132/P134)</f>
        <v>0</v>
      </c>
      <c r="Q136" s="312"/>
      <c r="R136" s="168"/>
      <c r="S136" s="168"/>
      <c r="T136" s="168"/>
      <c r="U136" s="207"/>
      <c r="V136" s="231"/>
      <c r="W136" s="17"/>
      <c r="X136" s="17"/>
      <c r="Y136" s="168"/>
      <c r="Z136" s="201"/>
      <c r="AA136" s="20"/>
      <c r="AB136" s="20"/>
      <c r="AC136" s="20"/>
      <c r="AD136" s="388"/>
      <c r="AE136" s="71"/>
      <c r="AF136" s="72"/>
      <c r="AG136" s="73"/>
      <c r="AH136" s="73"/>
      <c r="AI136" s="73"/>
      <c r="AJ136" s="73"/>
      <c r="AK136" s="73"/>
      <c r="AL136" s="73"/>
      <c r="AM136" s="73"/>
      <c r="AN136" s="73"/>
      <c r="AO136" s="73"/>
      <c r="AP136" s="73"/>
      <c r="AQ136" s="73"/>
      <c r="AR136" s="73"/>
      <c r="AS136" s="73"/>
      <c r="AT136" s="82"/>
      <c r="AU136" s="20"/>
      <c r="AV136" s="20"/>
      <c r="AW136" s="20"/>
      <c r="AX136" s="20"/>
      <c r="AY136" s="20"/>
      <c r="AZ136" s="20"/>
      <c r="BA136" s="20"/>
      <c r="BB136" s="20"/>
      <c r="BC136" s="20"/>
      <c r="BD136" s="20"/>
      <c r="BE136" s="20"/>
      <c r="BF136" s="20"/>
      <c r="BG136" s="20"/>
      <c r="BH136" s="20"/>
    </row>
    <row r="137" spans="1:60">
      <c r="A137" s="193"/>
      <c r="B137" s="170"/>
      <c r="C137" s="170"/>
      <c r="D137" s="170"/>
      <c r="E137" s="170"/>
      <c r="F137" s="170"/>
      <c r="G137" s="170"/>
      <c r="H137" s="170"/>
      <c r="I137" s="170"/>
      <c r="J137" s="206"/>
      <c r="K137" s="206"/>
      <c r="L137" s="206"/>
      <c r="M137" s="206"/>
      <c r="N137" s="206"/>
      <c r="O137" s="206"/>
      <c r="P137" s="168"/>
      <c r="Q137" s="168"/>
      <c r="R137" s="168"/>
      <c r="S137" s="168"/>
      <c r="T137" s="168"/>
      <c r="U137" s="207"/>
      <c r="V137" s="231"/>
      <c r="W137" s="17"/>
      <c r="X137" s="17"/>
      <c r="Y137" s="168"/>
      <c r="Z137" s="201"/>
      <c r="AA137" s="20"/>
      <c r="AB137" s="20"/>
      <c r="AC137" s="20"/>
      <c r="AD137" s="20"/>
      <c r="AE137" s="20"/>
      <c r="AF137" s="20"/>
      <c r="AG137" s="20"/>
      <c r="AH137" s="20"/>
      <c r="AI137" s="20"/>
      <c r="AJ137" s="20"/>
      <c r="AK137" s="20"/>
      <c r="AL137" s="20"/>
      <c r="AM137" s="20"/>
      <c r="AN137" s="20"/>
      <c r="AO137" s="20"/>
      <c r="AP137" s="20"/>
      <c r="AQ137" s="20"/>
      <c r="AR137" s="20"/>
      <c r="AS137" s="20"/>
      <c r="AT137" s="20"/>
      <c r="AU137" s="20"/>
      <c r="AV137" s="20"/>
      <c r="AW137" s="20"/>
      <c r="AX137" s="20"/>
      <c r="AY137" s="20"/>
      <c r="AZ137" s="20"/>
      <c r="BA137" s="20"/>
      <c r="BB137" s="20"/>
      <c r="BC137" s="20"/>
      <c r="BD137" s="20"/>
      <c r="BE137" s="20"/>
      <c r="BF137" s="20"/>
      <c r="BG137" s="20"/>
      <c r="BH137" s="20"/>
    </row>
    <row r="138" spans="1:60">
      <c r="A138" s="193"/>
      <c r="B138" s="170"/>
      <c r="C138" s="170" t="s">
        <v>422</v>
      </c>
      <c r="D138" s="170" t="s">
        <v>457</v>
      </c>
      <c r="E138" s="170"/>
      <c r="F138" s="170"/>
      <c r="G138" s="170"/>
      <c r="H138" s="170"/>
      <c r="I138" s="170"/>
      <c r="J138" s="206"/>
      <c r="K138" s="206"/>
      <c r="L138" s="206"/>
      <c r="M138" s="206"/>
      <c r="N138" s="206"/>
      <c r="O138" s="206"/>
      <c r="P138" s="168"/>
      <c r="Q138" s="168"/>
      <c r="R138" s="168"/>
      <c r="S138" s="168"/>
      <c r="T138" s="168"/>
      <c r="U138" s="207"/>
      <c r="V138" s="231"/>
      <c r="W138" s="17"/>
      <c r="X138" s="17"/>
      <c r="Y138" s="168"/>
      <c r="Z138" s="201"/>
      <c r="AA138" s="20"/>
      <c r="AB138" s="20"/>
      <c r="AC138" s="20"/>
      <c r="AD138" s="20"/>
      <c r="AE138" s="20"/>
      <c r="AF138" s="20"/>
      <c r="AG138" s="20"/>
      <c r="AH138" s="20"/>
      <c r="AI138" s="20"/>
      <c r="AJ138" s="20"/>
      <c r="AK138" s="20"/>
      <c r="AL138" s="20"/>
      <c r="AM138" s="20"/>
      <c r="AN138" s="20"/>
      <c r="AO138" s="20"/>
      <c r="AP138" s="20"/>
      <c r="AQ138" s="20"/>
      <c r="AR138" s="20"/>
      <c r="AS138" s="20"/>
      <c r="AT138" s="20"/>
      <c r="AU138" s="20"/>
      <c r="AV138" s="20"/>
      <c r="AW138" s="20"/>
      <c r="AX138" s="20"/>
      <c r="AY138" s="20"/>
      <c r="AZ138" s="20"/>
      <c r="BA138" s="20"/>
      <c r="BB138" s="20"/>
      <c r="BC138" s="20"/>
      <c r="BD138" s="20"/>
      <c r="BE138" s="20"/>
      <c r="BF138" s="20"/>
      <c r="BG138" s="20"/>
      <c r="BH138" s="20"/>
    </row>
    <row r="139" spans="1:60">
      <c r="A139" s="193"/>
      <c r="B139" s="170"/>
      <c r="C139" s="170"/>
      <c r="D139" s="170"/>
      <c r="E139" s="170"/>
      <c r="F139" s="170"/>
      <c r="G139" s="170"/>
      <c r="H139" s="170"/>
      <c r="I139" s="170"/>
      <c r="J139" s="206"/>
      <c r="K139" s="206"/>
      <c r="L139" s="206"/>
      <c r="M139" s="206"/>
      <c r="N139" s="206"/>
      <c r="O139" s="206"/>
      <c r="P139" s="168"/>
      <c r="Q139" s="168"/>
      <c r="R139" s="168"/>
      <c r="S139" s="168"/>
      <c r="T139" s="168"/>
      <c r="U139" s="207"/>
      <c r="V139" s="231"/>
      <c r="W139" s="17"/>
      <c r="X139" s="17"/>
      <c r="Y139" s="168"/>
      <c r="Z139" s="201"/>
      <c r="AA139" s="20"/>
      <c r="AB139" s="20"/>
      <c r="AC139" s="20"/>
      <c r="AD139" s="20"/>
      <c r="AE139" s="20"/>
      <c r="AF139" s="20"/>
      <c r="AG139" s="20"/>
      <c r="AH139" s="20"/>
      <c r="AI139" s="20"/>
      <c r="AJ139" s="20"/>
      <c r="AK139" s="20"/>
      <c r="AL139" s="20"/>
      <c r="AM139" s="20"/>
      <c r="AN139" s="20"/>
      <c r="AO139" s="20"/>
      <c r="AP139" s="20"/>
      <c r="AQ139" s="20"/>
      <c r="AR139" s="20"/>
      <c r="AS139" s="20"/>
      <c r="AT139" s="20"/>
      <c r="AU139" s="20"/>
      <c r="AV139" s="20"/>
      <c r="AW139" s="20"/>
      <c r="AX139" s="20"/>
      <c r="AY139" s="20"/>
      <c r="AZ139" s="20"/>
      <c r="BA139" s="20"/>
      <c r="BB139" s="20"/>
      <c r="BC139" s="20"/>
      <c r="BD139" s="20"/>
      <c r="BE139" s="20"/>
      <c r="BF139" s="20"/>
      <c r="BG139" s="20"/>
      <c r="BH139" s="20"/>
    </row>
    <row r="140" spans="1:60">
      <c r="A140" s="193"/>
      <c r="B140" s="184"/>
      <c r="C140" s="170" t="s">
        <v>423</v>
      </c>
      <c r="D140" s="170" t="s">
        <v>458</v>
      </c>
      <c r="E140" s="170"/>
      <c r="F140" s="170"/>
      <c r="G140" s="170"/>
      <c r="H140" s="170"/>
      <c r="I140" s="170"/>
      <c r="J140" s="206"/>
      <c r="K140" s="206"/>
      <c r="L140" s="206"/>
      <c r="M140" s="206"/>
      <c r="N140" s="206"/>
      <c r="O140" s="206"/>
      <c r="P140" s="312">
        <f>Q20</f>
        <v>0</v>
      </c>
      <c r="Q140" s="312"/>
      <c r="R140" s="170" t="s">
        <v>30</v>
      </c>
      <c r="S140" s="206"/>
      <c r="T140" s="168"/>
      <c r="U140" s="207"/>
      <c r="V140" s="231"/>
      <c r="W140" s="17"/>
      <c r="X140" s="17"/>
      <c r="Y140" s="168"/>
      <c r="Z140" s="201"/>
      <c r="AA140" s="20"/>
      <c r="AB140" s="20"/>
      <c r="AC140" s="20"/>
      <c r="AD140" s="20"/>
      <c r="AE140" s="20"/>
      <c r="AF140" s="20"/>
      <c r="AG140" s="20"/>
      <c r="AH140" s="20"/>
      <c r="AI140" s="20"/>
      <c r="AJ140" s="20"/>
      <c r="AK140" s="20"/>
      <c r="AL140" s="20"/>
      <c r="AM140" s="20"/>
      <c r="AN140" s="20"/>
      <c r="AO140" s="20"/>
      <c r="AP140" s="20"/>
      <c r="AQ140" s="20"/>
      <c r="AR140" s="20"/>
      <c r="AS140" s="20"/>
      <c r="AT140" s="20"/>
      <c r="AU140" s="20"/>
      <c r="AV140" s="20"/>
      <c r="AW140" s="20"/>
      <c r="AX140" s="20"/>
      <c r="AY140" s="20"/>
      <c r="AZ140" s="20"/>
      <c r="BA140" s="20"/>
      <c r="BB140" s="20"/>
      <c r="BC140" s="20"/>
      <c r="BD140" s="20"/>
      <c r="BE140" s="20"/>
      <c r="BF140" s="20"/>
      <c r="BG140" s="20"/>
      <c r="BH140" s="20"/>
    </row>
    <row r="141" spans="1:60">
      <c r="A141" s="193"/>
      <c r="B141" s="170"/>
      <c r="C141" s="170"/>
      <c r="D141" s="170"/>
      <c r="E141" s="170"/>
      <c r="F141" s="170"/>
      <c r="G141" s="170"/>
      <c r="H141" s="170"/>
      <c r="I141" s="170"/>
      <c r="J141" s="206"/>
      <c r="K141" s="206"/>
      <c r="L141" s="206"/>
      <c r="M141" s="206"/>
      <c r="N141" s="206"/>
      <c r="O141" s="206"/>
      <c r="P141" s="168"/>
      <c r="Q141" s="168"/>
      <c r="R141" s="168"/>
      <c r="S141" s="168"/>
      <c r="T141" s="168"/>
      <c r="U141" s="168"/>
      <c r="V141" s="168"/>
      <c r="W141" s="168"/>
      <c r="X141" s="168"/>
      <c r="Y141" s="168"/>
      <c r="Z141" s="201"/>
      <c r="AA141" s="20"/>
      <c r="AB141" s="20"/>
      <c r="AC141" s="20"/>
      <c r="AD141" s="20"/>
      <c r="AE141" s="20"/>
      <c r="AF141" s="20"/>
      <c r="AG141" s="20"/>
      <c r="AH141" s="20"/>
      <c r="AI141" s="20"/>
      <c r="AJ141" s="20"/>
      <c r="AK141" s="20"/>
      <c r="AL141" s="20"/>
      <c r="AM141" s="20"/>
      <c r="AN141" s="20"/>
      <c r="AO141" s="20"/>
      <c r="AP141" s="20"/>
      <c r="AQ141" s="20"/>
      <c r="AR141" s="20"/>
      <c r="AS141" s="20"/>
      <c r="AT141" s="20"/>
      <c r="AU141" s="20"/>
      <c r="AV141" s="20"/>
      <c r="AW141" s="20"/>
      <c r="AX141" s="20"/>
      <c r="AY141" s="20"/>
      <c r="AZ141" s="20"/>
      <c r="BA141" s="20"/>
      <c r="BB141" s="20"/>
      <c r="BC141" s="20"/>
      <c r="BD141" s="20"/>
      <c r="BE141" s="20"/>
      <c r="BF141" s="20"/>
      <c r="BG141" s="20"/>
      <c r="BH141" s="20"/>
    </row>
    <row r="142" spans="1:60">
      <c r="A142" s="193"/>
      <c r="B142" s="170"/>
      <c r="C142" s="170" t="s">
        <v>424</v>
      </c>
      <c r="D142" s="170" t="s">
        <v>459</v>
      </c>
      <c r="E142" s="170"/>
      <c r="F142" s="170"/>
      <c r="G142" s="170"/>
      <c r="H142" s="170"/>
      <c r="I142" s="170"/>
      <c r="J142" s="206"/>
      <c r="K142" s="206"/>
      <c r="L142" s="206"/>
      <c r="M142" s="206"/>
      <c r="N142" s="206"/>
      <c r="O142" s="206"/>
      <c r="P142" s="312">
        <f>P140*P136</f>
        <v>0</v>
      </c>
      <c r="Q142" s="312"/>
      <c r="R142" s="170" t="s">
        <v>30</v>
      </c>
      <c r="S142" s="168"/>
      <c r="T142" s="168"/>
      <c r="U142" s="168"/>
      <c r="V142" s="168"/>
      <c r="W142" s="168"/>
      <c r="X142" s="168"/>
      <c r="Y142" s="168"/>
      <c r="Z142" s="201"/>
      <c r="AA142" s="20"/>
      <c r="AB142" s="20"/>
      <c r="AC142" s="20"/>
      <c r="AD142" s="20"/>
      <c r="AE142" s="20"/>
      <c r="AF142" s="20"/>
      <c r="AG142" s="20"/>
      <c r="AH142" s="20"/>
      <c r="AI142" s="20"/>
      <c r="AJ142" s="20"/>
      <c r="AK142" s="20"/>
      <c r="AL142" s="20"/>
      <c r="AM142" s="20"/>
      <c r="AN142" s="20"/>
      <c r="AO142" s="20"/>
      <c r="AP142" s="20"/>
      <c r="AQ142" s="20"/>
      <c r="AR142" s="20"/>
      <c r="AS142" s="20"/>
      <c r="AT142" s="20"/>
      <c r="AU142" s="20"/>
      <c r="AV142" s="20"/>
      <c r="AW142" s="20"/>
      <c r="AX142" s="20"/>
      <c r="AY142" s="20"/>
      <c r="AZ142" s="20"/>
      <c r="BA142" s="20"/>
      <c r="BB142" s="20"/>
      <c r="BC142" s="20"/>
      <c r="BD142" s="20"/>
      <c r="BE142" s="20"/>
      <c r="BF142" s="20"/>
      <c r="BG142" s="20"/>
      <c r="BH142" s="20"/>
    </row>
    <row r="143" spans="1:60">
      <c r="A143" s="193"/>
      <c r="B143" s="170"/>
      <c r="C143" s="170"/>
      <c r="D143" s="170"/>
      <c r="E143" s="170"/>
      <c r="F143" s="170"/>
      <c r="G143" s="170"/>
      <c r="H143" s="170"/>
      <c r="I143" s="170"/>
      <c r="J143" s="170"/>
      <c r="K143" s="170"/>
      <c r="L143" s="170"/>
      <c r="M143" s="170"/>
      <c r="N143" s="170"/>
      <c r="O143" s="170"/>
      <c r="P143" s="168"/>
      <c r="Q143" s="168"/>
      <c r="R143" s="168"/>
      <c r="S143" s="168"/>
      <c r="T143" s="168"/>
      <c r="U143" s="168"/>
      <c r="V143" s="168"/>
      <c r="W143" s="168"/>
      <c r="X143" s="168"/>
      <c r="Y143" s="168"/>
      <c r="Z143" s="201"/>
      <c r="AA143" s="20"/>
      <c r="AB143" s="20"/>
      <c r="AC143" s="20"/>
      <c r="AD143" s="20"/>
      <c r="AE143" s="20"/>
      <c r="AF143" s="20"/>
      <c r="AG143" s="20"/>
      <c r="AH143" s="20"/>
      <c r="AI143" s="20"/>
      <c r="AJ143" s="20"/>
      <c r="AK143" s="20"/>
      <c r="AL143" s="20"/>
      <c r="AM143" s="20"/>
      <c r="AN143" s="20"/>
      <c r="AO143" s="20"/>
      <c r="AP143" s="20"/>
      <c r="AQ143" s="20"/>
      <c r="AR143" s="20"/>
      <c r="AS143" s="20"/>
      <c r="AT143" s="20"/>
      <c r="AU143" s="20"/>
      <c r="AV143" s="20"/>
      <c r="AW143" s="20"/>
      <c r="AX143" s="20"/>
      <c r="AY143" s="20"/>
      <c r="AZ143" s="20"/>
      <c r="BA143" s="20"/>
      <c r="BB143" s="20"/>
      <c r="BC143" s="20"/>
      <c r="BD143" s="20"/>
      <c r="BE143" s="20"/>
      <c r="BF143" s="20"/>
      <c r="BG143" s="20"/>
      <c r="BH143" s="20"/>
    </row>
    <row r="144" spans="1:60">
      <c r="A144" s="193"/>
      <c r="B144" s="170"/>
      <c r="C144" s="170" t="s">
        <v>425</v>
      </c>
      <c r="D144" s="170" t="s">
        <v>377</v>
      </c>
      <c r="E144" s="170"/>
      <c r="F144" s="170"/>
      <c r="G144" s="170"/>
      <c r="H144" s="170"/>
      <c r="I144" s="170"/>
      <c r="J144" s="170"/>
      <c r="K144" s="170"/>
      <c r="L144" s="170"/>
      <c r="M144" s="170"/>
      <c r="N144" s="170"/>
      <c r="O144" s="170"/>
      <c r="P144" s="305"/>
      <c r="Q144" s="305"/>
      <c r="R144" s="170" t="s">
        <v>163</v>
      </c>
      <c r="S144" s="168"/>
      <c r="T144" s="168"/>
      <c r="U144" s="168"/>
      <c r="V144" s="168"/>
      <c r="W144" s="168"/>
      <c r="X144" s="168"/>
      <c r="Y144" s="168"/>
      <c r="Z144" s="201"/>
      <c r="AA144" s="20"/>
      <c r="AB144" s="20"/>
      <c r="AC144" s="20"/>
      <c r="AD144" s="20"/>
      <c r="AE144" s="20"/>
      <c r="AF144" s="20"/>
      <c r="AG144" s="20"/>
      <c r="AH144" s="20"/>
      <c r="AI144" s="20"/>
      <c r="AJ144" s="20"/>
      <c r="AK144" s="20"/>
      <c r="AL144" s="20"/>
      <c r="AM144" s="20"/>
      <c r="AN144" s="20"/>
      <c r="AO144" s="20"/>
      <c r="AP144" s="20"/>
      <c r="AQ144" s="20"/>
      <c r="AR144" s="20"/>
      <c r="AS144" s="20"/>
      <c r="AT144" s="20"/>
      <c r="AU144" s="20"/>
      <c r="AV144" s="20"/>
      <c r="AW144" s="20"/>
      <c r="AX144" s="20"/>
      <c r="AY144" s="20"/>
      <c r="AZ144" s="20"/>
      <c r="BA144" s="20"/>
      <c r="BB144" s="20"/>
      <c r="BC144" s="20"/>
      <c r="BD144" s="20"/>
      <c r="BE144" s="20"/>
      <c r="BF144" s="20"/>
      <c r="BG144" s="20"/>
      <c r="BH144" s="20"/>
    </row>
    <row r="145" spans="1:60">
      <c r="A145" s="193"/>
      <c r="B145" s="170"/>
      <c r="C145" s="170"/>
      <c r="D145" s="170"/>
      <c r="E145" s="170"/>
      <c r="F145" s="170"/>
      <c r="G145" s="170"/>
      <c r="H145" s="170"/>
      <c r="I145" s="170"/>
      <c r="J145" s="170"/>
      <c r="K145" s="170"/>
      <c r="L145" s="170"/>
      <c r="M145" s="170"/>
      <c r="N145" s="170"/>
      <c r="O145" s="170"/>
      <c r="P145" s="168"/>
      <c r="Q145" s="168"/>
      <c r="R145" s="168"/>
      <c r="S145" s="168"/>
      <c r="T145" s="168"/>
      <c r="U145" s="168"/>
      <c r="V145" s="168"/>
      <c r="W145" s="168"/>
      <c r="X145" s="168"/>
      <c r="Y145" s="168"/>
      <c r="Z145" s="201"/>
      <c r="AA145" s="20"/>
      <c r="AB145" s="20"/>
      <c r="AC145" s="20"/>
      <c r="AD145" s="20"/>
      <c r="AE145" s="20"/>
      <c r="AF145" s="20"/>
      <c r="AG145" s="20"/>
      <c r="AH145" s="20"/>
      <c r="AI145" s="20"/>
      <c r="AJ145" s="20"/>
      <c r="AK145" s="20"/>
      <c r="AL145" s="20"/>
      <c r="AM145" s="20"/>
      <c r="AN145" s="20"/>
      <c r="AO145" s="20"/>
      <c r="AP145" s="20"/>
      <c r="AQ145" s="20"/>
      <c r="AR145" s="20"/>
      <c r="AS145" s="20"/>
      <c r="AT145" s="20"/>
      <c r="AU145" s="20"/>
      <c r="AV145" s="20"/>
      <c r="AW145" s="20"/>
      <c r="AX145" s="20"/>
      <c r="AY145" s="20"/>
      <c r="AZ145" s="20"/>
      <c r="BA145" s="20"/>
      <c r="BB145" s="20"/>
      <c r="BC145" s="20"/>
      <c r="BD145" s="20"/>
      <c r="BE145" s="20"/>
      <c r="BF145" s="20"/>
      <c r="BG145" s="20"/>
      <c r="BH145" s="20"/>
    </row>
    <row r="146" spans="1:60">
      <c r="A146" s="193"/>
      <c r="B146" s="170"/>
      <c r="C146" s="170" t="s">
        <v>426</v>
      </c>
      <c r="D146" s="170" t="s">
        <v>460</v>
      </c>
      <c r="E146" s="170"/>
      <c r="F146" s="170"/>
      <c r="G146" s="170"/>
      <c r="H146" s="170"/>
      <c r="I146" s="170"/>
      <c r="J146" s="170"/>
      <c r="K146" s="170"/>
      <c r="L146" s="170"/>
      <c r="M146" s="170"/>
      <c r="N146" s="170"/>
      <c r="O146" s="170"/>
      <c r="P146" s="312">
        <f>((P142*P144)/100)+P142</f>
        <v>0</v>
      </c>
      <c r="Q146" s="312"/>
      <c r="R146" s="170" t="s">
        <v>30</v>
      </c>
      <c r="S146" s="168"/>
      <c r="T146" s="168"/>
      <c r="U146" s="168"/>
      <c r="V146" s="168"/>
      <c r="W146" s="168"/>
      <c r="X146" s="168"/>
      <c r="Y146" s="168"/>
      <c r="Z146" s="201"/>
      <c r="AA146" s="52"/>
      <c r="AB146" s="52"/>
      <c r="AC146" s="52"/>
      <c r="AD146" s="52"/>
      <c r="AE146" s="52"/>
      <c r="AF146" s="52"/>
      <c r="AG146" s="20"/>
      <c r="AH146" s="20"/>
      <c r="AI146" s="20"/>
      <c r="AJ146" s="20"/>
      <c r="AK146" s="20"/>
      <c r="AL146" s="20"/>
      <c r="AM146" s="20"/>
      <c r="AN146" s="20"/>
      <c r="AO146" s="20"/>
      <c r="AP146" s="20"/>
      <c r="AQ146" s="20"/>
      <c r="AR146" s="20"/>
      <c r="AS146" s="20"/>
      <c r="AT146" s="20"/>
      <c r="AU146" s="20"/>
      <c r="AV146" s="20"/>
      <c r="AW146" s="20"/>
      <c r="AX146" s="20"/>
      <c r="AY146" s="20"/>
      <c r="AZ146" s="20"/>
      <c r="BA146" s="20"/>
      <c r="BB146" s="20"/>
      <c r="BC146" s="20"/>
      <c r="BD146" s="20"/>
      <c r="BE146" s="20"/>
      <c r="BF146" s="20"/>
      <c r="BG146" s="20"/>
      <c r="BH146" s="20"/>
    </row>
    <row r="147" spans="1:60">
      <c r="A147" s="193"/>
      <c r="B147" s="168"/>
      <c r="C147" s="168"/>
      <c r="D147" s="168"/>
      <c r="E147" s="168"/>
      <c r="F147" s="168"/>
      <c r="G147" s="168"/>
      <c r="H147" s="168"/>
      <c r="I147" s="168"/>
      <c r="J147" s="168"/>
      <c r="K147" s="168"/>
      <c r="L147" s="168"/>
      <c r="M147" s="168"/>
      <c r="N147" s="168"/>
      <c r="O147" s="168"/>
      <c r="P147" s="168"/>
      <c r="Q147" s="168"/>
      <c r="R147" s="168"/>
      <c r="S147" s="168"/>
      <c r="T147" s="168"/>
      <c r="U147" s="168"/>
      <c r="V147" s="168"/>
      <c r="W147" s="168"/>
      <c r="X147" s="168"/>
      <c r="Y147" s="168"/>
      <c r="Z147" s="201"/>
      <c r="AA147" s="52"/>
      <c r="AB147" s="52"/>
      <c r="AC147" s="52"/>
      <c r="AD147" s="52"/>
      <c r="AE147" s="52"/>
      <c r="AF147" s="52"/>
      <c r="AG147" s="20"/>
      <c r="AH147" s="20"/>
      <c r="AI147" s="20"/>
      <c r="AJ147" s="20"/>
      <c r="AK147" s="20"/>
      <c r="AL147" s="20"/>
      <c r="AM147" s="20"/>
      <c r="AN147" s="20"/>
      <c r="AO147" s="20"/>
      <c r="AP147" s="20"/>
      <c r="AQ147" s="20"/>
      <c r="AR147" s="20"/>
      <c r="AS147" s="20"/>
      <c r="AT147" s="20"/>
      <c r="AU147" s="20"/>
      <c r="AV147" s="20"/>
      <c r="AW147" s="20"/>
      <c r="AX147" s="20"/>
      <c r="AY147" s="20"/>
      <c r="AZ147" s="20"/>
      <c r="BA147" s="20"/>
      <c r="BB147" s="20"/>
      <c r="BC147" s="20"/>
      <c r="BD147" s="20"/>
      <c r="BE147" s="20"/>
      <c r="BF147" s="20"/>
      <c r="BG147" s="20"/>
      <c r="BH147" s="20"/>
    </row>
    <row r="148" spans="1:60">
      <c r="A148" s="213">
        <v>4</v>
      </c>
      <c r="B148" s="206" t="s">
        <v>461</v>
      </c>
      <c r="C148" s="206"/>
      <c r="D148" s="206"/>
      <c r="E148" s="206"/>
      <c r="F148" s="206"/>
      <c r="G148" s="206"/>
      <c r="H148" s="206"/>
      <c r="I148" s="206"/>
      <c r="J148" s="206"/>
      <c r="K148" s="206"/>
      <c r="L148" s="206"/>
      <c r="M148" s="206"/>
      <c r="N148" s="206"/>
      <c r="O148" s="206"/>
      <c r="P148" s="206"/>
      <c r="Q148" s="206"/>
      <c r="R148" s="206"/>
      <c r="S148" s="206"/>
      <c r="T148" s="206"/>
      <c r="U148" s="206"/>
      <c r="V148" s="206"/>
      <c r="W148" s="206"/>
      <c r="X148" s="206"/>
      <c r="Y148" s="206"/>
      <c r="Z148" s="222"/>
      <c r="AA148" s="52"/>
      <c r="AB148" s="52"/>
      <c r="AC148" s="52"/>
      <c r="AD148" s="52"/>
      <c r="AE148" s="52"/>
      <c r="AF148" s="52"/>
      <c r="AG148" s="20"/>
      <c r="AH148" s="20"/>
      <c r="AI148" s="20"/>
      <c r="AJ148" s="20"/>
      <c r="AK148" s="20"/>
      <c r="AL148" s="20"/>
      <c r="AM148" s="20"/>
      <c r="AN148" s="20"/>
      <c r="AO148" s="20"/>
      <c r="AP148" s="20"/>
      <c r="AQ148" s="20"/>
      <c r="AR148" s="20"/>
      <c r="AS148" s="20"/>
      <c r="AT148" s="20"/>
      <c r="AU148" s="20"/>
      <c r="AV148" s="20"/>
      <c r="AW148" s="20"/>
      <c r="AX148" s="20"/>
      <c r="AY148" s="20"/>
      <c r="AZ148" s="20"/>
      <c r="BA148" s="20"/>
      <c r="BB148" s="20"/>
      <c r="BC148" s="20"/>
      <c r="BD148" s="20"/>
      <c r="BE148" s="20"/>
      <c r="BF148" s="20"/>
      <c r="BG148" s="20"/>
      <c r="BH148" s="20"/>
    </row>
    <row r="149" spans="1:60">
      <c r="A149" s="213"/>
      <c r="B149" s="206"/>
      <c r="C149" s="206"/>
      <c r="D149" s="206"/>
      <c r="E149" s="206"/>
      <c r="F149" s="206"/>
      <c r="G149" s="206"/>
      <c r="H149" s="206"/>
      <c r="I149" s="206"/>
      <c r="J149" s="206"/>
      <c r="K149" s="206"/>
      <c r="L149" s="206"/>
      <c r="M149" s="206"/>
      <c r="N149" s="206"/>
      <c r="O149" s="206"/>
      <c r="P149" s="206"/>
      <c r="Q149" s="206"/>
      <c r="R149" s="206"/>
      <c r="S149" s="206"/>
      <c r="T149" s="206"/>
      <c r="U149" s="206"/>
      <c r="V149" s="206"/>
      <c r="W149" s="206"/>
      <c r="X149" s="206"/>
      <c r="Y149" s="206"/>
      <c r="Z149" s="222"/>
      <c r="AA149" s="34"/>
      <c r="AB149" s="34"/>
      <c r="AC149" s="34"/>
      <c r="AD149" s="52"/>
      <c r="AE149" s="52"/>
      <c r="AF149" s="52"/>
      <c r="AG149" s="20"/>
      <c r="AH149" s="20"/>
      <c r="AI149" s="20"/>
      <c r="AJ149" s="20"/>
      <c r="AK149" s="20"/>
      <c r="AL149" s="20"/>
      <c r="AM149" s="20"/>
      <c r="AN149" s="20"/>
      <c r="AO149" s="20"/>
      <c r="AP149" s="20"/>
      <c r="AQ149" s="20"/>
      <c r="AR149" s="20"/>
      <c r="AS149" s="20"/>
      <c r="AT149" s="20"/>
      <c r="AU149" s="20"/>
      <c r="AV149" s="20"/>
      <c r="AW149" s="20"/>
      <c r="AX149" s="20"/>
      <c r="AY149" s="20"/>
      <c r="AZ149" s="20"/>
      <c r="BA149" s="20"/>
      <c r="BB149" s="20"/>
      <c r="BC149" s="20"/>
      <c r="BD149" s="20"/>
      <c r="BE149" s="20"/>
      <c r="BF149" s="20"/>
      <c r="BG149" s="20"/>
      <c r="BH149" s="20"/>
    </row>
    <row r="150" spans="1:60">
      <c r="A150" s="213"/>
      <c r="B150" s="206"/>
      <c r="C150" s="206" t="s">
        <v>462</v>
      </c>
      <c r="D150" s="206"/>
      <c r="E150" s="206"/>
      <c r="F150" s="206"/>
      <c r="G150" s="206"/>
      <c r="H150" s="206"/>
      <c r="I150" s="206"/>
      <c r="J150" s="206"/>
      <c r="K150" s="206"/>
      <c r="L150" s="206"/>
      <c r="M150" s="206"/>
      <c r="N150" s="206"/>
      <c r="O150" s="206"/>
      <c r="P150" s="206"/>
      <c r="Q150" s="206"/>
      <c r="R150" s="206"/>
      <c r="S150" s="206"/>
      <c r="T150" s="177"/>
      <c r="U150" s="172"/>
      <c r="V150" s="177"/>
      <c r="W150" s="2">
        <f>N16</f>
        <v>0</v>
      </c>
      <c r="X150" s="172" t="s">
        <v>29</v>
      </c>
      <c r="Y150" s="2">
        <f>P66</f>
        <v>0</v>
      </c>
      <c r="Z150" s="222" t="s">
        <v>30</v>
      </c>
      <c r="AA150" s="25">
        <f>SIN(W150*PI()/180)*Y150</f>
        <v>0</v>
      </c>
      <c r="AB150" s="25">
        <f>COS(W150*PI()/180)*Y150</f>
        <v>0</v>
      </c>
      <c r="AC150" s="34"/>
      <c r="AD150" s="53"/>
      <c r="AE150" s="53"/>
      <c r="AF150" s="53"/>
      <c r="AG150" s="20"/>
      <c r="AH150" s="20"/>
      <c r="AI150" s="20"/>
      <c r="AJ150" s="20"/>
      <c r="AK150" s="20"/>
      <c r="AL150" s="20"/>
      <c r="AM150" s="20"/>
      <c r="AN150" s="20"/>
      <c r="AO150" s="20"/>
      <c r="AP150" s="20"/>
      <c r="AQ150" s="20"/>
      <c r="AR150" s="20"/>
      <c r="AS150" s="20"/>
      <c r="AT150" s="20"/>
      <c r="AU150" s="20"/>
      <c r="AV150" s="20"/>
      <c r="AW150" s="20"/>
      <c r="AX150" s="20"/>
      <c r="AY150" s="20"/>
      <c r="AZ150" s="20"/>
      <c r="BA150" s="20"/>
      <c r="BB150" s="20"/>
      <c r="BC150" s="20"/>
      <c r="BD150" s="20"/>
      <c r="BE150" s="20"/>
      <c r="BF150" s="20"/>
      <c r="BG150" s="20"/>
      <c r="BH150" s="20"/>
    </row>
    <row r="151" spans="1:60">
      <c r="A151" s="213"/>
      <c r="B151" s="206"/>
      <c r="C151" s="206"/>
      <c r="D151" s="206"/>
      <c r="E151" s="206"/>
      <c r="F151" s="206"/>
      <c r="G151" s="206"/>
      <c r="H151" s="206"/>
      <c r="I151" s="206"/>
      <c r="J151" s="206"/>
      <c r="K151" s="206"/>
      <c r="L151" s="206"/>
      <c r="M151" s="206"/>
      <c r="N151" s="206"/>
      <c r="O151" s="206"/>
      <c r="P151" s="206"/>
      <c r="Q151" s="206"/>
      <c r="R151" s="206"/>
      <c r="S151" s="206"/>
      <c r="T151" s="206"/>
      <c r="U151" s="206"/>
      <c r="V151" s="206"/>
      <c r="W151" s="206"/>
      <c r="X151" s="206"/>
      <c r="Y151" s="206"/>
      <c r="Z151" s="222"/>
      <c r="AA151" s="25">
        <f>SIN(W152*PI()/180)*Y152</f>
        <v>0</v>
      </c>
      <c r="AB151" s="25">
        <f>COS(W152*PI()/180)*Y152</f>
        <v>0</v>
      </c>
      <c r="AC151" s="34"/>
      <c r="AD151" s="53"/>
      <c r="AE151" s="53"/>
      <c r="AF151" s="53"/>
      <c r="AG151" s="20"/>
      <c r="AH151" s="20"/>
      <c r="AI151" s="20"/>
      <c r="AJ151" s="20"/>
      <c r="AK151" s="20"/>
      <c r="AL151" s="20"/>
      <c r="AM151" s="20"/>
      <c r="AN151" s="20"/>
      <c r="AO151" s="20"/>
      <c r="AP151" s="20"/>
      <c r="AQ151" s="20"/>
      <c r="AR151" s="20"/>
      <c r="AS151" s="20"/>
      <c r="AT151" s="20"/>
      <c r="AU151" s="20"/>
      <c r="AV151" s="20"/>
      <c r="AW151" s="20"/>
      <c r="AX151" s="20"/>
      <c r="AY151" s="20"/>
      <c r="AZ151" s="20"/>
      <c r="BA151" s="20"/>
      <c r="BB151" s="20"/>
      <c r="BC151" s="20"/>
      <c r="BD151" s="20"/>
      <c r="BE151" s="20"/>
      <c r="BF151" s="20"/>
      <c r="BG151" s="20"/>
      <c r="BH151" s="20"/>
    </row>
    <row r="152" spans="1:60">
      <c r="A152" s="213"/>
      <c r="B152" s="206"/>
      <c r="C152" s="206" t="s">
        <v>463</v>
      </c>
      <c r="D152" s="206"/>
      <c r="E152" s="206"/>
      <c r="F152" s="206"/>
      <c r="G152" s="206"/>
      <c r="H152" s="206"/>
      <c r="I152" s="206"/>
      <c r="J152" s="206"/>
      <c r="K152" s="206"/>
      <c r="L152" s="206"/>
      <c r="M152" s="206"/>
      <c r="N152" s="206"/>
      <c r="O152" s="206"/>
      <c r="P152" s="206"/>
      <c r="Q152" s="206"/>
      <c r="R152" s="206"/>
      <c r="S152" s="206"/>
      <c r="T152" s="206"/>
      <c r="U152" s="206"/>
      <c r="V152" s="206"/>
      <c r="W152" s="2">
        <f>N17</f>
        <v>0</v>
      </c>
      <c r="X152" s="172" t="s">
        <v>29</v>
      </c>
      <c r="Y152" s="2">
        <f>P86</f>
        <v>0</v>
      </c>
      <c r="Z152" s="222" t="s">
        <v>30</v>
      </c>
      <c r="AA152" s="25">
        <f>SIN(W154*PI()/180)*Y154</f>
        <v>0</v>
      </c>
      <c r="AB152" s="25">
        <f>COS(W154*PI()/180)*Y154</f>
        <v>0</v>
      </c>
      <c r="AC152" s="34"/>
      <c r="AD152" s="53"/>
      <c r="AE152" s="53"/>
      <c r="AF152" s="53"/>
      <c r="AG152" s="20"/>
      <c r="AH152" s="20"/>
      <c r="AI152" s="20"/>
      <c r="AJ152" s="20"/>
      <c r="AK152" s="20"/>
      <c r="AL152" s="20"/>
      <c r="AM152" s="20"/>
      <c r="AN152" s="20"/>
      <c r="AO152" s="20"/>
      <c r="AP152" s="20"/>
      <c r="AQ152" s="20"/>
      <c r="AR152" s="20"/>
      <c r="AS152" s="20"/>
      <c r="AT152" s="20"/>
      <c r="AU152" s="20"/>
      <c r="AV152" s="20"/>
      <c r="AW152" s="20"/>
      <c r="AX152" s="20"/>
      <c r="AY152" s="20"/>
      <c r="AZ152" s="20"/>
      <c r="BA152" s="20"/>
      <c r="BB152" s="20"/>
      <c r="BC152" s="20"/>
      <c r="BD152" s="20"/>
      <c r="BE152" s="20"/>
      <c r="BF152" s="20"/>
      <c r="BG152" s="20"/>
      <c r="BH152" s="20"/>
    </row>
    <row r="153" spans="1:60">
      <c r="A153" s="213"/>
      <c r="B153" s="206"/>
      <c r="C153" s="206"/>
      <c r="D153" s="206"/>
      <c r="E153" s="206"/>
      <c r="F153" s="206"/>
      <c r="G153" s="206"/>
      <c r="H153" s="206"/>
      <c r="I153" s="206"/>
      <c r="J153" s="206"/>
      <c r="K153" s="206"/>
      <c r="L153" s="206"/>
      <c r="M153" s="206"/>
      <c r="N153" s="206"/>
      <c r="O153" s="206"/>
      <c r="P153" s="206"/>
      <c r="Q153" s="206"/>
      <c r="R153" s="206"/>
      <c r="S153" s="206"/>
      <c r="T153" s="206"/>
      <c r="U153" s="206"/>
      <c r="V153" s="206"/>
      <c r="W153" s="206"/>
      <c r="X153" s="206"/>
      <c r="Y153" s="206"/>
      <c r="Z153" s="222"/>
      <c r="AA153" s="25">
        <f>SIN(W156*PI()/180)*Y156</f>
        <v>0</v>
      </c>
      <c r="AB153" s="25">
        <f>COS(W156*PI()/180)*Y156</f>
        <v>0</v>
      </c>
      <c r="AC153" s="34"/>
      <c r="AD153" s="53"/>
      <c r="AE153" s="53"/>
      <c r="AF153" s="53"/>
      <c r="AG153" s="20"/>
      <c r="AH153" s="20"/>
      <c r="AI153" s="20"/>
      <c r="AJ153" s="20"/>
      <c r="AK153" s="20"/>
      <c r="AL153" s="20"/>
      <c r="AM153" s="20"/>
      <c r="AN153" s="20"/>
      <c r="AO153" s="20"/>
      <c r="AP153" s="20"/>
      <c r="AQ153" s="20"/>
      <c r="AR153" s="20"/>
      <c r="AS153" s="20"/>
      <c r="AT153" s="20"/>
      <c r="AU153" s="20"/>
      <c r="AV153" s="20"/>
      <c r="AW153" s="20"/>
      <c r="AX153" s="20"/>
      <c r="AY153" s="20"/>
      <c r="AZ153" s="20"/>
      <c r="BA153" s="20"/>
      <c r="BB153" s="20"/>
      <c r="BC153" s="20"/>
      <c r="BD153" s="20"/>
      <c r="BE153" s="20"/>
      <c r="BF153" s="20"/>
      <c r="BG153" s="20"/>
      <c r="BH153" s="20"/>
    </row>
    <row r="154" spans="1:60">
      <c r="A154" s="213"/>
      <c r="B154" s="206"/>
      <c r="C154" s="206" t="s">
        <v>464</v>
      </c>
      <c r="D154" s="206"/>
      <c r="E154" s="206"/>
      <c r="F154" s="206"/>
      <c r="G154" s="206"/>
      <c r="H154" s="206"/>
      <c r="I154" s="206"/>
      <c r="J154" s="206"/>
      <c r="K154" s="206"/>
      <c r="L154" s="206"/>
      <c r="M154" s="206"/>
      <c r="N154" s="206"/>
      <c r="O154" s="206"/>
      <c r="P154" s="206"/>
      <c r="Q154" s="206"/>
      <c r="R154" s="206"/>
      <c r="S154" s="206"/>
      <c r="T154" s="206"/>
      <c r="U154" s="206"/>
      <c r="V154" s="206"/>
      <c r="W154" s="2">
        <f>N18</f>
        <v>0</v>
      </c>
      <c r="X154" s="172" t="s">
        <v>29</v>
      </c>
      <c r="Y154" s="2">
        <f>P106</f>
        <v>0</v>
      </c>
      <c r="Z154" s="222" t="s">
        <v>30</v>
      </c>
      <c r="AA154" s="25">
        <f>SIN(W158*PI()/180)*Y158</f>
        <v>0</v>
      </c>
      <c r="AB154" s="25">
        <f>COS(W158*PI()/180)*Y158</f>
        <v>0</v>
      </c>
      <c r="AC154" s="34"/>
      <c r="AD154" s="53"/>
      <c r="AE154" s="53"/>
      <c r="AF154" s="53"/>
      <c r="AG154" s="20"/>
      <c r="AH154" s="20"/>
      <c r="AI154" s="20"/>
      <c r="AJ154" s="20"/>
      <c r="AK154" s="20"/>
      <c r="AL154" s="20"/>
      <c r="AM154" s="20"/>
      <c r="AN154" s="20"/>
      <c r="AO154" s="20"/>
      <c r="AP154" s="20"/>
      <c r="AQ154" s="20"/>
      <c r="AR154" s="20"/>
      <c r="AS154" s="20"/>
      <c r="AT154" s="20"/>
      <c r="AU154" s="20"/>
      <c r="AV154" s="20"/>
      <c r="AW154" s="20"/>
      <c r="AX154" s="20"/>
      <c r="AY154" s="20"/>
      <c r="AZ154" s="20"/>
      <c r="BA154" s="20"/>
      <c r="BB154" s="20"/>
      <c r="BC154" s="20"/>
      <c r="BD154" s="20"/>
      <c r="BE154" s="20"/>
      <c r="BF154" s="20"/>
      <c r="BG154" s="20"/>
      <c r="BH154" s="20"/>
    </row>
    <row r="155" spans="1:60">
      <c r="A155" s="213"/>
      <c r="B155" s="206"/>
      <c r="C155" s="206"/>
      <c r="D155" s="206"/>
      <c r="E155" s="206"/>
      <c r="F155" s="206"/>
      <c r="G155" s="206"/>
      <c r="H155" s="206"/>
      <c r="I155" s="206"/>
      <c r="J155" s="206"/>
      <c r="K155" s="206"/>
      <c r="L155" s="206"/>
      <c r="M155" s="206"/>
      <c r="N155" s="206"/>
      <c r="O155" s="206"/>
      <c r="P155" s="206"/>
      <c r="Q155" s="206"/>
      <c r="R155" s="206"/>
      <c r="S155" s="206"/>
      <c r="T155" s="206"/>
      <c r="U155" s="206"/>
      <c r="V155" s="206"/>
      <c r="W155" s="206"/>
      <c r="X155" s="206"/>
      <c r="Y155" s="206"/>
      <c r="Z155" s="222"/>
      <c r="AA155" s="34"/>
      <c r="AB155" s="34"/>
      <c r="AC155" s="34"/>
      <c r="AD155" s="53"/>
      <c r="AE155" s="53"/>
      <c r="AF155" s="53"/>
      <c r="AG155" s="20"/>
      <c r="AH155" s="20"/>
      <c r="AI155" s="20"/>
      <c r="AJ155" s="20"/>
      <c r="AK155" s="20"/>
      <c r="AL155" s="20"/>
      <c r="AM155" s="20"/>
      <c r="AN155" s="20"/>
      <c r="AO155" s="20"/>
      <c r="AP155" s="20"/>
      <c r="AQ155" s="20"/>
      <c r="AR155" s="20"/>
      <c r="AS155" s="20"/>
      <c r="AT155" s="20"/>
      <c r="AU155" s="20"/>
      <c r="AV155" s="20"/>
      <c r="AW155" s="20"/>
      <c r="AX155" s="20"/>
      <c r="AY155" s="20"/>
      <c r="AZ155" s="20"/>
      <c r="BA155" s="20"/>
      <c r="BB155" s="20"/>
      <c r="BC155" s="20"/>
      <c r="BD155" s="20"/>
      <c r="BE155" s="20"/>
      <c r="BF155" s="20"/>
      <c r="BG155" s="20"/>
      <c r="BH155" s="20"/>
    </row>
    <row r="156" spans="1:60">
      <c r="A156" s="213"/>
      <c r="B156" s="206"/>
      <c r="C156" s="206" t="s">
        <v>465</v>
      </c>
      <c r="D156" s="206"/>
      <c r="E156" s="206"/>
      <c r="F156" s="206"/>
      <c r="G156" s="206"/>
      <c r="H156" s="206"/>
      <c r="I156" s="206"/>
      <c r="J156" s="206"/>
      <c r="K156" s="206"/>
      <c r="L156" s="206"/>
      <c r="M156" s="206"/>
      <c r="N156" s="206"/>
      <c r="O156" s="206"/>
      <c r="P156" s="206"/>
      <c r="Q156" s="206"/>
      <c r="R156" s="206"/>
      <c r="S156" s="206"/>
      <c r="T156" s="206"/>
      <c r="U156" s="206"/>
      <c r="V156" s="206"/>
      <c r="W156" s="2">
        <f>N19</f>
        <v>0</v>
      </c>
      <c r="X156" s="172" t="s">
        <v>29</v>
      </c>
      <c r="Y156" s="2">
        <f>P126</f>
        <v>0</v>
      </c>
      <c r="Z156" s="222" t="s">
        <v>30</v>
      </c>
      <c r="AA156" s="34"/>
      <c r="AB156" s="34"/>
      <c r="AC156" s="34"/>
      <c r="AD156" s="53"/>
      <c r="AE156" s="53"/>
      <c r="AF156" s="53"/>
      <c r="AG156" s="20"/>
      <c r="AH156" s="20"/>
      <c r="AI156" s="20"/>
      <c r="AJ156" s="20"/>
      <c r="AK156" s="20"/>
      <c r="AL156" s="20"/>
      <c r="AM156" s="20"/>
      <c r="AN156" s="20"/>
      <c r="AO156" s="20"/>
      <c r="AP156" s="20"/>
      <c r="AQ156" s="20"/>
      <c r="AR156" s="20"/>
      <c r="AS156" s="20"/>
      <c r="AT156" s="20"/>
      <c r="AU156" s="20"/>
      <c r="AV156" s="20"/>
      <c r="AW156" s="20"/>
      <c r="AX156" s="20"/>
      <c r="AY156" s="20"/>
      <c r="AZ156" s="20"/>
      <c r="BA156" s="20"/>
      <c r="BB156" s="20"/>
      <c r="BC156" s="20"/>
      <c r="BD156" s="20"/>
      <c r="BE156" s="20"/>
      <c r="BF156" s="20"/>
      <c r="BG156" s="20"/>
      <c r="BH156" s="20"/>
    </row>
    <row r="157" spans="1:60">
      <c r="A157" s="213"/>
      <c r="B157" s="206"/>
      <c r="C157" s="206"/>
      <c r="D157" s="206"/>
      <c r="E157" s="206"/>
      <c r="F157" s="206"/>
      <c r="G157" s="206"/>
      <c r="H157" s="206"/>
      <c r="I157" s="206"/>
      <c r="J157" s="206"/>
      <c r="K157" s="206"/>
      <c r="L157" s="206"/>
      <c r="M157" s="206"/>
      <c r="N157" s="206"/>
      <c r="O157" s="206"/>
      <c r="P157" s="206"/>
      <c r="Q157" s="206"/>
      <c r="R157" s="206"/>
      <c r="S157" s="206"/>
      <c r="T157" s="206"/>
      <c r="U157" s="206"/>
      <c r="V157" s="206"/>
      <c r="W157" s="206"/>
      <c r="X157" s="206"/>
      <c r="Y157" s="206"/>
      <c r="Z157" s="222"/>
      <c r="AA157" s="35" t="s">
        <v>316</v>
      </c>
      <c r="AB157" s="25">
        <f>SUM(AA150:AA154)</f>
        <v>0</v>
      </c>
      <c r="AC157" s="34"/>
      <c r="AD157" s="53"/>
      <c r="AE157" s="53"/>
      <c r="AF157" s="53"/>
      <c r="AG157" s="20"/>
      <c r="AH157" s="20"/>
      <c r="AI157" s="20"/>
      <c r="AJ157" s="20"/>
      <c r="AK157" s="20"/>
      <c r="AL157" s="20"/>
      <c r="AM157" s="20"/>
      <c r="AN157" s="20"/>
      <c r="AO157" s="20"/>
      <c r="AP157" s="20"/>
      <c r="AQ157" s="20"/>
      <c r="AR157" s="20"/>
      <c r="AS157" s="20"/>
      <c r="AT157" s="20"/>
      <c r="AU157" s="20"/>
      <c r="AV157" s="20"/>
      <c r="AW157" s="20"/>
      <c r="AX157" s="20"/>
      <c r="AY157" s="20"/>
      <c r="AZ157" s="20"/>
      <c r="BA157" s="20"/>
      <c r="BB157" s="20"/>
      <c r="BC157" s="20"/>
      <c r="BD157" s="20"/>
      <c r="BE157" s="20"/>
      <c r="BF157" s="20"/>
      <c r="BG157" s="20"/>
      <c r="BH157" s="20"/>
    </row>
    <row r="158" spans="1:60">
      <c r="A158" s="213"/>
      <c r="B158" s="206"/>
      <c r="C158" s="206" t="s">
        <v>466</v>
      </c>
      <c r="D158" s="206"/>
      <c r="E158" s="206"/>
      <c r="F158" s="206"/>
      <c r="G158" s="206"/>
      <c r="H158" s="206"/>
      <c r="I158" s="206"/>
      <c r="J158" s="206"/>
      <c r="K158" s="206"/>
      <c r="L158" s="206"/>
      <c r="M158" s="206"/>
      <c r="N158" s="206"/>
      <c r="O158" s="206"/>
      <c r="P158" s="206"/>
      <c r="Q158" s="206"/>
      <c r="R158" s="206"/>
      <c r="S158" s="206"/>
      <c r="T158" s="206"/>
      <c r="U158" s="206"/>
      <c r="V158" s="206"/>
      <c r="W158" s="2">
        <f>N20</f>
        <v>0</v>
      </c>
      <c r="X158" s="172" t="s">
        <v>29</v>
      </c>
      <c r="Y158" s="2">
        <f>P146</f>
        <v>0</v>
      </c>
      <c r="Z158" s="222" t="s">
        <v>30</v>
      </c>
      <c r="AA158" s="35" t="s">
        <v>317</v>
      </c>
      <c r="AB158" s="25">
        <f>SUM(AB150:AB154)</f>
        <v>0</v>
      </c>
      <c r="AC158" s="34"/>
      <c r="AD158" s="53"/>
      <c r="AE158" s="53"/>
      <c r="AF158" s="53"/>
      <c r="AG158" s="20"/>
      <c r="AH158" s="20"/>
      <c r="AI158" s="20"/>
      <c r="AJ158" s="20"/>
      <c r="AK158" s="20"/>
      <c r="AL158" s="20"/>
      <c r="AM158" s="20"/>
      <c r="AN158" s="20"/>
      <c r="AO158" s="20"/>
      <c r="AP158" s="20"/>
      <c r="AQ158" s="20"/>
      <c r="AR158" s="20"/>
      <c r="AS158" s="20"/>
      <c r="AT158" s="20"/>
      <c r="AU158" s="20"/>
      <c r="AV158" s="20"/>
      <c r="AW158" s="20"/>
      <c r="AX158" s="20"/>
      <c r="AY158" s="20"/>
      <c r="AZ158" s="20"/>
      <c r="BA158" s="20"/>
      <c r="BB158" s="20"/>
      <c r="BC158" s="20"/>
      <c r="BD158" s="20"/>
      <c r="BE158" s="20"/>
      <c r="BF158" s="20"/>
      <c r="BG158" s="20"/>
      <c r="BH158" s="20"/>
    </row>
    <row r="159" spans="1:60">
      <c r="A159" s="213"/>
      <c r="B159" s="206"/>
      <c r="C159" s="206"/>
      <c r="D159" s="206"/>
      <c r="E159" s="206"/>
      <c r="F159" s="206"/>
      <c r="G159" s="206"/>
      <c r="H159" s="206"/>
      <c r="I159" s="206"/>
      <c r="J159" s="206"/>
      <c r="K159" s="206"/>
      <c r="L159" s="206"/>
      <c r="M159" s="206"/>
      <c r="N159" s="206"/>
      <c r="O159" s="206"/>
      <c r="P159" s="206"/>
      <c r="Q159" s="206"/>
      <c r="R159" s="206"/>
      <c r="S159" s="206"/>
      <c r="T159" s="206"/>
      <c r="U159" s="206"/>
      <c r="V159" s="206"/>
      <c r="W159" s="206"/>
      <c r="X159" s="206"/>
      <c r="Y159" s="206"/>
      <c r="Z159" s="222"/>
      <c r="AA159" s="56" t="str">
        <f>IF(AB158=0,"0",ATAN(AB157/AB158)*180/PI())</f>
        <v>0</v>
      </c>
      <c r="AB159" s="30"/>
      <c r="AC159" s="34"/>
      <c r="AD159" s="53"/>
      <c r="AE159" s="53"/>
      <c r="AF159" s="53"/>
      <c r="AG159" s="20"/>
      <c r="AH159" s="20"/>
      <c r="AI159" s="20"/>
      <c r="AJ159" s="20"/>
      <c r="AK159" s="20"/>
      <c r="AL159" s="20"/>
      <c r="AM159" s="20"/>
      <c r="AN159" s="20"/>
      <c r="AO159" s="20"/>
      <c r="AP159" s="20"/>
      <c r="AQ159" s="20"/>
      <c r="AR159" s="20"/>
      <c r="AS159" s="20"/>
      <c r="AT159" s="20"/>
      <c r="AU159" s="20"/>
      <c r="AV159" s="20"/>
      <c r="AW159" s="20"/>
      <c r="AX159" s="20"/>
      <c r="AY159" s="20"/>
      <c r="AZ159" s="20"/>
      <c r="BA159" s="20"/>
      <c r="BB159" s="20"/>
      <c r="BC159" s="20"/>
      <c r="BD159" s="20"/>
      <c r="BE159" s="20"/>
      <c r="BF159" s="20"/>
      <c r="BG159" s="20"/>
      <c r="BH159" s="20"/>
    </row>
    <row r="160" spans="1:60">
      <c r="A160" s="236">
        <v>5</v>
      </c>
      <c r="B160" s="170" t="s">
        <v>359</v>
      </c>
      <c r="C160" s="170"/>
      <c r="D160" s="170"/>
      <c r="E160" s="170"/>
      <c r="F160" s="170"/>
      <c r="G160" s="170"/>
      <c r="H160" s="170"/>
      <c r="I160" s="170"/>
      <c r="J160" s="170"/>
      <c r="K160" s="170"/>
      <c r="L160" s="170"/>
      <c r="M160" s="170"/>
      <c r="N160" s="383">
        <f>ROUND(IF(AB157&lt;0,IF(AB158&lt;0,AA159+180,AA159+360),IF(AB158&lt;0,AA159+180,AA159)),0)</f>
        <v>0</v>
      </c>
      <c r="O160" s="383">
        <f>IF(P152&lt;0,IF(P153&lt;0,M156+180,M156+360),IF(P153&lt;0,M156+180,M156))</f>
        <v>0</v>
      </c>
      <c r="P160" s="172" t="s">
        <v>29</v>
      </c>
      <c r="Q160" s="382">
        <f>SQRT((AB157^2)+(AB158^2))</f>
        <v>0</v>
      </c>
      <c r="R160" s="382">
        <f>SQRT((Q155^2)+(Q156^2))</f>
        <v>0</v>
      </c>
      <c r="S160" s="206" t="s">
        <v>30</v>
      </c>
      <c r="T160" s="206"/>
      <c r="U160" s="206"/>
      <c r="V160" s="206"/>
      <c r="W160" s="206"/>
      <c r="X160" s="206"/>
      <c r="Y160" s="206"/>
      <c r="Z160" s="222"/>
      <c r="AA160" s="31"/>
      <c r="AB160" s="30"/>
      <c r="AC160" s="34"/>
      <c r="AD160" s="53"/>
      <c r="AE160" s="53"/>
      <c r="AF160" s="53"/>
      <c r="AG160" s="20"/>
      <c r="AH160" s="20"/>
      <c r="AI160" s="20"/>
      <c r="AJ160" s="20"/>
      <c r="AK160" s="20"/>
      <c r="AL160" s="20"/>
      <c r="AM160" s="20"/>
      <c r="AN160" s="20"/>
      <c r="AO160" s="20"/>
      <c r="AP160" s="20"/>
      <c r="AQ160" s="20"/>
      <c r="AR160" s="20"/>
      <c r="AS160" s="20"/>
      <c r="AT160" s="20"/>
      <c r="AU160" s="20"/>
      <c r="AV160" s="20"/>
      <c r="AW160" s="20"/>
      <c r="AX160" s="20"/>
      <c r="AY160" s="20"/>
      <c r="AZ160" s="20"/>
      <c r="BA160" s="20"/>
      <c r="BB160" s="20"/>
      <c r="BC160" s="20"/>
      <c r="BD160" s="20"/>
      <c r="BE160" s="20"/>
      <c r="BF160" s="20"/>
      <c r="BG160" s="20"/>
      <c r="BH160" s="20"/>
    </row>
    <row r="161" spans="1:60">
      <c r="A161" s="195"/>
      <c r="B161" s="170"/>
      <c r="C161" s="170"/>
      <c r="D161" s="170"/>
      <c r="E161" s="170"/>
      <c r="F161" s="170"/>
      <c r="G161" s="170"/>
      <c r="H161" s="170"/>
      <c r="I161" s="170"/>
      <c r="J161" s="170"/>
      <c r="K161" s="170"/>
      <c r="L161" s="170"/>
      <c r="M161" s="170"/>
      <c r="N161" s="170"/>
      <c r="O161" s="170"/>
      <c r="P161" s="170"/>
      <c r="Q161" s="168"/>
      <c r="R161" s="168"/>
      <c r="S161" s="168"/>
      <c r="T161" s="206"/>
      <c r="U161" s="206"/>
      <c r="V161" s="206"/>
      <c r="W161" s="206"/>
      <c r="X161" s="206"/>
      <c r="Y161" s="206"/>
      <c r="Z161" s="222"/>
      <c r="AA161" s="385"/>
      <c r="AB161" s="385"/>
      <c r="AC161" s="53"/>
      <c r="AD161" s="53"/>
      <c r="AE161" s="53"/>
      <c r="AF161" s="53"/>
      <c r="AG161" s="20"/>
      <c r="AH161" s="20"/>
      <c r="AI161" s="20"/>
      <c r="AJ161" s="20"/>
      <c r="AK161" s="20"/>
      <c r="AL161" s="20"/>
      <c r="AM161" s="20"/>
      <c r="AN161" s="20"/>
      <c r="AO161" s="20"/>
      <c r="AP161" s="20"/>
      <c r="AQ161" s="20"/>
      <c r="AR161" s="20"/>
      <c r="AS161" s="20"/>
      <c r="AT161" s="20"/>
      <c r="AU161" s="20"/>
      <c r="AV161" s="20"/>
      <c r="AW161" s="20"/>
      <c r="AX161" s="20"/>
      <c r="AY161" s="20"/>
      <c r="AZ161" s="20"/>
      <c r="BA161" s="20"/>
      <c r="BB161" s="20"/>
      <c r="BC161" s="20"/>
      <c r="BD161" s="20"/>
      <c r="BE161" s="20"/>
      <c r="BF161" s="20"/>
      <c r="BG161" s="20"/>
      <c r="BH161" s="20"/>
    </row>
    <row r="162" spans="1:60">
      <c r="A162" s="196">
        <v>6</v>
      </c>
      <c r="B162" s="170" t="s">
        <v>360</v>
      </c>
      <c r="C162" s="170"/>
      <c r="D162" s="170"/>
      <c r="E162" s="170"/>
      <c r="F162" s="170"/>
      <c r="G162" s="170"/>
      <c r="H162" s="170"/>
      <c r="I162" s="170"/>
      <c r="J162" s="170"/>
      <c r="K162" s="170"/>
      <c r="L162" s="170"/>
      <c r="M162" s="170"/>
      <c r="N162" s="170"/>
      <c r="O162" s="170"/>
      <c r="P162" s="170"/>
      <c r="Q162" s="381"/>
      <c r="R162" s="381"/>
      <c r="S162" s="206" t="s">
        <v>30</v>
      </c>
      <c r="T162" s="206"/>
      <c r="U162" s="206"/>
      <c r="V162" s="206"/>
      <c r="W162" s="206"/>
      <c r="X162" s="206"/>
      <c r="Y162" s="206"/>
      <c r="Z162" s="222"/>
      <c r="AA162" s="55"/>
      <c r="AB162" s="54"/>
      <c r="AC162" s="74"/>
      <c r="AD162" s="53"/>
      <c r="AE162" s="53"/>
      <c r="AF162" s="53"/>
      <c r="AG162" s="20"/>
      <c r="AH162" s="20"/>
      <c r="AI162" s="20"/>
      <c r="AJ162" s="20"/>
      <c r="AK162" s="20"/>
      <c r="AL162" s="20"/>
      <c r="AM162" s="20"/>
      <c r="AN162" s="20"/>
      <c r="AO162" s="20"/>
      <c r="AP162" s="20"/>
      <c r="AQ162" s="20"/>
      <c r="AR162" s="20"/>
      <c r="AS162" s="20"/>
      <c r="AT162" s="20"/>
      <c r="AU162" s="20"/>
      <c r="AV162" s="20"/>
      <c r="AW162" s="20"/>
      <c r="AX162" s="20"/>
      <c r="AY162" s="20"/>
      <c r="AZ162" s="20"/>
      <c r="BA162" s="20"/>
      <c r="BB162" s="20"/>
      <c r="BC162" s="20"/>
      <c r="BD162" s="20"/>
      <c r="BE162" s="20"/>
      <c r="BF162" s="20"/>
      <c r="BG162" s="20"/>
      <c r="BH162" s="20"/>
    </row>
    <row r="163" spans="1:60">
      <c r="A163" s="213"/>
      <c r="B163" s="206"/>
      <c r="C163" s="206"/>
      <c r="D163" s="206"/>
      <c r="E163" s="206"/>
      <c r="F163" s="206"/>
      <c r="G163" s="206"/>
      <c r="H163" s="206"/>
      <c r="I163" s="206"/>
      <c r="J163" s="206"/>
      <c r="K163" s="206"/>
      <c r="L163" s="206"/>
      <c r="M163" s="206"/>
      <c r="N163" s="206"/>
      <c r="O163" s="206"/>
      <c r="P163" s="206"/>
      <c r="Q163" s="206"/>
      <c r="R163" s="206"/>
      <c r="S163" s="206"/>
      <c r="T163" s="206"/>
      <c r="U163" s="206"/>
      <c r="V163" s="206"/>
      <c r="W163" s="206"/>
      <c r="X163" s="206"/>
      <c r="Y163" s="206"/>
      <c r="Z163" s="222"/>
      <c r="AA163" s="53"/>
      <c r="AB163" s="53"/>
      <c r="AC163" s="53"/>
      <c r="AD163" s="53"/>
      <c r="AE163" s="53"/>
      <c r="AF163" s="53"/>
      <c r="AG163" s="20"/>
      <c r="AH163" s="20"/>
      <c r="AI163" s="20"/>
      <c r="AJ163" s="20"/>
      <c r="AK163" s="20"/>
      <c r="AL163" s="20"/>
      <c r="AM163" s="20"/>
      <c r="AN163" s="20"/>
      <c r="AO163" s="20"/>
      <c r="AP163" s="20"/>
      <c r="AQ163" s="20"/>
      <c r="AR163" s="20"/>
      <c r="AS163" s="20"/>
      <c r="AT163" s="20"/>
      <c r="AU163" s="20"/>
      <c r="AV163" s="20"/>
      <c r="AW163" s="20"/>
      <c r="AX163" s="20"/>
      <c r="AY163" s="20"/>
      <c r="AZ163" s="20"/>
      <c r="BA163" s="20"/>
      <c r="BB163" s="20"/>
      <c r="BC163" s="20"/>
      <c r="BD163" s="20"/>
      <c r="BE163" s="20"/>
      <c r="BF163" s="20"/>
      <c r="BG163" s="20"/>
      <c r="BH163" s="20"/>
    </row>
    <row r="164" spans="1:60">
      <c r="A164" s="213"/>
      <c r="B164" s="206"/>
      <c r="C164" s="206"/>
      <c r="D164" s="206"/>
      <c r="E164" s="206"/>
      <c r="F164" s="206"/>
      <c r="G164" s="206"/>
      <c r="H164" s="206"/>
      <c r="I164" s="206"/>
      <c r="J164" s="206"/>
      <c r="K164" s="206"/>
      <c r="L164" s="206"/>
      <c r="M164" s="206"/>
      <c r="N164" s="206"/>
      <c r="O164" s="206"/>
      <c r="P164" s="206"/>
      <c r="Q164" s="206"/>
      <c r="R164" s="206"/>
      <c r="S164" s="206"/>
      <c r="T164" s="206"/>
      <c r="U164" s="206"/>
      <c r="V164" s="206"/>
      <c r="W164" s="206"/>
      <c r="X164" s="206"/>
      <c r="Y164" s="206"/>
      <c r="Z164" s="222"/>
      <c r="AA164" s="28"/>
      <c r="AB164" s="53"/>
      <c r="AC164" s="53"/>
      <c r="AD164" s="53"/>
      <c r="AE164" s="53"/>
      <c r="AF164" s="53"/>
      <c r="AG164" s="20"/>
      <c r="AH164" s="20"/>
      <c r="AI164" s="20"/>
      <c r="AJ164" s="20"/>
      <c r="AK164" s="20"/>
      <c r="AL164" s="20"/>
      <c r="AM164" s="20"/>
      <c r="AN164" s="20"/>
      <c r="AO164" s="20"/>
      <c r="AP164" s="20"/>
      <c r="AQ164" s="20"/>
      <c r="AR164" s="20"/>
      <c r="AS164" s="20"/>
      <c r="AT164" s="20"/>
      <c r="AU164" s="20"/>
      <c r="AV164" s="20"/>
      <c r="AW164" s="20"/>
      <c r="AX164" s="20"/>
      <c r="AY164" s="20"/>
      <c r="AZ164" s="20"/>
      <c r="BA164" s="20"/>
      <c r="BB164" s="20"/>
      <c r="BC164" s="20"/>
      <c r="BD164" s="20"/>
      <c r="BE164" s="20"/>
      <c r="BF164" s="20"/>
      <c r="BG164" s="20"/>
      <c r="BH164" s="20"/>
    </row>
    <row r="165" spans="1:60">
      <c r="A165" s="213"/>
      <c r="B165" s="206"/>
      <c r="C165" s="206"/>
      <c r="D165" s="206"/>
      <c r="E165" s="206"/>
      <c r="F165" s="206"/>
      <c r="G165" s="206"/>
      <c r="H165" s="206"/>
      <c r="I165" s="206"/>
      <c r="J165" s="206"/>
      <c r="K165" s="206"/>
      <c r="L165" s="206"/>
      <c r="M165" s="206"/>
      <c r="N165" s="206"/>
      <c r="O165" s="206"/>
      <c r="P165" s="206"/>
      <c r="Q165" s="206"/>
      <c r="R165" s="206"/>
      <c r="S165" s="206"/>
      <c r="T165" s="206"/>
      <c r="U165" s="206"/>
      <c r="V165" s="206"/>
      <c r="W165" s="206"/>
      <c r="X165" s="206"/>
      <c r="Y165" s="206"/>
      <c r="Z165" s="222"/>
      <c r="AA165" s="28"/>
      <c r="AB165" s="53"/>
      <c r="AC165" s="53"/>
      <c r="AD165" s="53"/>
      <c r="AE165" s="53"/>
      <c r="AF165" s="53"/>
      <c r="AG165" s="20"/>
      <c r="AH165" s="20"/>
      <c r="AI165" s="20"/>
      <c r="AJ165" s="20"/>
      <c r="AK165" s="20"/>
      <c r="AL165" s="20"/>
      <c r="AM165" s="20"/>
      <c r="AN165" s="20"/>
      <c r="AO165" s="20"/>
      <c r="AP165" s="20"/>
      <c r="AQ165" s="20"/>
      <c r="AR165" s="20"/>
      <c r="AS165" s="20"/>
      <c r="AT165" s="20"/>
      <c r="AU165" s="20"/>
      <c r="AV165" s="20"/>
      <c r="AW165" s="20"/>
      <c r="AX165" s="20"/>
      <c r="AY165" s="20"/>
      <c r="AZ165" s="20"/>
      <c r="BA165" s="20"/>
      <c r="BB165" s="20"/>
      <c r="BC165" s="20"/>
      <c r="BD165" s="20"/>
      <c r="BE165" s="20"/>
      <c r="BF165" s="20"/>
      <c r="BG165" s="20"/>
      <c r="BH165" s="20"/>
    </row>
    <row r="166" spans="1:60">
      <c r="A166" s="213"/>
      <c r="B166" s="206"/>
      <c r="C166" s="206"/>
      <c r="D166" s="206"/>
      <c r="E166" s="206"/>
      <c r="F166" s="206"/>
      <c r="G166" s="206"/>
      <c r="H166" s="206"/>
      <c r="I166" s="206"/>
      <c r="J166" s="206"/>
      <c r="K166" s="206"/>
      <c r="L166" s="206"/>
      <c r="M166" s="206"/>
      <c r="N166" s="206"/>
      <c r="O166" s="206"/>
      <c r="P166" s="206"/>
      <c r="Q166" s="206"/>
      <c r="R166" s="206"/>
      <c r="S166" s="206"/>
      <c r="T166" s="206"/>
      <c r="U166" s="206"/>
      <c r="V166" s="206"/>
      <c r="W166" s="206"/>
      <c r="X166" s="206"/>
      <c r="Y166" s="206"/>
      <c r="Z166" s="222"/>
      <c r="AA166" s="28"/>
      <c r="AB166" s="53"/>
      <c r="AC166" s="53"/>
      <c r="AD166" s="53"/>
      <c r="AE166" s="53"/>
      <c r="AF166" s="53"/>
      <c r="AG166" s="20"/>
      <c r="AH166" s="20"/>
      <c r="AI166" s="20"/>
      <c r="AJ166" s="20"/>
      <c r="AK166" s="20"/>
      <c r="AL166" s="20"/>
      <c r="AM166" s="20"/>
      <c r="AN166" s="20"/>
      <c r="AO166" s="20"/>
      <c r="AP166" s="20"/>
      <c r="AQ166" s="20"/>
      <c r="AR166" s="20"/>
      <c r="AS166" s="20"/>
      <c r="AT166" s="20"/>
      <c r="AU166" s="20"/>
      <c r="AV166" s="20"/>
      <c r="AW166" s="20"/>
      <c r="AX166" s="20"/>
      <c r="AY166" s="20"/>
      <c r="AZ166" s="20"/>
      <c r="BA166" s="20"/>
      <c r="BB166" s="20"/>
      <c r="BC166" s="20"/>
      <c r="BD166" s="20"/>
      <c r="BE166" s="20"/>
      <c r="BF166" s="20"/>
      <c r="BG166" s="20"/>
      <c r="BH166" s="20"/>
    </row>
    <row r="167" spans="1:60">
      <c r="A167" s="213"/>
      <c r="B167" s="206"/>
      <c r="C167" s="206"/>
      <c r="D167" s="206"/>
      <c r="E167" s="206"/>
      <c r="F167" s="206"/>
      <c r="G167" s="206"/>
      <c r="H167" s="206"/>
      <c r="I167" s="206"/>
      <c r="J167" s="206"/>
      <c r="K167" s="206"/>
      <c r="L167" s="206"/>
      <c r="M167" s="206"/>
      <c r="N167" s="206"/>
      <c r="O167" s="206"/>
      <c r="P167" s="206"/>
      <c r="Q167" s="206"/>
      <c r="R167" s="206"/>
      <c r="S167" s="206"/>
      <c r="T167" s="206"/>
      <c r="U167" s="206"/>
      <c r="V167" s="206"/>
      <c r="W167" s="206"/>
      <c r="X167" s="206"/>
      <c r="Y167" s="206"/>
      <c r="Z167" s="222"/>
      <c r="AA167" s="28"/>
      <c r="AB167" s="53"/>
      <c r="AC167" s="53"/>
      <c r="AD167" s="53"/>
      <c r="AE167" s="53"/>
      <c r="AF167" s="53"/>
      <c r="AG167" s="20"/>
      <c r="AH167" s="20"/>
      <c r="AI167" s="20"/>
      <c r="AJ167" s="20"/>
      <c r="AK167" s="20"/>
      <c r="AL167" s="20"/>
      <c r="AM167" s="20"/>
      <c r="AN167" s="20"/>
      <c r="AO167" s="20"/>
      <c r="AP167" s="20"/>
      <c r="AQ167" s="20"/>
      <c r="AR167" s="20"/>
      <c r="AS167" s="20"/>
      <c r="AT167" s="20"/>
      <c r="AU167" s="20"/>
      <c r="AV167" s="20"/>
      <c r="AW167" s="20"/>
      <c r="AX167" s="20"/>
      <c r="AY167" s="20"/>
      <c r="AZ167" s="20"/>
      <c r="BA167" s="20"/>
      <c r="BB167" s="20"/>
      <c r="BC167" s="20"/>
      <c r="BD167" s="20"/>
      <c r="BE167" s="20"/>
      <c r="BF167" s="20"/>
      <c r="BG167" s="20"/>
      <c r="BH167" s="20"/>
    </row>
    <row r="168" spans="1:60">
      <c r="A168" s="213"/>
      <c r="B168" s="206"/>
      <c r="C168" s="206"/>
      <c r="D168" s="206"/>
      <c r="E168" s="206"/>
      <c r="F168" s="206"/>
      <c r="G168" s="206"/>
      <c r="H168" s="206"/>
      <c r="I168" s="206"/>
      <c r="J168" s="206"/>
      <c r="K168" s="206"/>
      <c r="L168" s="206"/>
      <c r="M168" s="206"/>
      <c r="N168" s="206"/>
      <c r="O168" s="206"/>
      <c r="P168" s="206"/>
      <c r="Q168" s="206"/>
      <c r="R168" s="206"/>
      <c r="S168" s="206"/>
      <c r="T168" s="206"/>
      <c r="U168" s="206"/>
      <c r="V168" s="206"/>
      <c r="W168" s="206"/>
      <c r="X168" s="206"/>
      <c r="Y168" s="206"/>
      <c r="Z168" s="222"/>
      <c r="AA168" s="53"/>
      <c r="AB168" s="53"/>
      <c r="AC168" s="53"/>
      <c r="AD168" s="54"/>
      <c r="AE168" s="53"/>
      <c r="AF168" s="53"/>
      <c r="AG168" s="20"/>
      <c r="AH168" s="20"/>
      <c r="AI168" s="20"/>
      <c r="AJ168" s="20"/>
      <c r="AK168" s="20"/>
      <c r="AL168" s="20"/>
      <c r="AM168" s="20"/>
      <c r="AN168" s="20"/>
      <c r="AO168" s="20"/>
      <c r="AP168" s="20"/>
      <c r="AQ168" s="20"/>
      <c r="AR168" s="20"/>
      <c r="AS168" s="20"/>
      <c r="AT168" s="20"/>
      <c r="AU168" s="20"/>
      <c r="AV168" s="20"/>
      <c r="AW168" s="20"/>
      <c r="AX168" s="20"/>
      <c r="AY168" s="20"/>
      <c r="AZ168" s="20"/>
      <c r="BA168" s="20"/>
      <c r="BB168" s="20"/>
      <c r="BC168" s="20"/>
      <c r="BD168" s="20"/>
      <c r="BE168" s="20"/>
      <c r="BF168" s="20"/>
      <c r="BG168" s="20"/>
      <c r="BH168" s="20"/>
    </row>
    <row r="169" spans="1:60">
      <c r="A169" s="213"/>
      <c r="B169" s="206"/>
      <c r="C169" s="206"/>
      <c r="D169" s="206"/>
      <c r="E169" s="206"/>
      <c r="F169" s="206"/>
      <c r="G169" s="206"/>
      <c r="H169" s="206"/>
      <c r="I169" s="206"/>
      <c r="J169" s="206"/>
      <c r="K169" s="206"/>
      <c r="L169" s="206"/>
      <c r="M169" s="206"/>
      <c r="N169" s="206"/>
      <c r="O169" s="206"/>
      <c r="P169" s="206"/>
      <c r="Q169" s="206"/>
      <c r="R169" s="206"/>
      <c r="S169" s="206"/>
      <c r="T169" s="206"/>
      <c r="U169" s="206"/>
      <c r="V169" s="206"/>
      <c r="W169" s="206"/>
      <c r="X169" s="206"/>
      <c r="Y169" s="206"/>
      <c r="Z169" s="222"/>
      <c r="AA169" s="53"/>
      <c r="AB169" s="53"/>
      <c r="AC169" s="20"/>
      <c r="AD169" s="53"/>
      <c r="AE169" s="53"/>
      <c r="AF169" s="53"/>
      <c r="AG169" s="20"/>
      <c r="AH169" s="20"/>
      <c r="AI169" s="20"/>
      <c r="AJ169" s="20"/>
      <c r="AK169" s="20"/>
      <c r="AL169" s="20"/>
      <c r="AM169" s="20"/>
      <c r="AN169" s="20"/>
      <c r="AO169" s="20"/>
      <c r="AP169" s="20"/>
      <c r="AQ169" s="20"/>
      <c r="AR169" s="20"/>
      <c r="AS169" s="20"/>
      <c r="AT169" s="20"/>
      <c r="AU169" s="20"/>
      <c r="AV169" s="20"/>
      <c r="AW169" s="20"/>
      <c r="AX169" s="20"/>
      <c r="AY169" s="20"/>
      <c r="AZ169" s="20"/>
      <c r="BA169" s="20"/>
      <c r="BB169" s="20"/>
      <c r="BC169" s="20"/>
      <c r="BD169" s="20"/>
      <c r="BE169" s="20"/>
      <c r="BF169" s="20"/>
      <c r="BG169" s="20"/>
      <c r="BH169" s="20"/>
    </row>
    <row r="170" spans="1:60">
      <c r="A170" s="213"/>
      <c r="B170" s="206"/>
      <c r="C170" s="206"/>
      <c r="D170" s="206"/>
      <c r="E170" s="206"/>
      <c r="F170" s="206"/>
      <c r="G170" s="206"/>
      <c r="H170" s="206"/>
      <c r="I170" s="206"/>
      <c r="J170" s="206"/>
      <c r="K170" s="206"/>
      <c r="L170" s="206"/>
      <c r="M170" s="206"/>
      <c r="N170" s="206"/>
      <c r="O170" s="206"/>
      <c r="P170" s="206"/>
      <c r="Q170" s="206"/>
      <c r="R170" s="206"/>
      <c r="S170" s="206"/>
      <c r="T170" s="206"/>
      <c r="U170" s="206"/>
      <c r="V170" s="206"/>
      <c r="W170" s="206"/>
      <c r="X170" s="206"/>
      <c r="Y170" s="206"/>
      <c r="Z170" s="222"/>
      <c r="AA170" s="53"/>
      <c r="AB170" s="53"/>
      <c r="AC170" s="53"/>
      <c r="AD170" s="53"/>
      <c r="AE170" s="53"/>
      <c r="AF170" s="53"/>
      <c r="AG170" s="20"/>
      <c r="AH170" s="20"/>
      <c r="AI170" s="20"/>
      <c r="AJ170" s="20"/>
      <c r="AK170" s="20"/>
      <c r="AL170" s="20"/>
      <c r="AM170" s="20"/>
      <c r="AN170" s="20"/>
      <c r="AO170" s="20"/>
      <c r="AP170" s="20"/>
      <c r="AQ170" s="20"/>
      <c r="AR170" s="20"/>
      <c r="AS170" s="20"/>
      <c r="AT170" s="20"/>
      <c r="AU170" s="20"/>
      <c r="AV170" s="20"/>
      <c r="AW170" s="20"/>
      <c r="AX170" s="20"/>
      <c r="AY170" s="20"/>
      <c r="AZ170" s="20"/>
      <c r="BA170" s="20"/>
      <c r="BB170" s="20"/>
      <c r="BC170" s="20"/>
      <c r="BD170" s="20"/>
      <c r="BE170" s="20"/>
      <c r="BF170" s="20"/>
      <c r="BG170" s="20"/>
      <c r="BH170" s="20"/>
    </row>
    <row r="171" spans="1:60">
      <c r="A171" s="193"/>
      <c r="B171" s="168"/>
      <c r="C171" s="168"/>
      <c r="D171" s="168"/>
      <c r="E171" s="168"/>
      <c r="F171" s="168"/>
      <c r="G171" s="168"/>
      <c r="H171" s="168"/>
      <c r="I171" s="168"/>
      <c r="J171" s="168"/>
      <c r="K171" s="168"/>
      <c r="L171" s="168"/>
      <c r="M171" s="168"/>
      <c r="N171" s="168"/>
      <c r="O171" s="168"/>
      <c r="P171" s="168"/>
      <c r="Q171" s="168"/>
      <c r="R171" s="168"/>
      <c r="S171" s="168"/>
      <c r="T171" s="168"/>
      <c r="U171" s="168"/>
      <c r="V171" s="168"/>
      <c r="W171" s="168"/>
      <c r="X171" s="168"/>
      <c r="Y171" s="168"/>
      <c r="Z171" s="201"/>
      <c r="AA171" s="44" t="s">
        <v>337</v>
      </c>
      <c r="AB171" s="20"/>
      <c r="AC171" s="20"/>
      <c r="AD171" s="20"/>
      <c r="AE171" s="20"/>
      <c r="AF171" s="20"/>
      <c r="AG171" s="20"/>
      <c r="AH171" s="20"/>
      <c r="AI171" s="20"/>
      <c r="AJ171" s="20"/>
      <c r="AK171" s="20"/>
      <c r="AL171" s="20"/>
      <c r="AM171" s="20"/>
      <c r="AN171" s="20"/>
      <c r="AO171" s="20"/>
      <c r="AP171" s="20"/>
      <c r="AQ171" s="20"/>
      <c r="AR171" s="20"/>
      <c r="AS171" s="20"/>
      <c r="AT171" s="20"/>
      <c r="AU171" s="20"/>
      <c r="AV171" s="20"/>
      <c r="AW171" s="20"/>
      <c r="AX171" s="20"/>
      <c r="AY171" s="20"/>
      <c r="AZ171" s="20"/>
      <c r="BA171" s="20"/>
      <c r="BB171" s="20"/>
      <c r="BC171" s="20"/>
      <c r="BD171" s="20"/>
      <c r="BE171" s="20"/>
      <c r="BF171" s="20"/>
      <c r="BG171" s="20"/>
      <c r="BH171" s="20"/>
    </row>
    <row r="172" spans="1:60" ht="13.8" thickBot="1">
      <c r="A172" s="198"/>
      <c r="B172" s="199"/>
      <c r="C172" s="199"/>
      <c r="D172" s="199"/>
      <c r="E172" s="199"/>
      <c r="F172" s="199"/>
      <c r="G172" s="199"/>
      <c r="H172" s="199"/>
      <c r="I172" s="199"/>
      <c r="J172" s="199"/>
      <c r="K172" s="199"/>
      <c r="L172" s="199"/>
      <c r="M172" s="199"/>
      <c r="N172" s="199"/>
      <c r="O172" s="199"/>
      <c r="P172" s="199"/>
      <c r="Q172" s="199"/>
      <c r="R172" s="199"/>
      <c r="S172" s="199"/>
      <c r="T172" s="199"/>
      <c r="U172" s="199"/>
      <c r="V172" s="199"/>
      <c r="W172" s="199"/>
      <c r="X172" s="199"/>
      <c r="Y172" s="199"/>
      <c r="Z172" s="205"/>
      <c r="AA172" s="20"/>
      <c r="AB172" s="20"/>
      <c r="AC172" s="20"/>
      <c r="AD172" s="20"/>
      <c r="AE172" s="20"/>
      <c r="AF172" s="20"/>
      <c r="AG172" s="20"/>
      <c r="AH172" s="20"/>
      <c r="AI172" s="20"/>
      <c r="AJ172" s="20"/>
      <c r="AK172" s="20"/>
      <c r="AL172" s="20"/>
      <c r="AM172" s="20"/>
      <c r="AN172" s="20"/>
      <c r="AO172" s="20"/>
      <c r="AP172" s="20"/>
      <c r="AQ172" s="20"/>
      <c r="AR172" s="20"/>
      <c r="AS172" s="20"/>
      <c r="AT172" s="20"/>
      <c r="AU172" s="20"/>
      <c r="AV172" s="20"/>
      <c r="AW172" s="20"/>
      <c r="AX172" s="20"/>
      <c r="AY172" s="20"/>
      <c r="AZ172" s="20"/>
      <c r="BA172" s="20"/>
      <c r="BB172" s="20"/>
      <c r="BC172" s="20"/>
      <c r="BD172" s="20"/>
      <c r="BE172" s="20"/>
      <c r="BF172" s="20"/>
      <c r="BG172" s="20"/>
      <c r="BH172" s="20"/>
    </row>
    <row r="173" spans="1:60" ht="13.8" thickTop="1">
      <c r="A173" s="20"/>
      <c r="B173" s="20"/>
      <c r="C173" s="20"/>
      <c r="D173" s="20"/>
      <c r="E173" s="20"/>
      <c r="F173" s="20"/>
      <c r="G173" s="20"/>
      <c r="H173" s="20"/>
      <c r="I173" s="20"/>
      <c r="J173" s="20"/>
      <c r="K173" s="20"/>
      <c r="L173" s="20"/>
      <c r="M173" s="20"/>
      <c r="N173" s="20"/>
      <c r="O173" s="20"/>
      <c r="P173" s="20"/>
      <c r="Q173" s="20"/>
      <c r="R173" s="20"/>
      <c r="S173" s="20"/>
      <c r="T173" s="20"/>
      <c r="U173" s="20"/>
      <c r="V173" s="20"/>
      <c r="W173" s="20"/>
      <c r="X173" s="20"/>
      <c r="Y173" s="20"/>
      <c r="Z173" s="20"/>
      <c r="AA173" s="20"/>
      <c r="AB173" s="20"/>
      <c r="AC173" s="20"/>
      <c r="AD173" s="20"/>
      <c r="AE173" s="20"/>
      <c r="AF173" s="20"/>
      <c r="AG173" s="20"/>
      <c r="AH173" s="20"/>
      <c r="AI173" s="20"/>
      <c r="AJ173" s="20"/>
      <c r="AK173" s="20"/>
      <c r="AL173" s="20"/>
      <c r="AM173" s="20"/>
      <c r="AN173" s="20"/>
      <c r="AO173" s="20"/>
      <c r="AP173" s="20"/>
      <c r="AQ173" s="20"/>
      <c r="AR173" s="20"/>
      <c r="AS173" s="20"/>
      <c r="AT173" s="20"/>
      <c r="AU173" s="20"/>
      <c r="AV173" s="20"/>
      <c r="AW173" s="20"/>
      <c r="AX173" s="20"/>
      <c r="AY173" s="20"/>
      <c r="AZ173" s="20"/>
      <c r="BA173" s="20"/>
      <c r="BB173" s="20"/>
      <c r="BC173" s="20"/>
      <c r="BD173" s="20"/>
      <c r="BE173" s="20"/>
      <c r="BF173" s="20"/>
      <c r="BG173" s="20"/>
      <c r="BH173" s="20"/>
    </row>
    <row r="174" spans="1:60">
      <c r="A174" s="20"/>
      <c r="B174" s="20"/>
      <c r="C174" s="20"/>
      <c r="D174" s="20"/>
      <c r="E174" s="20"/>
      <c r="F174" s="20"/>
      <c r="G174" s="20"/>
      <c r="H174" s="20"/>
      <c r="I174" s="20"/>
      <c r="J174" s="20"/>
      <c r="K174" s="20"/>
      <c r="L174" s="20"/>
      <c r="M174" s="20"/>
      <c r="N174" s="20"/>
      <c r="O174" s="20"/>
      <c r="P174" s="20"/>
      <c r="Q174" s="20"/>
      <c r="R174" s="20"/>
      <c r="S174" s="20"/>
      <c r="T174" s="20"/>
      <c r="U174" s="20"/>
      <c r="V174" s="20"/>
      <c r="W174" s="20"/>
      <c r="X174" s="20"/>
      <c r="Y174" s="20"/>
      <c r="Z174" s="20"/>
      <c r="AA174" s="20"/>
      <c r="AB174" s="20"/>
      <c r="AC174" s="20"/>
      <c r="AD174" s="20"/>
      <c r="AE174" s="20"/>
      <c r="AF174" s="20"/>
      <c r="AG174" s="20"/>
      <c r="AH174" s="20"/>
      <c r="AI174" s="20"/>
      <c r="AJ174" s="20"/>
      <c r="AK174" s="20"/>
      <c r="AL174" s="20"/>
      <c r="AM174" s="20"/>
      <c r="AN174" s="20"/>
      <c r="AO174" s="20"/>
      <c r="AP174" s="20"/>
      <c r="AQ174" s="20"/>
      <c r="AR174" s="20"/>
      <c r="AS174" s="20"/>
      <c r="AT174" s="20"/>
      <c r="AU174" s="20"/>
      <c r="AV174" s="20"/>
      <c r="AW174" s="20"/>
      <c r="AX174" s="20"/>
      <c r="AY174" s="20"/>
      <c r="AZ174" s="20"/>
      <c r="BA174" s="20"/>
      <c r="BB174" s="20"/>
      <c r="BC174" s="20"/>
      <c r="BD174" s="20"/>
      <c r="BE174" s="20"/>
      <c r="BF174" s="20"/>
      <c r="BG174" s="20"/>
      <c r="BH174" s="20"/>
    </row>
    <row r="175" spans="1:60">
      <c r="A175" s="20"/>
      <c r="B175" s="20"/>
      <c r="C175" s="20"/>
      <c r="D175" s="20"/>
      <c r="E175" s="20"/>
      <c r="F175" s="20"/>
      <c r="G175" s="20"/>
      <c r="H175" s="20"/>
      <c r="I175" s="20"/>
      <c r="J175" s="20"/>
      <c r="K175" s="20"/>
      <c r="L175" s="20"/>
      <c r="M175" s="20"/>
      <c r="N175" s="20"/>
      <c r="O175" s="20"/>
      <c r="P175" s="20"/>
      <c r="Q175" s="20"/>
      <c r="R175" s="20"/>
      <c r="S175" s="20"/>
      <c r="T175" s="20"/>
      <c r="U175" s="20"/>
      <c r="V175" s="20"/>
      <c r="W175" s="20"/>
      <c r="X175" s="20"/>
      <c r="Y175" s="20"/>
      <c r="Z175" s="20"/>
      <c r="AA175" s="20"/>
      <c r="AB175" s="20"/>
      <c r="AC175" s="20"/>
      <c r="AD175" s="20"/>
      <c r="AE175" s="20"/>
      <c r="AF175" s="20"/>
      <c r="AG175" s="20"/>
      <c r="AH175" s="20"/>
      <c r="AI175" s="20"/>
      <c r="AJ175" s="20"/>
      <c r="AK175" s="20"/>
      <c r="AL175" s="20"/>
      <c r="AM175" s="20"/>
      <c r="AN175" s="20"/>
      <c r="AO175" s="20"/>
      <c r="AP175" s="20"/>
      <c r="AQ175" s="20"/>
      <c r="AR175" s="20"/>
      <c r="AS175" s="20"/>
      <c r="AT175" s="20"/>
      <c r="AU175" s="20"/>
      <c r="AV175" s="20"/>
      <c r="AW175" s="20"/>
      <c r="AX175" s="20"/>
      <c r="AY175" s="20"/>
      <c r="AZ175" s="20"/>
      <c r="BA175" s="20"/>
      <c r="BB175" s="20"/>
      <c r="BC175" s="20"/>
      <c r="BD175" s="20"/>
      <c r="BE175" s="20"/>
      <c r="BF175" s="20"/>
      <c r="BG175" s="20"/>
      <c r="BH175" s="20"/>
    </row>
    <row r="176" spans="1:60">
      <c r="A176" s="20"/>
      <c r="B176" s="20"/>
      <c r="C176" s="20"/>
      <c r="D176" s="20"/>
      <c r="E176" s="20"/>
      <c r="F176" s="20"/>
      <c r="G176" s="20"/>
      <c r="H176" s="20"/>
      <c r="I176" s="20"/>
      <c r="J176" s="20"/>
      <c r="K176" s="20"/>
      <c r="L176" s="20"/>
      <c r="M176" s="20"/>
      <c r="N176" s="20"/>
      <c r="O176" s="20"/>
      <c r="P176" s="20"/>
      <c r="Q176" s="20"/>
      <c r="R176" s="20"/>
      <c r="S176" s="20"/>
      <c r="T176" s="20"/>
      <c r="U176" s="20"/>
      <c r="V176" s="20"/>
      <c r="W176" s="20"/>
      <c r="X176" s="20"/>
      <c r="Y176" s="20"/>
      <c r="Z176" s="20"/>
      <c r="AA176" s="20"/>
      <c r="AB176" s="20"/>
      <c r="AC176" s="20"/>
      <c r="AD176" s="20"/>
      <c r="AE176" s="20"/>
      <c r="AF176" s="20"/>
      <c r="AG176" s="20"/>
      <c r="AH176" s="20"/>
      <c r="AI176" s="20"/>
      <c r="AJ176" s="20"/>
      <c r="AK176" s="20"/>
      <c r="AL176" s="20"/>
      <c r="AM176" s="20"/>
      <c r="AN176" s="20"/>
      <c r="AO176" s="20"/>
      <c r="AP176" s="20"/>
      <c r="AQ176" s="20"/>
      <c r="AR176" s="20"/>
      <c r="AS176" s="20"/>
      <c r="AT176" s="20"/>
      <c r="AU176" s="20"/>
      <c r="AV176" s="20"/>
      <c r="AW176" s="20"/>
      <c r="AX176" s="20"/>
      <c r="AY176" s="20"/>
      <c r="AZ176" s="20"/>
      <c r="BA176" s="20"/>
      <c r="BB176" s="20"/>
      <c r="BC176" s="20"/>
      <c r="BD176" s="20"/>
      <c r="BE176" s="20"/>
      <c r="BF176" s="20"/>
      <c r="BG176" s="20"/>
      <c r="BH176" s="20"/>
    </row>
    <row r="177" spans="1:60">
      <c r="A177" s="20"/>
      <c r="B177" s="20"/>
      <c r="C177" s="20"/>
      <c r="D177" s="20"/>
      <c r="E177" s="20"/>
      <c r="F177" s="20"/>
      <c r="G177" s="20"/>
      <c r="H177" s="20"/>
      <c r="I177" s="20"/>
      <c r="J177" s="20"/>
      <c r="K177" s="20"/>
      <c r="L177" s="20"/>
      <c r="M177" s="20"/>
      <c r="N177" s="20"/>
      <c r="O177" s="20"/>
      <c r="P177" s="20"/>
      <c r="Q177" s="20"/>
      <c r="R177" s="20"/>
      <c r="S177" s="20"/>
      <c r="T177" s="20"/>
      <c r="U177" s="20"/>
      <c r="V177" s="20"/>
      <c r="W177" s="20"/>
      <c r="X177" s="20"/>
      <c r="Y177" s="20"/>
      <c r="Z177" s="20"/>
      <c r="AA177" s="20"/>
      <c r="AB177" s="20"/>
      <c r="AC177" s="20"/>
      <c r="AD177" s="20"/>
      <c r="AE177" s="20"/>
      <c r="AF177" s="20"/>
      <c r="AG177" s="20"/>
      <c r="AH177" s="20"/>
      <c r="AI177" s="20"/>
      <c r="AJ177" s="20"/>
      <c r="AK177" s="20"/>
      <c r="AL177" s="20"/>
      <c r="AM177" s="20"/>
      <c r="AN177" s="20"/>
      <c r="AO177" s="20"/>
      <c r="AP177" s="20"/>
      <c r="AQ177" s="20"/>
      <c r="AR177" s="20"/>
      <c r="AS177" s="20"/>
      <c r="AT177" s="20"/>
      <c r="AU177" s="20"/>
      <c r="AV177" s="20"/>
      <c r="AW177" s="20"/>
      <c r="AX177" s="20"/>
      <c r="AY177" s="20"/>
      <c r="AZ177" s="20"/>
      <c r="BA177" s="20"/>
      <c r="BB177" s="20"/>
      <c r="BC177" s="20"/>
      <c r="BD177" s="20"/>
      <c r="BE177" s="20"/>
      <c r="BF177" s="20"/>
      <c r="BG177" s="20"/>
      <c r="BH177" s="20"/>
    </row>
    <row r="178" spans="1:60">
      <c r="A178" s="20"/>
      <c r="B178" s="20"/>
      <c r="C178" s="20"/>
      <c r="D178" s="20"/>
      <c r="E178" s="20"/>
      <c r="F178" s="20"/>
      <c r="G178" s="20"/>
      <c r="H178" s="20"/>
      <c r="I178" s="20"/>
      <c r="J178" s="20"/>
      <c r="K178" s="20"/>
      <c r="L178" s="20"/>
      <c r="M178" s="20"/>
      <c r="N178" s="20"/>
      <c r="O178" s="20"/>
      <c r="P178" s="20"/>
      <c r="Q178" s="20"/>
      <c r="R178" s="20"/>
      <c r="S178" s="20"/>
      <c r="T178" s="20"/>
      <c r="U178" s="20"/>
      <c r="V178" s="20"/>
      <c r="W178" s="20"/>
      <c r="X178" s="20"/>
      <c r="Y178" s="20"/>
      <c r="Z178" s="20"/>
      <c r="AA178" s="20"/>
      <c r="AB178" s="20"/>
      <c r="AC178" s="20"/>
      <c r="AD178" s="20"/>
      <c r="AE178" s="20"/>
      <c r="AF178" s="20"/>
      <c r="AG178" s="20"/>
      <c r="AH178" s="20"/>
      <c r="AI178" s="20"/>
      <c r="AJ178" s="20"/>
      <c r="AK178" s="20"/>
      <c r="AL178" s="20"/>
      <c r="AM178" s="20"/>
      <c r="AN178" s="20"/>
      <c r="AO178" s="20"/>
      <c r="AP178" s="20"/>
      <c r="AQ178" s="20"/>
      <c r="AR178" s="20"/>
      <c r="AS178" s="20"/>
      <c r="AT178" s="20"/>
      <c r="AU178" s="20"/>
      <c r="AV178" s="20"/>
      <c r="AW178" s="20"/>
      <c r="AX178" s="20"/>
      <c r="AY178" s="20"/>
      <c r="AZ178" s="20"/>
      <c r="BA178" s="20"/>
      <c r="BB178" s="20"/>
      <c r="BC178" s="20"/>
      <c r="BD178" s="20"/>
      <c r="BE178" s="20"/>
      <c r="BF178" s="20"/>
      <c r="BG178" s="20"/>
      <c r="BH178" s="20"/>
    </row>
    <row r="179" spans="1:60">
      <c r="A179" s="20"/>
      <c r="B179" s="20"/>
      <c r="C179" s="20"/>
      <c r="D179" s="20"/>
      <c r="E179" s="20"/>
      <c r="F179" s="20"/>
      <c r="G179" s="20"/>
      <c r="H179" s="20"/>
      <c r="I179" s="20"/>
      <c r="J179" s="20"/>
      <c r="K179" s="20"/>
      <c r="L179" s="20"/>
      <c r="M179" s="20"/>
      <c r="N179" s="20"/>
      <c r="O179" s="20"/>
      <c r="P179" s="20"/>
      <c r="Q179" s="20"/>
      <c r="R179" s="20"/>
      <c r="S179" s="20"/>
      <c r="T179" s="20"/>
      <c r="U179" s="20"/>
      <c r="V179" s="20"/>
      <c r="W179" s="20"/>
      <c r="X179" s="20"/>
      <c r="Y179" s="20"/>
      <c r="Z179" s="20"/>
      <c r="AA179" s="20"/>
      <c r="AB179" s="20"/>
      <c r="AC179" s="20"/>
      <c r="AD179" s="20"/>
      <c r="AE179" s="20"/>
      <c r="AF179" s="20"/>
      <c r="AG179" s="20"/>
      <c r="AH179" s="20"/>
      <c r="AI179" s="20"/>
      <c r="AJ179" s="20"/>
      <c r="AK179" s="20"/>
      <c r="AL179" s="20"/>
      <c r="AM179" s="20"/>
      <c r="AN179" s="20"/>
      <c r="AO179" s="20"/>
      <c r="AP179" s="20"/>
      <c r="AQ179" s="20"/>
      <c r="AR179" s="20"/>
      <c r="AS179" s="20"/>
      <c r="AT179" s="20"/>
      <c r="AU179" s="20"/>
      <c r="AV179" s="20"/>
      <c r="AW179" s="20"/>
      <c r="AX179" s="20"/>
      <c r="AY179" s="20"/>
      <c r="AZ179" s="20"/>
      <c r="BA179" s="20"/>
      <c r="BB179" s="20"/>
      <c r="BC179" s="20"/>
      <c r="BD179" s="20"/>
      <c r="BE179" s="20"/>
      <c r="BF179" s="20"/>
      <c r="BG179" s="20"/>
      <c r="BH179" s="20"/>
    </row>
    <row r="180" spans="1:60">
      <c r="A180" s="20"/>
      <c r="B180" s="20"/>
      <c r="C180" s="20"/>
      <c r="D180" s="20"/>
      <c r="E180" s="20"/>
      <c r="F180" s="20"/>
      <c r="G180" s="20"/>
      <c r="H180" s="20"/>
      <c r="I180" s="20"/>
      <c r="J180" s="20"/>
      <c r="K180" s="20"/>
      <c r="L180" s="20"/>
      <c r="M180" s="20"/>
      <c r="N180" s="20"/>
      <c r="O180" s="20"/>
      <c r="P180" s="20"/>
      <c r="Q180" s="20"/>
      <c r="R180" s="20"/>
      <c r="S180" s="20"/>
      <c r="T180" s="20"/>
      <c r="U180" s="20"/>
      <c r="V180" s="20"/>
      <c r="W180" s="20"/>
      <c r="X180" s="20"/>
      <c r="Y180" s="20"/>
      <c r="Z180" s="20"/>
      <c r="AA180" s="20"/>
      <c r="AB180" s="20"/>
      <c r="AC180" s="20"/>
      <c r="AD180" s="20"/>
      <c r="AE180" s="20"/>
      <c r="AF180" s="20"/>
      <c r="AG180" s="20"/>
      <c r="AH180" s="20"/>
      <c r="AI180" s="20"/>
      <c r="AJ180" s="20"/>
      <c r="AK180" s="20"/>
      <c r="AL180" s="20"/>
      <c r="AM180" s="20"/>
      <c r="AN180" s="20"/>
      <c r="AO180" s="20"/>
      <c r="AP180" s="20"/>
      <c r="AQ180" s="20"/>
      <c r="AR180" s="20"/>
      <c r="AS180" s="20"/>
      <c r="AT180" s="20"/>
      <c r="AU180" s="20"/>
      <c r="AV180" s="20"/>
      <c r="AW180" s="20"/>
      <c r="AX180" s="20"/>
      <c r="AY180" s="20"/>
      <c r="AZ180" s="20"/>
      <c r="BA180" s="20"/>
      <c r="BB180" s="20"/>
      <c r="BC180" s="20"/>
      <c r="BD180" s="20"/>
      <c r="BE180" s="20"/>
      <c r="BF180" s="20"/>
      <c r="BG180" s="20"/>
      <c r="BH180" s="20"/>
    </row>
    <row r="181" spans="1:60">
      <c r="A181" s="20"/>
      <c r="B181" s="20"/>
      <c r="C181" s="20"/>
      <c r="D181" s="20"/>
      <c r="E181" s="20"/>
      <c r="F181" s="20"/>
      <c r="G181" s="20"/>
      <c r="H181" s="20"/>
      <c r="I181" s="20"/>
      <c r="J181" s="20"/>
      <c r="K181" s="20"/>
      <c r="L181" s="20"/>
      <c r="M181" s="20"/>
      <c r="N181" s="20"/>
      <c r="O181" s="20"/>
      <c r="P181" s="20"/>
      <c r="Q181" s="20"/>
      <c r="R181" s="20"/>
      <c r="S181" s="20"/>
      <c r="T181" s="20"/>
      <c r="U181" s="20"/>
      <c r="V181" s="20"/>
      <c r="W181" s="20"/>
      <c r="X181" s="20"/>
      <c r="Y181" s="20"/>
      <c r="Z181" s="20"/>
      <c r="AA181" s="20"/>
      <c r="AB181" s="20"/>
      <c r="AC181" s="20"/>
      <c r="AD181" s="20"/>
      <c r="AE181" s="20"/>
      <c r="AF181" s="20"/>
      <c r="AG181" s="20"/>
      <c r="AH181" s="20"/>
      <c r="AI181" s="20"/>
      <c r="AJ181" s="20"/>
      <c r="AK181" s="20"/>
      <c r="AL181" s="20"/>
      <c r="AM181" s="20"/>
      <c r="AN181" s="20"/>
      <c r="AO181" s="20"/>
      <c r="AP181" s="20"/>
      <c r="AQ181" s="20"/>
      <c r="AR181" s="20"/>
      <c r="AS181" s="20"/>
      <c r="AT181" s="20"/>
      <c r="AU181" s="20"/>
      <c r="AV181" s="20"/>
      <c r="AW181" s="20"/>
      <c r="AX181" s="20"/>
      <c r="AY181" s="20"/>
      <c r="AZ181" s="20"/>
      <c r="BA181" s="20"/>
      <c r="BB181" s="20"/>
      <c r="BC181" s="20"/>
      <c r="BD181" s="20"/>
      <c r="BE181" s="20"/>
      <c r="BF181" s="20"/>
      <c r="BG181" s="20"/>
      <c r="BH181" s="20"/>
    </row>
    <row r="182" spans="1:60">
      <c r="A182" s="20"/>
      <c r="B182" s="20"/>
      <c r="C182" s="20"/>
      <c r="D182" s="20"/>
      <c r="E182" s="20"/>
      <c r="F182" s="20"/>
      <c r="G182" s="20"/>
      <c r="H182" s="20"/>
      <c r="I182" s="20"/>
      <c r="J182" s="20"/>
      <c r="K182" s="20"/>
      <c r="L182" s="20"/>
      <c r="M182" s="20"/>
      <c r="N182" s="20"/>
      <c r="O182" s="20"/>
      <c r="P182" s="20"/>
      <c r="Q182" s="20"/>
      <c r="R182" s="20"/>
      <c r="S182" s="20"/>
      <c r="T182" s="20"/>
      <c r="U182" s="20"/>
      <c r="V182" s="20"/>
      <c r="W182" s="20"/>
      <c r="X182" s="20"/>
      <c r="Y182" s="20"/>
      <c r="Z182" s="20"/>
      <c r="AA182" s="20"/>
      <c r="AB182" s="20"/>
      <c r="AC182" s="20"/>
      <c r="AD182" s="20"/>
      <c r="AE182" s="20"/>
      <c r="AF182" s="20"/>
      <c r="AG182" s="20"/>
      <c r="AH182" s="20"/>
      <c r="AI182" s="20"/>
      <c r="AJ182" s="20"/>
      <c r="AK182" s="20"/>
      <c r="AL182" s="20"/>
      <c r="AM182" s="20"/>
      <c r="AN182" s="20"/>
      <c r="AO182" s="20"/>
      <c r="AP182" s="20"/>
      <c r="AQ182" s="20"/>
      <c r="AR182" s="20"/>
      <c r="AS182" s="20"/>
      <c r="AT182" s="20"/>
      <c r="AU182" s="20"/>
      <c r="AV182" s="20"/>
      <c r="AW182" s="20"/>
      <c r="AX182" s="20"/>
      <c r="AY182" s="20"/>
      <c r="AZ182" s="20"/>
      <c r="BA182" s="20"/>
      <c r="BB182" s="20"/>
      <c r="BC182" s="20"/>
      <c r="BD182" s="20"/>
      <c r="BE182" s="20"/>
      <c r="BF182" s="20"/>
      <c r="BG182" s="20"/>
      <c r="BH182" s="20"/>
    </row>
    <row r="183" spans="1:60">
      <c r="A183" s="20"/>
      <c r="B183" s="20"/>
      <c r="C183" s="20"/>
      <c r="D183" s="20"/>
      <c r="E183" s="20"/>
      <c r="F183" s="20"/>
      <c r="G183" s="20"/>
      <c r="H183" s="20"/>
      <c r="I183" s="20"/>
      <c r="J183" s="20"/>
      <c r="K183" s="20"/>
      <c r="L183" s="20"/>
      <c r="M183" s="20"/>
      <c r="N183" s="20"/>
      <c r="O183" s="20"/>
      <c r="P183" s="20"/>
      <c r="Q183" s="20"/>
      <c r="R183" s="20"/>
      <c r="S183" s="20"/>
      <c r="T183" s="20"/>
      <c r="U183" s="20"/>
      <c r="V183" s="20"/>
      <c r="W183" s="20"/>
      <c r="X183" s="20"/>
      <c r="Y183" s="20"/>
      <c r="Z183" s="20"/>
      <c r="AA183" s="20"/>
      <c r="AB183" s="20"/>
      <c r="AC183" s="20"/>
      <c r="AD183" s="20"/>
      <c r="AE183" s="20"/>
      <c r="AF183" s="20"/>
      <c r="AG183" s="20"/>
      <c r="AH183" s="20"/>
      <c r="AI183" s="20"/>
      <c r="AJ183" s="20"/>
      <c r="AK183" s="20"/>
      <c r="AL183" s="20"/>
      <c r="AM183" s="20"/>
      <c r="AN183" s="20"/>
      <c r="AO183" s="20"/>
      <c r="AP183" s="20"/>
      <c r="AQ183" s="20"/>
      <c r="AR183" s="20"/>
      <c r="AS183" s="20"/>
      <c r="AT183" s="20"/>
      <c r="AU183" s="20"/>
      <c r="AV183" s="20"/>
      <c r="AW183" s="20"/>
      <c r="AX183" s="20"/>
      <c r="AY183" s="20"/>
      <c r="AZ183" s="20"/>
      <c r="BA183" s="20"/>
      <c r="BB183" s="20"/>
      <c r="BC183" s="20"/>
      <c r="BD183" s="20"/>
      <c r="BE183" s="20"/>
      <c r="BF183" s="20"/>
      <c r="BG183" s="20"/>
      <c r="BH183" s="20"/>
    </row>
    <row r="184" spans="1:60">
      <c r="A184" s="20"/>
      <c r="B184" s="20"/>
      <c r="C184" s="20"/>
      <c r="D184" s="20"/>
      <c r="E184" s="20"/>
      <c r="F184" s="20"/>
      <c r="G184" s="20"/>
      <c r="H184" s="20"/>
      <c r="I184" s="20"/>
      <c r="J184" s="20"/>
      <c r="K184" s="20"/>
      <c r="L184" s="20"/>
      <c r="M184" s="20"/>
      <c r="N184" s="20"/>
      <c r="O184" s="20"/>
      <c r="P184" s="20"/>
      <c r="Q184" s="20"/>
      <c r="R184" s="20"/>
      <c r="S184" s="20"/>
      <c r="T184" s="20"/>
      <c r="U184" s="20"/>
      <c r="V184" s="20"/>
      <c r="W184" s="20"/>
      <c r="X184" s="20"/>
      <c r="Y184" s="20"/>
      <c r="Z184" s="20"/>
      <c r="AA184" s="20"/>
      <c r="AB184" s="20"/>
      <c r="AC184" s="20"/>
      <c r="AD184" s="20"/>
      <c r="AE184" s="20"/>
      <c r="AF184" s="20"/>
      <c r="AG184" s="20"/>
      <c r="AH184" s="20"/>
      <c r="AI184" s="20"/>
      <c r="AJ184" s="20"/>
      <c r="AK184" s="20"/>
      <c r="AL184" s="20"/>
      <c r="AM184" s="20"/>
      <c r="AN184" s="20"/>
      <c r="AO184" s="20"/>
      <c r="AP184" s="20"/>
      <c r="AQ184" s="20"/>
      <c r="AR184" s="20"/>
      <c r="AS184" s="20"/>
      <c r="AT184" s="20"/>
      <c r="AU184" s="20"/>
      <c r="AV184" s="20"/>
      <c r="AW184" s="20"/>
      <c r="AX184" s="20"/>
      <c r="AY184" s="20"/>
      <c r="AZ184" s="20"/>
      <c r="BA184" s="20"/>
      <c r="BB184" s="20"/>
      <c r="BC184" s="20"/>
      <c r="BD184" s="20"/>
      <c r="BE184" s="20"/>
      <c r="BF184" s="20"/>
      <c r="BG184" s="20"/>
      <c r="BH184" s="20"/>
    </row>
    <row r="185" spans="1:60">
      <c r="A185" s="20"/>
      <c r="B185" s="20"/>
      <c r="C185" s="20"/>
      <c r="D185" s="20"/>
      <c r="E185" s="20"/>
      <c r="F185" s="20"/>
      <c r="G185" s="20"/>
      <c r="H185" s="20"/>
      <c r="I185" s="20"/>
      <c r="J185" s="20"/>
      <c r="K185" s="20"/>
      <c r="L185" s="20"/>
      <c r="M185" s="20"/>
      <c r="N185" s="20"/>
      <c r="O185" s="20"/>
      <c r="P185" s="20"/>
      <c r="Q185" s="20"/>
      <c r="R185" s="20"/>
      <c r="S185" s="20"/>
      <c r="T185" s="20"/>
      <c r="U185" s="20"/>
      <c r="V185" s="20"/>
      <c r="W185" s="20"/>
      <c r="X185" s="20"/>
      <c r="Y185" s="20"/>
      <c r="Z185" s="20"/>
      <c r="AA185" s="20"/>
      <c r="AB185" s="20"/>
      <c r="AC185" s="20"/>
      <c r="AD185" s="20"/>
      <c r="AE185" s="20"/>
      <c r="AF185" s="20"/>
      <c r="AG185" s="20"/>
      <c r="AH185" s="20"/>
      <c r="AI185" s="20"/>
      <c r="AJ185" s="20"/>
      <c r="AK185" s="20"/>
      <c r="AL185" s="20"/>
      <c r="AM185" s="20"/>
      <c r="AN185" s="20"/>
      <c r="AO185" s="20"/>
      <c r="AP185" s="20"/>
      <c r="AQ185" s="20"/>
      <c r="AR185" s="20"/>
      <c r="AS185" s="20"/>
      <c r="AT185" s="20"/>
      <c r="AU185" s="20"/>
      <c r="AV185" s="20"/>
      <c r="AW185" s="20"/>
      <c r="AX185" s="20"/>
      <c r="AY185" s="20"/>
      <c r="AZ185" s="20"/>
      <c r="BA185" s="20"/>
      <c r="BB185" s="20"/>
      <c r="BC185" s="20"/>
      <c r="BD185" s="20"/>
      <c r="BE185" s="20"/>
      <c r="BF185" s="20"/>
      <c r="BG185" s="20"/>
      <c r="BH185" s="20"/>
    </row>
    <row r="186" spans="1:60">
      <c r="A186" s="20"/>
      <c r="B186" s="20"/>
      <c r="C186" s="20"/>
      <c r="D186" s="20"/>
      <c r="E186" s="20"/>
      <c r="F186" s="20"/>
      <c r="G186" s="20"/>
      <c r="H186" s="20"/>
      <c r="I186" s="20"/>
      <c r="J186" s="20"/>
      <c r="K186" s="20"/>
      <c r="L186" s="20"/>
      <c r="M186" s="20"/>
      <c r="N186" s="20"/>
      <c r="O186" s="20"/>
      <c r="P186" s="20"/>
      <c r="Q186" s="20"/>
      <c r="R186" s="20"/>
      <c r="S186" s="20"/>
      <c r="T186" s="20"/>
      <c r="U186" s="20"/>
      <c r="V186" s="20"/>
      <c r="W186" s="20"/>
      <c r="X186" s="20"/>
      <c r="Y186" s="20"/>
      <c r="Z186" s="20"/>
      <c r="AA186" s="20"/>
      <c r="AB186" s="20"/>
      <c r="AC186" s="20"/>
      <c r="AD186" s="20"/>
      <c r="AE186" s="20"/>
      <c r="AF186" s="20"/>
      <c r="AG186" s="20"/>
      <c r="AH186" s="20"/>
      <c r="AI186" s="20"/>
      <c r="AJ186" s="20"/>
      <c r="AK186" s="20"/>
      <c r="AL186" s="20"/>
      <c r="AM186" s="20"/>
      <c r="AN186" s="20"/>
      <c r="AO186" s="20"/>
      <c r="AP186" s="20"/>
      <c r="AQ186" s="20"/>
      <c r="AR186" s="20"/>
      <c r="AS186" s="20"/>
      <c r="AT186" s="20"/>
      <c r="AU186" s="20"/>
      <c r="AV186" s="20"/>
      <c r="AW186" s="20"/>
      <c r="AX186" s="20"/>
      <c r="AY186" s="20"/>
      <c r="AZ186" s="20"/>
      <c r="BA186" s="20"/>
      <c r="BB186" s="20"/>
      <c r="BC186" s="20"/>
      <c r="BD186" s="20"/>
      <c r="BE186" s="20"/>
      <c r="BF186" s="20"/>
      <c r="BG186" s="20"/>
      <c r="BH186" s="20"/>
    </row>
    <row r="187" spans="1:60">
      <c r="A187" s="20"/>
      <c r="B187" s="20"/>
      <c r="C187" s="20"/>
      <c r="D187" s="20"/>
      <c r="E187" s="20"/>
      <c r="F187" s="20"/>
      <c r="G187" s="20"/>
      <c r="H187" s="20"/>
      <c r="I187" s="20"/>
      <c r="J187" s="20"/>
      <c r="K187" s="20"/>
      <c r="L187" s="20"/>
      <c r="M187" s="20"/>
      <c r="N187" s="20"/>
      <c r="O187" s="20"/>
      <c r="P187" s="20"/>
      <c r="Q187" s="20"/>
      <c r="R187" s="20"/>
      <c r="S187" s="20"/>
      <c r="T187" s="20"/>
      <c r="U187" s="20"/>
      <c r="V187" s="20"/>
      <c r="W187" s="20"/>
      <c r="X187" s="20"/>
      <c r="Y187" s="20"/>
      <c r="Z187" s="20"/>
      <c r="AA187" s="20"/>
      <c r="AB187" s="20"/>
      <c r="AC187" s="20"/>
      <c r="AD187" s="20"/>
      <c r="AE187" s="20"/>
      <c r="AF187" s="20"/>
      <c r="AG187" s="20"/>
      <c r="AH187" s="20"/>
      <c r="AI187" s="20"/>
      <c r="AJ187" s="20"/>
      <c r="AK187" s="20"/>
      <c r="AL187" s="20"/>
      <c r="AM187" s="20"/>
      <c r="AN187" s="20"/>
      <c r="AO187" s="20"/>
      <c r="AP187" s="20"/>
      <c r="AQ187" s="20"/>
      <c r="AR187" s="20"/>
      <c r="AS187" s="20"/>
      <c r="AT187" s="20"/>
      <c r="AU187" s="20"/>
      <c r="AV187" s="20"/>
      <c r="AW187" s="20"/>
      <c r="AX187" s="20"/>
      <c r="AY187" s="20"/>
      <c r="AZ187" s="20"/>
      <c r="BA187" s="20"/>
      <c r="BB187" s="20"/>
      <c r="BC187" s="20"/>
      <c r="BD187" s="20"/>
      <c r="BE187" s="20"/>
      <c r="BF187" s="20"/>
      <c r="BG187" s="20"/>
      <c r="BH187" s="20"/>
    </row>
    <row r="188" spans="1:60">
      <c r="A188" s="20"/>
      <c r="B188" s="20"/>
      <c r="C188" s="20"/>
      <c r="D188" s="20"/>
      <c r="E188" s="20"/>
      <c r="F188" s="20"/>
      <c r="G188" s="20"/>
      <c r="H188" s="20"/>
      <c r="I188" s="20"/>
      <c r="J188" s="20"/>
      <c r="K188" s="20"/>
      <c r="L188" s="20"/>
      <c r="M188" s="20"/>
      <c r="N188" s="20"/>
      <c r="O188" s="20"/>
      <c r="P188" s="20"/>
      <c r="Q188" s="20"/>
      <c r="R188" s="20"/>
      <c r="S188" s="20"/>
      <c r="T188" s="20"/>
      <c r="U188" s="20"/>
      <c r="V188" s="20"/>
      <c r="W188" s="20"/>
      <c r="X188" s="20"/>
      <c r="Y188" s="20"/>
      <c r="Z188" s="20"/>
      <c r="AA188" s="20"/>
      <c r="AB188" s="20"/>
      <c r="AC188" s="20"/>
      <c r="AD188" s="20"/>
      <c r="AE188" s="20"/>
      <c r="AF188" s="20"/>
      <c r="AG188" s="20"/>
      <c r="AH188" s="20"/>
      <c r="AI188" s="20"/>
      <c r="AJ188" s="20"/>
      <c r="AK188" s="20"/>
      <c r="AL188" s="20"/>
      <c r="AM188" s="20"/>
      <c r="AN188" s="20"/>
      <c r="AO188" s="20"/>
      <c r="AP188" s="20"/>
      <c r="AQ188" s="20"/>
      <c r="AR188" s="20"/>
      <c r="AS188" s="20"/>
      <c r="AT188" s="20"/>
      <c r="AU188" s="20"/>
      <c r="AV188" s="20"/>
      <c r="AW188" s="20"/>
      <c r="AX188" s="20"/>
      <c r="AY188" s="20"/>
      <c r="AZ188" s="20"/>
      <c r="BA188" s="20"/>
      <c r="BB188" s="20"/>
      <c r="BC188" s="20"/>
      <c r="BD188" s="20"/>
      <c r="BE188" s="20"/>
      <c r="BF188" s="20"/>
      <c r="BG188" s="20"/>
      <c r="BH188" s="20"/>
    </row>
    <row r="189" spans="1:60">
      <c r="A189" s="20"/>
      <c r="B189" s="20"/>
      <c r="C189" s="20"/>
      <c r="D189" s="20"/>
      <c r="E189" s="20"/>
      <c r="F189" s="20"/>
      <c r="G189" s="20"/>
      <c r="H189" s="20"/>
      <c r="I189" s="20"/>
      <c r="J189" s="20"/>
      <c r="K189" s="20"/>
      <c r="L189" s="20"/>
      <c r="M189" s="20"/>
      <c r="N189" s="20"/>
      <c r="O189" s="20"/>
      <c r="P189" s="20"/>
      <c r="Q189" s="20"/>
      <c r="R189" s="20"/>
      <c r="S189" s="20"/>
      <c r="T189" s="20"/>
      <c r="U189" s="20"/>
      <c r="V189" s="20"/>
      <c r="W189" s="20"/>
      <c r="X189" s="20"/>
      <c r="Y189" s="20"/>
      <c r="Z189" s="20"/>
      <c r="AA189" s="20"/>
      <c r="AB189" s="20"/>
      <c r="AC189" s="20"/>
      <c r="AD189" s="20"/>
      <c r="AE189" s="20"/>
      <c r="AF189" s="20"/>
      <c r="AG189" s="20"/>
      <c r="AH189" s="20"/>
      <c r="AI189" s="20"/>
      <c r="AJ189" s="20"/>
      <c r="AK189" s="20"/>
      <c r="AL189" s="20"/>
      <c r="AM189" s="20"/>
      <c r="AN189" s="20"/>
      <c r="AO189" s="20"/>
      <c r="AP189" s="20"/>
      <c r="AQ189" s="20"/>
      <c r="AR189" s="20"/>
      <c r="AS189" s="20"/>
      <c r="AT189" s="20"/>
      <c r="AU189" s="20"/>
      <c r="AV189" s="20"/>
      <c r="AW189" s="20"/>
      <c r="AX189" s="20"/>
      <c r="AY189" s="20"/>
      <c r="AZ189" s="20"/>
      <c r="BA189" s="20"/>
      <c r="BB189" s="20"/>
      <c r="BC189" s="20"/>
      <c r="BD189" s="20"/>
      <c r="BE189" s="20"/>
      <c r="BF189" s="20"/>
      <c r="BG189" s="20"/>
      <c r="BH189" s="20"/>
    </row>
    <row r="190" spans="1:60">
      <c r="A190" s="20"/>
      <c r="B190" s="20"/>
      <c r="C190" s="20"/>
      <c r="D190" s="20"/>
      <c r="E190" s="20"/>
      <c r="F190" s="20"/>
      <c r="G190" s="20"/>
      <c r="H190" s="20"/>
      <c r="I190" s="20"/>
      <c r="J190" s="20"/>
      <c r="K190" s="20"/>
      <c r="L190" s="20"/>
      <c r="M190" s="20"/>
      <c r="N190" s="20"/>
      <c r="O190" s="20"/>
      <c r="P190" s="20"/>
      <c r="Q190" s="20"/>
      <c r="R190" s="20"/>
      <c r="S190" s="20"/>
      <c r="T190" s="20"/>
      <c r="U190" s="20"/>
      <c r="V190" s="20"/>
      <c r="W190" s="20"/>
      <c r="X190" s="20"/>
      <c r="Y190" s="20"/>
      <c r="Z190" s="20"/>
      <c r="AA190" s="20"/>
      <c r="AB190" s="20"/>
      <c r="AC190" s="20"/>
      <c r="AD190" s="20"/>
      <c r="AE190" s="20"/>
      <c r="AF190" s="20"/>
      <c r="AG190" s="20"/>
      <c r="AH190" s="20"/>
      <c r="AI190" s="20"/>
      <c r="AJ190" s="20"/>
      <c r="AK190" s="20"/>
      <c r="AL190" s="20"/>
      <c r="AM190" s="20"/>
      <c r="AN190" s="20"/>
      <c r="AO190" s="20"/>
      <c r="AP190" s="20"/>
      <c r="AQ190" s="20"/>
      <c r="AR190" s="20"/>
      <c r="AS190" s="20"/>
      <c r="AT190" s="20"/>
      <c r="AU190" s="20"/>
      <c r="AV190" s="20"/>
      <c r="AW190" s="20"/>
      <c r="AX190" s="20"/>
      <c r="AY190" s="20"/>
      <c r="AZ190" s="20"/>
      <c r="BA190" s="20"/>
      <c r="BB190" s="20"/>
      <c r="BC190" s="20"/>
      <c r="BD190" s="20"/>
      <c r="BE190" s="20"/>
      <c r="BF190" s="20"/>
      <c r="BG190" s="20"/>
      <c r="BH190" s="20"/>
    </row>
    <row r="191" spans="1:60">
      <c r="A191" s="20"/>
      <c r="B191" s="20"/>
      <c r="C191" s="20"/>
      <c r="D191" s="20"/>
      <c r="E191" s="20"/>
      <c r="F191" s="20"/>
      <c r="G191" s="20"/>
      <c r="H191" s="20"/>
      <c r="I191" s="20"/>
      <c r="J191" s="20"/>
      <c r="K191" s="20"/>
      <c r="L191" s="20"/>
      <c r="M191" s="20"/>
      <c r="N191" s="20"/>
      <c r="O191" s="20"/>
      <c r="P191" s="20"/>
      <c r="Q191" s="20"/>
      <c r="R191" s="20"/>
      <c r="S191" s="20"/>
      <c r="T191" s="20"/>
      <c r="U191" s="20"/>
      <c r="V191" s="20"/>
      <c r="W191" s="20"/>
      <c r="X191" s="20"/>
      <c r="Y191" s="20"/>
      <c r="Z191" s="20"/>
      <c r="AA191" s="20"/>
      <c r="AB191" s="20"/>
      <c r="AC191" s="20"/>
      <c r="AD191" s="20"/>
      <c r="AE191" s="20"/>
      <c r="AF191" s="20"/>
      <c r="AG191" s="20"/>
      <c r="AH191" s="20"/>
      <c r="AI191" s="20"/>
      <c r="AJ191" s="20"/>
      <c r="AK191" s="20"/>
      <c r="AL191" s="20"/>
      <c r="AM191" s="20"/>
      <c r="AN191" s="20"/>
      <c r="AO191" s="20"/>
      <c r="AP191" s="20"/>
      <c r="AQ191" s="20"/>
      <c r="AR191" s="20"/>
      <c r="AS191" s="20"/>
      <c r="AT191" s="20"/>
      <c r="AU191" s="20"/>
      <c r="AV191" s="20"/>
      <c r="AW191" s="20"/>
      <c r="AX191" s="20"/>
      <c r="AY191" s="20"/>
      <c r="AZ191" s="20"/>
      <c r="BA191" s="20"/>
      <c r="BB191" s="20"/>
      <c r="BC191" s="20"/>
      <c r="BD191" s="20"/>
      <c r="BE191" s="20"/>
      <c r="BF191" s="20"/>
      <c r="BG191" s="20"/>
      <c r="BH191" s="20"/>
    </row>
    <row r="192" spans="1:60">
      <c r="A192" s="20"/>
      <c r="B192" s="20"/>
      <c r="C192" s="20"/>
      <c r="D192" s="20"/>
      <c r="E192" s="20"/>
      <c r="F192" s="20"/>
      <c r="G192" s="20"/>
      <c r="H192" s="20"/>
      <c r="I192" s="20"/>
      <c r="J192" s="20"/>
      <c r="K192" s="20"/>
      <c r="L192" s="20"/>
      <c r="M192" s="20"/>
      <c r="N192" s="20"/>
      <c r="O192" s="20"/>
      <c r="P192" s="20"/>
      <c r="Q192" s="20"/>
      <c r="R192" s="20"/>
      <c r="S192" s="20"/>
      <c r="T192" s="20"/>
      <c r="U192" s="20"/>
      <c r="V192" s="20"/>
      <c r="W192" s="20"/>
      <c r="X192" s="20"/>
      <c r="Y192" s="20"/>
      <c r="Z192" s="20"/>
      <c r="AA192" s="20"/>
      <c r="AB192" s="20"/>
      <c r="AC192" s="20"/>
      <c r="AD192" s="20"/>
      <c r="AE192" s="20"/>
      <c r="AF192" s="20"/>
      <c r="AG192" s="20"/>
      <c r="AH192" s="20"/>
      <c r="AI192" s="20"/>
      <c r="AJ192" s="20"/>
      <c r="AK192" s="20"/>
      <c r="AL192" s="20"/>
      <c r="AM192" s="20"/>
      <c r="AN192" s="20"/>
      <c r="AO192" s="20"/>
      <c r="AP192" s="20"/>
      <c r="AQ192" s="20"/>
      <c r="AR192" s="20"/>
      <c r="AS192" s="20"/>
      <c r="AT192" s="20"/>
      <c r="AU192" s="20"/>
      <c r="AV192" s="20"/>
      <c r="AW192" s="20"/>
      <c r="AX192" s="20"/>
      <c r="AY192" s="20"/>
      <c r="AZ192" s="20"/>
      <c r="BA192" s="20"/>
      <c r="BB192" s="20"/>
      <c r="BC192" s="20"/>
      <c r="BD192" s="20"/>
      <c r="BE192" s="20"/>
      <c r="BF192" s="20"/>
      <c r="BG192" s="20"/>
      <c r="BH192" s="20"/>
    </row>
    <row r="193" spans="1:60">
      <c r="A193" s="20"/>
      <c r="B193" s="20"/>
      <c r="C193" s="20"/>
      <c r="D193" s="20"/>
      <c r="E193" s="20"/>
      <c r="F193" s="20"/>
      <c r="G193" s="20"/>
      <c r="H193" s="20"/>
      <c r="I193" s="20"/>
      <c r="J193" s="20"/>
      <c r="K193" s="20"/>
      <c r="L193" s="20"/>
      <c r="M193" s="20"/>
      <c r="N193" s="20"/>
      <c r="O193" s="20"/>
      <c r="P193" s="20"/>
      <c r="Q193" s="20"/>
      <c r="R193" s="20"/>
      <c r="S193" s="20"/>
      <c r="T193" s="20"/>
      <c r="U193" s="20"/>
      <c r="V193" s="20"/>
      <c r="W193" s="20"/>
      <c r="X193" s="20"/>
      <c r="Y193" s="20"/>
      <c r="Z193" s="20"/>
      <c r="AA193" s="20"/>
      <c r="AB193" s="20"/>
      <c r="AC193" s="20"/>
      <c r="AD193" s="20"/>
      <c r="AE193" s="20"/>
      <c r="AF193" s="20"/>
      <c r="AG193" s="20"/>
      <c r="AH193" s="20"/>
      <c r="AI193" s="20"/>
      <c r="AJ193" s="20"/>
      <c r="AK193" s="20"/>
      <c r="AL193" s="20"/>
      <c r="AM193" s="20"/>
      <c r="AN193" s="20"/>
      <c r="AO193" s="20"/>
      <c r="AP193" s="20"/>
      <c r="AQ193" s="20"/>
      <c r="AR193" s="20"/>
      <c r="AS193" s="20"/>
      <c r="AT193" s="20"/>
      <c r="AU193" s="20"/>
      <c r="AV193" s="20"/>
      <c r="AW193" s="20"/>
      <c r="AX193" s="20"/>
      <c r="AY193" s="20"/>
      <c r="AZ193" s="20"/>
      <c r="BA193" s="20"/>
      <c r="BB193" s="20"/>
      <c r="BC193" s="20"/>
      <c r="BD193" s="20"/>
      <c r="BE193" s="20"/>
      <c r="BF193" s="20"/>
      <c r="BG193" s="20"/>
      <c r="BH193" s="20"/>
    </row>
    <row r="194" spans="1:60">
      <c r="A194" s="20"/>
      <c r="B194" s="20"/>
      <c r="C194" s="20"/>
      <c r="D194" s="20"/>
      <c r="E194" s="20"/>
      <c r="F194" s="20"/>
      <c r="G194" s="20"/>
      <c r="H194" s="20"/>
      <c r="I194" s="20"/>
      <c r="J194" s="20"/>
      <c r="K194" s="20"/>
      <c r="L194" s="20"/>
      <c r="M194" s="20"/>
      <c r="N194" s="20"/>
      <c r="O194" s="20"/>
      <c r="P194" s="20"/>
      <c r="Q194" s="20"/>
      <c r="R194" s="20"/>
      <c r="S194" s="20"/>
      <c r="T194" s="20"/>
      <c r="U194" s="20"/>
      <c r="V194" s="20"/>
      <c r="W194" s="20"/>
      <c r="X194" s="20"/>
      <c r="Y194" s="20"/>
      <c r="Z194" s="20"/>
      <c r="AA194" s="20"/>
      <c r="AB194" s="20"/>
      <c r="AC194" s="20"/>
      <c r="AD194" s="20"/>
      <c r="AE194" s="20"/>
      <c r="AF194" s="20"/>
      <c r="AG194" s="20"/>
      <c r="AH194" s="20"/>
      <c r="AI194" s="20"/>
      <c r="AJ194" s="20"/>
      <c r="AK194" s="20"/>
      <c r="AL194" s="20"/>
      <c r="AM194" s="20"/>
      <c r="AN194" s="20"/>
      <c r="AO194" s="20"/>
      <c r="AP194" s="20"/>
      <c r="AQ194" s="20"/>
      <c r="AR194" s="20"/>
      <c r="AS194" s="20"/>
      <c r="AT194" s="20"/>
      <c r="AU194" s="20"/>
      <c r="AV194" s="20"/>
      <c r="AW194" s="20"/>
      <c r="AX194" s="20"/>
      <c r="AY194" s="20"/>
      <c r="AZ194" s="20"/>
      <c r="BA194" s="20"/>
      <c r="BB194" s="20"/>
      <c r="BC194" s="20"/>
      <c r="BD194" s="20"/>
      <c r="BE194" s="20"/>
      <c r="BF194" s="20"/>
      <c r="BG194" s="20"/>
      <c r="BH194" s="20"/>
    </row>
    <row r="195" spans="1:60">
      <c r="A195" s="20"/>
      <c r="B195" s="20"/>
      <c r="C195" s="20"/>
      <c r="D195" s="20"/>
      <c r="E195" s="20"/>
      <c r="F195" s="20"/>
      <c r="G195" s="20"/>
      <c r="H195" s="20"/>
      <c r="I195" s="20"/>
      <c r="J195" s="20"/>
      <c r="K195" s="20"/>
      <c r="L195" s="20"/>
      <c r="M195" s="20"/>
      <c r="N195" s="20"/>
      <c r="O195" s="20"/>
      <c r="P195" s="20"/>
      <c r="Q195" s="20"/>
      <c r="R195" s="20"/>
      <c r="S195" s="20"/>
      <c r="T195" s="20"/>
      <c r="U195" s="20"/>
      <c r="V195" s="20"/>
      <c r="W195" s="20"/>
      <c r="X195" s="20"/>
      <c r="Y195" s="20"/>
      <c r="Z195" s="20"/>
      <c r="AA195" s="20"/>
      <c r="AB195" s="20"/>
      <c r="AC195" s="20"/>
      <c r="AD195" s="20"/>
      <c r="AE195" s="20"/>
      <c r="AF195" s="20"/>
      <c r="AG195" s="20"/>
      <c r="AH195" s="20"/>
      <c r="AI195" s="20"/>
      <c r="AJ195" s="20"/>
      <c r="AK195" s="20"/>
      <c r="AL195" s="20"/>
      <c r="AM195" s="20"/>
      <c r="AN195" s="20"/>
      <c r="AO195" s="20"/>
      <c r="AP195" s="20"/>
      <c r="AQ195" s="20"/>
      <c r="AR195" s="20"/>
      <c r="AS195" s="20"/>
      <c r="AT195" s="20"/>
      <c r="AU195" s="20"/>
      <c r="AV195" s="20"/>
      <c r="AW195" s="20"/>
      <c r="AX195" s="20"/>
      <c r="AY195" s="20"/>
      <c r="AZ195" s="20"/>
      <c r="BA195" s="20"/>
      <c r="BB195" s="20"/>
      <c r="BC195" s="20"/>
      <c r="BD195" s="20"/>
      <c r="BE195" s="20"/>
      <c r="BF195" s="20"/>
      <c r="BG195" s="20"/>
      <c r="BH195" s="20"/>
    </row>
    <row r="196" spans="1:60">
      <c r="A196" s="20"/>
      <c r="B196" s="20"/>
      <c r="C196" s="20"/>
      <c r="D196" s="20"/>
      <c r="E196" s="20"/>
      <c r="F196" s="20"/>
      <c r="G196" s="20"/>
      <c r="H196" s="20"/>
      <c r="I196" s="20"/>
      <c r="J196" s="20"/>
      <c r="K196" s="20"/>
      <c r="L196" s="20"/>
      <c r="M196" s="20"/>
      <c r="N196" s="20"/>
      <c r="O196" s="20"/>
      <c r="P196" s="20"/>
      <c r="Q196" s="20"/>
      <c r="R196" s="20"/>
      <c r="S196" s="20"/>
      <c r="T196" s="20"/>
      <c r="U196" s="20"/>
      <c r="V196" s="20"/>
      <c r="W196" s="20"/>
      <c r="X196" s="20"/>
      <c r="Y196" s="20"/>
      <c r="Z196" s="20"/>
      <c r="AA196" s="20"/>
      <c r="AB196" s="20"/>
      <c r="AC196" s="20"/>
      <c r="AD196" s="20"/>
      <c r="AE196" s="20"/>
      <c r="AF196" s="20"/>
      <c r="AG196" s="20"/>
      <c r="AH196" s="20"/>
      <c r="AI196" s="20"/>
      <c r="AJ196" s="20"/>
      <c r="AK196" s="20"/>
      <c r="AL196" s="20"/>
      <c r="AM196" s="20"/>
      <c r="AN196" s="20"/>
      <c r="AO196" s="20"/>
      <c r="AP196" s="20"/>
      <c r="AQ196" s="20"/>
      <c r="AR196" s="20"/>
      <c r="AS196" s="20"/>
      <c r="AT196" s="20"/>
      <c r="AU196" s="20"/>
      <c r="AV196" s="20"/>
      <c r="AW196" s="20"/>
      <c r="AX196" s="20"/>
      <c r="AY196" s="20"/>
      <c r="AZ196" s="20"/>
      <c r="BA196" s="20"/>
      <c r="BB196" s="20"/>
      <c r="BC196" s="20"/>
      <c r="BD196" s="20"/>
      <c r="BE196" s="20"/>
      <c r="BF196" s="20"/>
      <c r="BG196" s="20"/>
      <c r="BH196" s="20"/>
    </row>
    <row r="197" spans="1:60">
      <c r="A197" s="20"/>
      <c r="B197" s="20"/>
      <c r="C197" s="20"/>
      <c r="D197" s="20"/>
      <c r="E197" s="20"/>
      <c r="F197" s="20"/>
      <c r="G197" s="20"/>
      <c r="H197" s="20"/>
      <c r="I197" s="20"/>
      <c r="J197" s="20"/>
      <c r="K197" s="20"/>
      <c r="L197" s="20"/>
      <c r="M197" s="20"/>
      <c r="N197" s="20"/>
      <c r="O197" s="20"/>
      <c r="P197" s="20"/>
      <c r="Q197" s="20"/>
      <c r="R197" s="20"/>
      <c r="S197" s="20"/>
      <c r="T197" s="20"/>
      <c r="U197" s="20"/>
      <c r="V197" s="20"/>
      <c r="W197" s="20"/>
      <c r="X197" s="20"/>
      <c r="Y197" s="20"/>
      <c r="Z197" s="20"/>
      <c r="AA197" s="20"/>
      <c r="AB197" s="20"/>
      <c r="AC197" s="20"/>
      <c r="AD197" s="20"/>
      <c r="AE197" s="20"/>
      <c r="AF197" s="20"/>
      <c r="AG197" s="20"/>
      <c r="AH197" s="20"/>
      <c r="AI197" s="20"/>
      <c r="AJ197" s="20"/>
      <c r="AK197" s="20"/>
      <c r="AL197" s="20"/>
      <c r="AM197" s="20"/>
      <c r="AN197" s="20"/>
      <c r="AO197" s="20"/>
      <c r="AP197" s="20"/>
      <c r="AQ197" s="20"/>
      <c r="AR197" s="20"/>
      <c r="AS197" s="20"/>
      <c r="AT197" s="20"/>
      <c r="AU197" s="20"/>
      <c r="AV197" s="20"/>
      <c r="AW197" s="20"/>
      <c r="AX197" s="20"/>
      <c r="AY197" s="20"/>
      <c r="AZ197" s="20"/>
      <c r="BA197" s="20"/>
      <c r="BB197" s="20"/>
      <c r="BC197" s="20"/>
      <c r="BD197" s="20"/>
      <c r="BE197" s="20"/>
      <c r="BF197" s="20"/>
      <c r="BG197" s="20"/>
      <c r="BH197" s="20"/>
    </row>
    <row r="198" spans="1:60">
      <c r="A198" s="20"/>
      <c r="B198" s="20"/>
      <c r="C198" s="20"/>
      <c r="D198" s="20"/>
      <c r="E198" s="20"/>
      <c r="F198" s="20"/>
      <c r="G198" s="20"/>
      <c r="H198" s="20"/>
      <c r="I198" s="20"/>
      <c r="J198" s="20"/>
      <c r="K198" s="20"/>
      <c r="L198" s="20"/>
      <c r="M198" s="20"/>
      <c r="N198" s="20"/>
      <c r="O198" s="20"/>
      <c r="P198" s="20"/>
      <c r="Q198" s="20"/>
      <c r="R198" s="20"/>
      <c r="S198" s="20"/>
      <c r="T198" s="20"/>
      <c r="U198" s="20"/>
      <c r="V198" s="20"/>
      <c r="W198" s="20"/>
      <c r="X198" s="20"/>
      <c r="Y198" s="20"/>
      <c r="Z198" s="20"/>
      <c r="AA198" s="20"/>
      <c r="AB198" s="20"/>
      <c r="AC198" s="20"/>
      <c r="AD198" s="20"/>
      <c r="AE198" s="20"/>
      <c r="AF198" s="20"/>
      <c r="AG198" s="20"/>
      <c r="AH198" s="20"/>
      <c r="AI198" s="20"/>
      <c r="AJ198" s="20"/>
      <c r="AK198" s="20"/>
      <c r="AL198" s="20"/>
      <c r="AM198" s="20"/>
      <c r="AN198" s="20"/>
      <c r="AO198" s="20"/>
      <c r="AP198" s="20"/>
      <c r="AQ198" s="20"/>
      <c r="AR198" s="20"/>
      <c r="AS198" s="20"/>
      <c r="AT198" s="20"/>
      <c r="AU198" s="20"/>
      <c r="AV198" s="20"/>
      <c r="AW198" s="20"/>
      <c r="AX198" s="20"/>
      <c r="AY198" s="20"/>
      <c r="AZ198" s="20"/>
      <c r="BA198" s="20"/>
      <c r="BB198" s="20"/>
      <c r="BC198" s="20"/>
      <c r="BD198" s="20"/>
      <c r="BE198" s="20"/>
      <c r="BF198" s="20"/>
      <c r="BG198" s="20"/>
      <c r="BH198" s="20"/>
    </row>
    <row r="199" spans="1:60">
      <c r="A199" s="20"/>
      <c r="B199" s="20"/>
      <c r="C199" s="20"/>
      <c r="D199" s="20"/>
      <c r="E199" s="20"/>
      <c r="F199" s="20"/>
      <c r="G199" s="20"/>
      <c r="H199" s="20"/>
      <c r="I199" s="20"/>
      <c r="J199" s="20"/>
      <c r="K199" s="20"/>
      <c r="L199" s="20"/>
      <c r="M199" s="20"/>
      <c r="N199" s="20"/>
      <c r="O199" s="20"/>
      <c r="P199" s="20"/>
      <c r="Q199" s="20"/>
      <c r="R199" s="20"/>
      <c r="S199" s="20"/>
      <c r="T199" s="20"/>
      <c r="U199" s="20"/>
      <c r="V199" s="20"/>
      <c r="W199" s="20"/>
      <c r="X199" s="20"/>
      <c r="Y199" s="20"/>
      <c r="Z199" s="20"/>
      <c r="AA199" s="20"/>
      <c r="AB199" s="20"/>
      <c r="AC199" s="20"/>
      <c r="AD199" s="20"/>
      <c r="AE199" s="20"/>
      <c r="AF199" s="20"/>
      <c r="AG199" s="20"/>
      <c r="AH199" s="20"/>
      <c r="AI199" s="20"/>
      <c r="AJ199" s="20"/>
      <c r="AK199" s="20"/>
      <c r="AL199" s="20"/>
      <c r="AM199" s="20"/>
      <c r="AN199" s="20"/>
      <c r="AO199" s="20"/>
      <c r="AP199" s="20"/>
      <c r="AQ199" s="20"/>
      <c r="AR199" s="20"/>
      <c r="AS199" s="20"/>
      <c r="AT199" s="20"/>
      <c r="AU199" s="20"/>
      <c r="AV199" s="20"/>
      <c r="AW199" s="20"/>
      <c r="AX199" s="20"/>
      <c r="AY199" s="20"/>
      <c r="AZ199" s="20"/>
      <c r="BA199" s="20"/>
      <c r="BB199" s="20"/>
      <c r="BC199" s="20"/>
      <c r="BD199" s="20"/>
      <c r="BE199" s="20"/>
      <c r="BF199" s="20"/>
      <c r="BG199" s="20"/>
      <c r="BH199" s="20"/>
    </row>
    <row r="200" spans="1:60">
      <c r="A200" s="20"/>
      <c r="B200" s="20"/>
      <c r="C200" s="20"/>
      <c r="D200" s="20"/>
      <c r="E200" s="20"/>
      <c r="F200" s="20"/>
      <c r="G200" s="20"/>
      <c r="H200" s="20"/>
      <c r="I200" s="20"/>
      <c r="J200" s="20"/>
      <c r="K200" s="20"/>
      <c r="L200" s="20"/>
      <c r="M200" s="20"/>
      <c r="N200" s="20"/>
      <c r="O200" s="20"/>
      <c r="P200" s="20"/>
      <c r="Q200" s="20"/>
      <c r="R200" s="20"/>
      <c r="S200" s="20"/>
      <c r="T200" s="20"/>
      <c r="U200" s="20"/>
      <c r="V200" s="20"/>
      <c r="W200" s="20"/>
      <c r="X200" s="20"/>
      <c r="Y200" s="20"/>
      <c r="Z200" s="20"/>
      <c r="AA200" s="20"/>
      <c r="AB200" s="20"/>
      <c r="AC200" s="20"/>
      <c r="AD200" s="20"/>
      <c r="AE200" s="20"/>
      <c r="AF200" s="20"/>
      <c r="AG200" s="20"/>
      <c r="AH200" s="20"/>
      <c r="AI200" s="20"/>
      <c r="AJ200" s="20"/>
      <c r="AK200" s="20"/>
      <c r="AL200" s="20"/>
      <c r="AM200" s="20"/>
      <c r="AN200" s="20"/>
      <c r="AO200" s="20"/>
      <c r="AP200" s="20"/>
      <c r="AQ200" s="20"/>
      <c r="AR200" s="20"/>
      <c r="AS200" s="20"/>
      <c r="AT200" s="20"/>
      <c r="AU200" s="20"/>
      <c r="AV200" s="20"/>
      <c r="AW200" s="20"/>
      <c r="AX200" s="20"/>
      <c r="AY200" s="20"/>
      <c r="AZ200" s="20"/>
      <c r="BA200" s="20"/>
      <c r="BB200" s="20"/>
      <c r="BC200" s="20"/>
      <c r="BD200" s="20"/>
      <c r="BE200" s="20"/>
      <c r="BF200" s="20"/>
      <c r="BG200" s="20"/>
      <c r="BH200" s="20"/>
    </row>
    <row r="201" spans="1:60">
      <c r="A201" s="20"/>
      <c r="B201" s="20"/>
      <c r="C201" s="20"/>
      <c r="D201" s="20"/>
      <c r="E201" s="20"/>
      <c r="F201" s="20"/>
      <c r="G201" s="20"/>
      <c r="H201" s="20"/>
      <c r="I201" s="20"/>
      <c r="J201" s="20"/>
      <c r="K201" s="20"/>
      <c r="L201" s="20"/>
      <c r="M201" s="20"/>
      <c r="N201" s="20"/>
      <c r="O201" s="20"/>
      <c r="P201" s="20"/>
      <c r="Q201" s="20"/>
      <c r="R201" s="20"/>
      <c r="S201" s="20"/>
      <c r="T201" s="20"/>
      <c r="U201" s="20"/>
      <c r="V201" s="20"/>
      <c r="W201" s="20"/>
      <c r="X201" s="20"/>
      <c r="Y201" s="20"/>
      <c r="Z201" s="20"/>
      <c r="AA201" s="20"/>
      <c r="AB201" s="20"/>
      <c r="AC201" s="20"/>
      <c r="AD201" s="20"/>
      <c r="AE201" s="20"/>
      <c r="AF201" s="20"/>
      <c r="AG201" s="20"/>
      <c r="AH201" s="20"/>
      <c r="AI201" s="20"/>
      <c r="AJ201" s="20"/>
      <c r="AK201" s="20"/>
      <c r="AL201" s="20"/>
      <c r="AM201" s="20"/>
      <c r="AN201" s="20"/>
      <c r="AO201" s="20"/>
      <c r="AP201" s="20"/>
      <c r="AQ201" s="20"/>
      <c r="AR201" s="20"/>
      <c r="AS201" s="20"/>
      <c r="AT201" s="20"/>
      <c r="AU201" s="20"/>
      <c r="AV201" s="20"/>
      <c r="AW201" s="20"/>
      <c r="AX201" s="20"/>
      <c r="AY201" s="20"/>
      <c r="AZ201" s="20"/>
      <c r="BA201" s="20"/>
      <c r="BB201" s="20"/>
      <c r="BC201" s="20"/>
      <c r="BD201" s="20"/>
      <c r="BE201" s="20"/>
      <c r="BF201" s="20"/>
      <c r="BG201" s="20"/>
      <c r="BH201" s="20"/>
    </row>
    <row r="202" spans="1:60">
      <c r="A202" s="20"/>
      <c r="B202" s="20"/>
      <c r="C202" s="20"/>
      <c r="D202" s="20"/>
      <c r="E202" s="20"/>
      <c r="F202" s="20"/>
      <c r="G202" s="20"/>
      <c r="H202" s="20"/>
      <c r="I202" s="20"/>
      <c r="J202" s="20"/>
      <c r="K202" s="20"/>
      <c r="L202" s="20"/>
      <c r="M202" s="20"/>
      <c r="N202" s="20"/>
      <c r="O202" s="20"/>
      <c r="P202" s="20"/>
      <c r="Q202" s="20"/>
      <c r="R202" s="20"/>
      <c r="S202" s="20"/>
      <c r="T202" s="20"/>
      <c r="U202" s="20"/>
      <c r="V202" s="20"/>
      <c r="W202" s="20"/>
      <c r="X202" s="20"/>
      <c r="Y202" s="20"/>
      <c r="Z202" s="20"/>
      <c r="AA202" s="20"/>
      <c r="AB202" s="20"/>
      <c r="AC202" s="20"/>
      <c r="AD202" s="20"/>
      <c r="AE202" s="20"/>
      <c r="AF202" s="20"/>
      <c r="AG202" s="20"/>
      <c r="AH202" s="20"/>
      <c r="AI202" s="20"/>
      <c r="AJ202" s="20"/>
      <c r="AK202" s="20"/>
      <c r="AL202" s="20"/>
      <c r="AM202" s="20"/>
      <c r="AN202" s="20"/>
      <c r="AO202" s="20"/>
      <c r="AP202" s="20"/>
      <c r="AQ202" s="20"/>
      <c r="AR202" s="20"/>
      <c r="AS202" s="20"/>
      <c r="AT202" s="20"/>
      <c r="AU202" s="20"/>
      <c r="AV202" s="20"/>
      <c r="AW202" s="20"/>
      <c r="AX202" s="20"/>
      <c r="AY202" s="20"/>
      <c r="AZ202" s="20"/>
      <c r="BA202" s="20"/>
      <c r="BB202" s="20"/>
      <c r="BC202" s="20"/>
      <c r="BD202" s="20"/>
      <c r="BE202" s="20"/>
      <c r="BF202" s="20"/>
      <c r="BG202" s="20"/>
      <c r="BH202" s="20"/>
    </row>
    <row r="203" spans="1:60">
      <c r="A203" s="20"/>
      <c r="B203" s="20"/>
      <c r="C203" s="20"/>
      <c r="D203" s="20"/>
      <c r="E203" s="20"/>
      <c r="F203" s="20"/>
      <c r="G203" s="20"/>
      <c r="H203" s="20"/>
      <c r="I203" s="20"/>
      <c r="J203" s="20"/>
      <c r="K203" s="20"/>
      <c r="L203" s="20"/>
      <c r="M203" s="20"/>
      <c r="N203" s="20"/>
      <c r="O203" s="20"/>
      <c r="P203" s="20"/>
      <c r="Q203" s="20"/>
      <c r="R203" s="20"/>
      <c r="S203" s="20"/>
      <c r="T203" s="20"/>
      <c r="U203" s="20"/>
      <c r="V203" s="20"/>
      <c r="W203" s="20"/>
      <c r="X203" s="20"/>
      <c r="Y203" s="20"/>
      <c r="Z203" s="20"/>
      <c r="AS203" s="20"/>
      <c r="AT203" s="20"/>
      <c r="AU203" s="20"/>
      <c r="AV203" s="20"/>
      <c r="AW203" s="20"/>
      <c r="AX203" s="20"/>
      <c r="AY203" s="20"/>
      <c r="AZ203" s="20"/>
      <c r="BA203" s="20"/>
      <c r="BB203" s="20"/>
      <c r="BC203" s="20"/>
      <c r="BD203" s="20"/>
      <c r="BE203" s="20"/>
      <c r="BF203" s="20"/>
      <c r="BG203" s="20"/>
      <c r="BH203" s="20"/>
    </row>
    <row r="204" spans="1:60">
      <c r="A204" s="20"/>
      <c r="B204" s="20"/>
      <c r="C204" s="20"/>
      <c r="D204" s="20"/>
      <c r="E204" s="20"/>
      <c r="F204" s="20"/>
      <c r="G204" s="20"/>
      <c r="H204" s="20"/>
      <c r="I204" s="20"/>
      <c r="J204" s="20"/>
      <c r="K204" s="20"/>
      <c r="L204" s="20"/>
      <c r="M204" s="20"/>
      <c r="N204" s="20"/>
      <c r="O204" s="20"/>
      <c r="P204" s="20"/>
      <c r="Q204" s="20"/>
      <c r="R204" s="20"/>
      <c r="S204" s="20"/>
      <c r="T204" s="20"/>
      <c r="U204" s="20"/>
      <c r="V204" s="20"/>
      <c r="W204" s="20"/>
      <c r="X204" s="20"/>
      <c r="Y204" s="20"/>
      <c r="Z204" s="20"/>
      <c r="AS204" s="20"/>
      <c r="AT204" s="20"/>
      <c r="AU204" s="20"/>
      <c r="AV204" s="20"/>
      <c r="AW204" s="20"/>
      <c r="AX204" s="20"/>
      <c r="AY204" s="20"/>
      <c r="AZ204" s="20"/>
      <c r="BA204" s="20"/>
      <c r="BB204" s="20"/>
      <c r="BC204" s="20"/>
      <c r="BD204" s="20"/>
      <c r="BE204" s="20"/>
      <c r="BF204" s="20"/>
      <c r="BG204" s="20"/>
      <c r="BH204" s="20"/>
    </row>
    <row r="205" spans="1:60">
      <c r="A205" s="20"/>
      <c r="B205" s="20"/>
      <c r="C205" s="20"/>
      <c r="D205" s="20"/>
      <c r="E205" s="20"/>
      <c r="F205" s="20"/>
      <c r="G205" s="20"/>
      <c r="H205" s="20"/>
      <c r="I205" s="20"/>
      <c r="J205" s="20"/>
      <c r="K205" s="20"/>
      <c r="L205" s="20"/>
      <c r="M205" s="20"/>
      <c r="N205" s="20"/>
      <c r="O205" s="20"/>
      <c r="P205" s="20"/>
      <c r="Q205" s="20"/>
      <c r="R205" s="20"/>
      <c r="S205" s="20"/>
      <c r="T205" s="20"/>
      <c r="U205" s="20"/>
      <c r="V205" s="20"/>
      <c r="W205" s="20"/>
      <c r="X205" s="20"/>
      <c r="Y205" s="20"/>
      <c r="Z205" s="20"/>
      <c r="AS205" s="20"/>
      <c r="AT205" s="20"/>
      <c r="AU205" s="20"/>
      <c r="AV205" s="20"/>
      <c r="AW205" s="20"/>
      <c r="AX205" s="20"/>
      <c r="AY205" s="20"/>
      <c r="AZ205" s="20"/>
      <c r="BA205" s="20"/>
      <c r="BB205" s="20"/>
      <c r="BC205" s="20"/>
      <c r="BD205" s="20"/>
      <c r="BE205" s="20"/>
      <c r="BF205" s="20"/>
      <c r="BG205" s="20"/>
      <c r="BH205" s="20"/>
    </row>
    <row r="206" spans="1:60">
      <c r="A206" s="20"/>
      <c r="B206" s="20"/>
      <c r="C206" s="20"/>
      <c r="D206" s="20"/>
      <c r="E206" s="20"/>
      <c r="F206" s="20"/>
      <c r="G206" s="20"/>
      <c r="H206" s="20"/>
      <c r="I206" s="20"/>
      <c r="J206" s="20"/>
      <c r="K206" s="20"/>
      <c r="L206" s="20"/>
      <c r="M206" s="20"/>
      <c r="N206" s="20"/>
      <c r="O206" s="20"/>
      <c r="P206" s="20"/>
      <c r="Q206" s="20"/>
      <c r="R206" s="20"/>
      <c r="S206" s="20"/>
      <c r="T206" s="20"/>
      <c r="U206" s="20"/>
      <c r="V206" s="20"/>
      <c r="W206" s="20"/>
      <c r="X206" s="20"/>
      <c r="Y206" s="20"/>
      <c r="Z206" s="20"/>
      <c r="AS206" s="20"/>
      <c r="AT206" s="20"/>
      <c r="AU206" s="20"/>
      <c r="AV206" s="20"/>
      <c r="AW206" s="20"/>
      <c r="AX206" s="20"/>
      <c r="AY206" s="20"/>
      <c r="AZ206" s="20"/>
      <c r="BA206" s="20"/>
      <c r="BB206" s="20"/>
      <c r="BC206" s="20"/>
      <c r="BD206" s="20"/>
      <c r="BE206" s="20"/>
      <c r="BF206" s="20"/>
      <c r="BG206" s="20"/>
      <c r="BH206" s="20"/>
    </row>
    <row r="207" spans="1:60">
      <c r="A207" s="20"/>
      <c r="B207" s="20"/>
      <c r="C207" s="20"/>
      <c r="D207" s="20"/>
      <c r="E207" s="20"/>
      <c r="F207" s="20"/>
      <c r="G207" s="20"/>
      <c r="H207" s="20"/>
      <c r="I207" s="20"/>
      <c r="J207" s="20"/>
      <c r="K207" s="20"/>
      <c r="L207" s="20"/>
      <c r="M207" s="20"/>
      <c r="N207" s="20"/>
      <c r="O207" s="20"/>
      <c r="P207" s="20"/>
      <c r="Q207" s="20"/>
      <c r="R207" s="20"/>
      <c r="S207" s="20"/>
      <c r="T207" s="20"/>
      <c r="U207" s="20"/>
      <c r="V207" s="20"/>
      <c r="W207" s="20"/>
      <c r="X207" s="20"/>
      <c r="Y207" s="20"/>
      <c r="Z207" s="20"/>
      <c r="AS207" s="20"/>
      <c r="AT207" s="20"/>
      <c r="AU207" s="20"/>
      <c r="AV207" s="20"/>
      <c r="AW207" s="20"/>
      <c r="AX207" s="20"/>
      <c r="AY207" s="20"/>
      <c r="AZ207" s="20"/>
      <c r="BA207" s="20"/>
      <c r="BB207" s="20"/>
      <c r="BC207" s="20"/>
      <c r="BD207" s="20"/>
      <c r="BE207" s="20"/>
      <c r="BF207" s="20"/>
      <c r="BG207" s="20"/>
      <c r="BH207" s="20"/>
    </row>
    <row r="208" spans="1:60">
      <c r="A208" s="20"/>
      <c r="B208" s="20"/>
      <c r="C208" s="20"/>
      <c r="D208" s="20"/>
      <c r="E208" s="20"/>
      <c r="F208" s="20"/>
      <c r="G208" s="20"/>
      <c r="H208" s="20"/>
      <c r="I208" s="20"/>
      <c r="J208" s="20"/>
      <c r="K208" s="20"/>
      <c r="L208" s="20"/>
      <c r="M208" s="20"/>
      <c r="N208" s="20"/>
      <c r="O208" s="20"/>
      <c r="P208" s="20"/>
      <c r="Q208" s="20"/>
      <c r="R208" s="20"/>
      <c r="S208" s="20"/>
      <c r="T208" s="20"/>
      <c r="U208" s="20"/>
      <c r="V208" s="20"/>
      <c r="W208" s="20"/>
      <c r="X208" s="20"/>
      <c r="Y208" s="20"/>
      <c r="Z208" s="20"/>
      <c r="AS208" s="20"/>
      <c r="AT208" s="20"/>
      <c r="AU208" s="20"/>
      <c r="AV208" s="20"/>
      <c r="AW208" s="20"/>
      <c r="AX208" s="20"/>
      <c r="AY208" s="20"/>
      <c r="AZ208" s="20"/>
      <c r="BA208" s="20"/>
      <c r="BB208" s="20"/>
      <c r="BC208" s="20"/>
      <c r="BD208" s="20"/>
      <c r="BE208" s="20"/>
      <c r="BF208" s="20"/>
      <c r="BG208" s="20"/>
      <c r="BH208" s="20"/>
    </row>
    <row r="209" spans="1:60">
      <c r="A209" s="20"/>
      <c r="B209" s="20"/>
      <c r="C209" s="20"/>
      <c r="D209" s="20"/>
      <c r="E209" s="20"/>
      <c r="F209" s="20"/>
      <c r="G209" s="20"/>
      <c r="H209" s="20"/>
      <c r="I209" s="20"/>
      <c r="J209" s="20"/>
      <c r="K209" s="20"/>
      <c r="L209" s="20"/>
      <c r="M209" s="20"/>
      <c r="N209" s="20"/>
      <c r="O209" s="20"/>
      <c r="P209" s="20"/>
      <c r="Q209" s="20"/>
      <c r="R209" s="20"/>
      <c r="S209" s="20"/>
      <c r="T209" s="20"/>
      <c r="U209" s="20"/>
      <c r="V209" s="20"/>
      <c r="W209" s="20"/>
      <c r="X209" s="20"/>
      <c r="Y209" s="20"/>
      <c r="Z209" s="20"/>
      <c r="AS209" s="20"/>
      <c r="AT209" s="20"/>
      <c r="AU209" s="20"/>
      <c r="AV209" s="20"/>
      <c r="AW209" s="20"/>
      <c r="AX209" s="20"/>
      <c r="AY209" s="20"/>
      <c r="AZ209" s="20"/>
      <c r="BA209" s="20"/>
      <c r="BB209" s="20"/>
      <c r="BC209" s="20"/>
      <c r="BD209" s="20"/>
      <c r="BE209" s="20"/>
      <c r="BF209" s="20"/>
      <c r="BG209" s="20"/>
      <c r="BH209" s="20"/>
    </row>
    <row r="210" spans="1:60">
      <c r="A210" s="20"/>
      <c r="B210" s="20"/>
      <c r="C210" s="20"/>
      <c r="D210" s="20"/>
      <c r="E210" s="20"/>
      <c r="F210" s="20"/>
      <c r="G210" s="20"/>
      <c r="H210" s="20"/>
      <c r="I210" s="20"/>
      <c r="J210" s="20"/>
      <c r="K210" s="20"/>
      <c r="L210" s="20"/>
      <c r="M210" s="20"/>
      <c r="N210" s="20"/>
      <c r="O210" s="20"/>
      <c r="P210" s="20"/>
      <c r="Q210" s="20"/>
      <c r="R210" s="20"/>
      <c r="S210" s="20"/>
      <c r="T210" s="20"/>
      <c r="U210" s="20"/>
      <c r="V210" s="20"/>
      <c r="W210" s="20"/>
      <c r="X210" s="20"/>
      <c r="Y210" s="20"/>
      <c r="Z210" s="20"/>
      <c r="AS210" s="20"/>
      <c r="AT210" s="20"/>
      <c r="AU210" s="20"/>
      <c r="AV210" s="20"/>
      <c r="AW210" s="20"/>
      <c r="AX210" s="20"/>
      <c r="AY210" s="20"/>
      <c r="AZ210" s="20"/>
      <c r="BA210" s="20"/>
      <c r="BB210" s="20"/>
      <c r="BC210" s="20"/>
      <c r="BD210" s="20"/>
      <c r="BE210" s="20"/>
      <c r="BF210" s="20"/>
      <c r="BG210" s="20"/>
      <c r="BH210" s="20"/>
    </row>
    <row r="211" spans="1:60">
      <c r="A211" s="20"/>
      <c r="B211" s="20"/>
      <c r="C211" s="20"/>
      <c r="D211" s="20"/>
      <c r="E211" s="20"/>
      <c r="F211" s="20"/>
      <c r="G211" s="20"/>
      <c r="H211" s="20"/>
      <c r="I211" s="20"/>
      <c r="J211" s="20"/>
      <c r="K211" s="20"/>
      <c r="L211" s="20"/>
      <c r="M211" s="20"/>
      <c r="N211" s="20"/>
      <c r="O211" s="20"/>
      <c r="P211" s="20"/>
      <c r="Q211" s="20"/>
      <c r="R211" s="20"/>
      <c r="S211" s="20"/>
      <c r="T211" s="20"/>
      <c r="U211" s="20"/>
      <c r="V211" s="20"/>
      <c r="W211" s="20"/>
      <c r="X211" s="20"/>
      <c r="Y211" s="20"/>
      <c r="Z211" s="20"/>
      <c r="AS211" s="20"/>
      <c r="AT211" s="20"/>
      <c r="AU211" s="20"/>
      <c r="AV211" s="20"/>
      <c r="AW211" s="20"/>
      <c r="AX211" s="20"/>
      <c r="AY211" s="20"/>
      <c r="AZ211" s="20"/>
      <c r="BA211" s="20"/>
      <c r="BB211" s="20"/>
      <c r="BC211" s="20"/>
      <c r="BD211" s="20"/>
      <c r="BE211" s="20"/>
      <c r="BF211" s="20"/>
      <c r="BG211" s="20"/>
      <c r="BH211" s="20"/>
    </row>
    <row r="212" spans="1:60">
      <c r="A212" s="20"/>
      <c r="B212" s="20"/>
      <c r="C212" s="20"/>
      <c r="D212" s="20"/>
      <c r="E212" s="20"/>
      <c r="F212" s="20"/>
      <c r="G212" s="20"/>
      <c r="H212" s="20"/>
      <c r="I212" s="20"/>
      <c r="J212" s="20"/>
      <c r="K212" s="20"/>
      <c r="L212" s="20"/>
      <c r="M212" s="20"/>
      <c r="N212" s="20"/>
      <c r="O212" s="20"/>
      <c r="P212" s="20"/>
      <c r="Q212" s="20"/>
      <c r="R212" s="20"/>
      <c r="S212" s="20"/>
      <c r="T212" s="20"/>
      <c r="U212" s="20"/>
      <c r="V212" s="20"/>
      <c r="W212" s="20"/>
      <c r="X212" s="20"/>
      <c r="Y212" s="20"/>
      <c r="Z212" s="20"/>
      <c r="AS212" s="20"/>
      <c r="AT212" s="20"/>
      <c r="AU212" s="20"/>
      <c r="AV212" s="20"/>
      <c r="AW212" s="20"/>
      <c r="AX212" s="20"/>
      <c r="AY212" s="20"/>
      <c r="AZ212" s="20"/>
      <c r="BA212" s="20"/>
      <c r="BB212" s="20"/>
      <c r="BC212" s="20"/>
      <c r="BD212" s="20"/>
      <c r="BE212" s="20"/>
      <c r="BF212" s="20"/>
      <c r="BG212" s="20"/>
      <c r="BH212" s="20"/>
    </row>
    <row r="213" spans="1:60">
      <c r="A213" s="20"/>
      <c r="B213" s="20"/>
      <c r="C213" s="20"/>
      <c r="D213" s="20"/>
      <c r="E213" s="20"/>
      <c r="F213" s="20"/>
      <c r="G213" s="20"/>
      <c r="H213" s="20"/>
      <c r="I213" s="20"/>
      <c r="J213" s="20"/>
      <c r="K213" s="20"/>
      <c r="L213" s="20"/>
      <c r="M213" s="20"/>
      <c r="N213" s="20"/>
      <c r="O213" s="20"/>
      <c r="P213" s="20"/>
      <c r="Q213" s="20"/>
      <c r="R213" s="20"/>
      <c r="S213" s="20"/>
      <c r="T213" s="20"/>
      <c r="U213" s="20"/>
      <c r="V213" s="20"/>
      <c r="W213" s="20"/>
      <c r="X213" s="20"/>
      <c r="Y213" s="20"/>
      <c r="Z213" s="20"/>
      <c r="AS213" s="20"/>
      <c r="AT213" s="20"/>
      <c r="AU213" s="20"/>
      <c r="AV213" s="20"/>
      <c r="AW213" s="20"/>
      <c r="AX213" s="20"/>
      <c r="AY213" s="20"/>
      <c r="AZ213" s="20"/>
      <c r="BA213" s="20"/>
      <c r="BB213" s="20"/>
      <c r="BC213" s="20"/>
      <c r="BD213" s="20"/>
      <c r="BE213" s="20"/>
      <c r="BF213" s="20"/>
      <c r="BG213" s="20"/>
      <c r="BH213" s="20"/>
    </row>
    <row r="214" spans="1:60">
      <c r="A214" s="20"/>
      <c r="B214" s="20"/>
      <c r="C214" s="20"/>
      <c r="D214" s="20"/>
      <c r="E214" s="20"/>
      <c r="F214" s="20"/>
      <c r="G214" s="20"/>
      <c r="H214" s="20"/>
      <c r="I214" s="20"/>
      <c r="J214" s="20"/>
      <c r="K214" s="20"/>
      <c r="L214" s="20"/>
      <c r="M214" s="20"/>
      <c r="N214" s="20"/>
      <c r="O214" s="20"/>
      <c r="P214" s="20"/>
      <c r="Q214" s="20"/>
      <c r="R214" s="20"/>
      <c r="S214" s="20"/>
      <c r="T214" s="20"/>
      <c r="U214" s="20"/>
      <c r="V214" s="20"/>
      <c r="W214" s="20"/>
      <c r="X214" s="20"/>
      <c r="Y214" s="20"/>
      <c r="Z214" s="20"/>
      <c r="AS214" s="20"/>
      <c r="AT214" s="20"/>
      <c r="AU214" s="20"/>
      <c r="AV214" s="20"/>
      <c r="AW214" s="20"/>
      <c r="AX214" s="20"/>
      <c r="AY214" s="20"/>
      <c r="AZ214" s="20"/>
      <c r="BA214" s="20"/>
      <c r="BB214" s="20"/>
      <c r="BC214" s="20"/>
      <c r="BD214" s="20"/>
      <c r="BE214" s="20"/>
      <c r="BF214" s="20"/>
      <c r="BG214" s="20"/>
      <c r="BH214" s="20"/>
    </row>
    <row r="215" spans="1:60">
      <c r="A215" s="20"/>
      <c r="B215" s="20"/>
      <c r="C215" s="20"/>
      <c r="D215" s="20"/>
      <c r="E215" s="20"/>
      <c r="F215" s="20"/>
      <c r="G215" s="20"/>
      <c r="H215" s="20"/>
      <c r="I215" s="20"/>
      <c r="J215" s="20"/>
      <c r="K215" s="20"/>
      <c r="L215" s="20"/>
      <c r="M215" s="20"/>
      <c r="N215" s="20"/>
      <c r="O215" s="20"/>
      <c r="P215" s="20"/>
      <c r="Q215" s="20"/>
      <c r="R215" s="20"/>
      <c r="S215" s="20"/>
      <c r="T215" s="20"/>
      <c r="U215" s="20"/>
      <c r="V215" s="20"/>
      <c r="W215" s="20"/>
      <c r="X215" s="20"/>
      <c r="Y215" s="20"/>
      <c r="Z215" s="20"/>
      <c r="AS215" s="20"/>
      <c r="AT215" s="20"/>
      <c r="AU215" s="20"/>
      <c r="AV215" s="20"/>
      <c r="AW215" s="20"/>
      <c r="AX215" s="20"/>
      <c r="AY215" s="20"/>
      <c r="AZ215" s="20"/>
      <c r="BA215" s="20"/>
      <c r="BB215" s="20"/>
      <c r="BC215" s="20"/>
      <c r="BD215" s="20"/>
      <c r="BE215" s="20"/>
      <c r="BF215" s="20"/>
      <c r="BG215" s="20"/>
      <c r="BH215" s="20"/>
    </row>
    <row r="216" spans="1:60">
      <c r="A216" s="20"/>
      <c r="B216" s="20"/>
      <c r="C216" s="20"/>
      <c r="D216" s="20"/>
      <c r="E216" s="20"/>
      <c r="F216" s="20"/>
      <c r="G216" s="20"/>
      <c r="H216" s="20"/>
      <c r="I216" s="20"/>
      <c r="J216" s="20"/>
      <c r="K216" s="20"/>
      <c r="L216" s="20"/>
      <c r="M216" s="20"/>
      <c r="N216" s="20"/>
      <c r="O216" s="20"/>
      <c r="P216" s="20"/>
      <c r="Q216" s="20"/>
      <c r="R216" s="20"/>
      <c r="S216" s="20"/>
      <c r="T216" s="20"/>
      <c r="U216" s="20"/>
      <c r="V216" s="20"/>
      <c r="W216" s="20"/>
      <c r="X216" s="20"/>
      <c r="Y216" s="20"/>
      <c r="Z216" s="20"/>
      <c r="AS216" s="20"/>
      <c r="AT216" s="20"/>
      <c r="AU216" s="20"/>
      <c r="AV216" s="20"/>
      <c r="AW216" s="20"/>
      <c r="AX216" s="20"/>
      <c r="AY216" s="20"/>
      <c r="AZ216" s="20"/>
      <c r="BA216" s="20"/>
      <c r="BB216" s="20"/>
      <c r="BC216" s="20"/>
      <c r="BD216" s="20"/>
      <c r="BE216" s="20"/>
      <c r="BF216" s="20"/>
      <c r="BG216" s="20"/>
      <c r="BH216" s="20"/>
    </row>
    <row r="217" spans="1:60">
      <c r="A217" s="20"/>
      <c r="B217" s="20"/>
      <c r="C217" s="20"/>
      <c r="D217" s="20"/>
      <c r="E217" s="20"/>
      <c r="F217" s="20"/>
      <c r="G217" s="20"/>
      <c r="H217" s="20"/>
      <c r="I217" s="20"/>
      <c r="J217" s="20"/>
      <c r="K217" s="20"/>
      <c r="L217" s="20"/>
      <c r="M217" s="20"/>
      <c r="N217" s="20"/>
      <c r="O217" s="20"/>
      <c r="P217" s="20"/>
      <c r="Q217" s="20"/>
      <c r="R217" s="20"/>
      <c r="S217" s="20"/>
      <c r="T217" s="20"/>
      <c r="U217" s="20"/>
      <c r="V217" s="20"/>
      <c r="W217" s="20"/>
      <c r="X217" s="20"/>
      <c r="Y217" s="20"/>
      <c r="Z217" s="20"/>
      <c r="AS217" s="20"/>
      <c r="AT217" s="20"/>
      <c r="AU217" s="20"/>
      <c r="AV217" s="20"/>
      <c r="AW217" s="20"/>
      <c r="AX217" s="20"/>
      <c r="AY217" s="20"/>
      <c r="AZ217" s="20"/>
      <c r="BA217" s="20"/>
      <c r="BB217" s="20"/>
      <c r="BC217" s="20"/>
      <c r="BD217" s="20"/>
      <c r="BE217" s="20"/>
      <c r="BF217" s="20"/>
      <c r="BG217" s="20"/>
      <c r="BH217" s="20"/>
    </row>
    <row r="218" spans="1:60">
      <c r="AS218" s="20"/>
      <c r="AT218" s="20"/>
      <c r="AU218" s="20"/>
      <c r="AV218" s="20"/>
      <c r="AW218" s="20"/>
      <c r="AX218" s="20"/>
      <c r="AY218" s="20"/>
      <c r="AZ218" s="20"/>
      <c r="BA218" s="20"/>
      <c r="BB218" s="20"/>
      <c r="BC218" s="20"/>
      <c r="BD218" s="20"/>
      <c r="BE218" s="20"/>
      <c r="BF218" s="20"/>
      <c r="BG218" s="20"/>
      <c r="BH218" s="20"/>
    </row>
    <row r="219" spans="1:60">
      <c r="AS219" s="20"/>
      <c r="AT219" s="20"/>
      <c r="AU219" s="20"/>
      <c r="AV219" s="20"/>
      <c r="AW219" s="20"/>
      <c r="AX219" s="20"/>
      <c r="AY219" s="20"/>
      <c r="AZ219" s="20"/>
      <c r="BA219" s="20"/>
      <c r="BB219" s="20"/>
      <c r="BC219" s="20"/>
      <c r="BD219" s="20"/>
      <c r="BE219" s="20"/>
      <c r="BF219" s="20"/>
      <c r="BG219" s="20"/>
      <c r="BH219" s="20"/>
    </row>
    <row r="220" spans="1:60">
      <c r="AS220" s="20"/>
      <c r="AT220" s="20"/>
      <c r="AU220" s="20"/>
      <c r="AV220" s="20"/>
      <c r="AW220" s="20"/>
      <c r="AX220" s="20"/>
      <c r="AY220" s="20"/>
      <c r="AZ220" s="20"/>
      <c r="BA220" s="20"/>
      <c r="BB220" s="20"/>
      <c r="BC220" s="20"/>
      <c r="BD220" s="20"/>
      <c r="BE220" s="20"/>
      <c r="BF220" s="20"/>
      <c r="BG220" s="20"/>
      <c r="BH220" s="20"/>
    </row>
    <row r="221" spans="1:60">
      <c r="AS221" s="20"/>
      <c r="AT221" s="20"/>
      <c r="AU221" s="20"/>
      <c r="AV221" s="20"/>
      <c r="AW221" s="20"/>
      <c r="AX221" s="20"/>
      <c r="AY221" s="20"/>
      <c r="AZ221" s="20"/>
      <c r="BA221" s="20"/>
      <c r="BB221" s="20"/>
      <c r="BC221" s="20"/>
      <c r="BD221" s="20"/>
      <c r="BE221" s="20"/>
      <c r="BF221" s="20"/>
      <c r="BG221" s="20"/>
      <c r="BH221" s="20"/>
    </row>
  </sheetData>
  <sheetProtection algorithmName="SHA-512" hashValue="U0h8hiYCVbv9NuyOJaED1oVvrpha4Y3ujQEKCtI4VEINAgWqvfx5ieiz3zGdbxYOM4V7BJEp4tLsNncRYKG2vg==" saltValue="glnrMpXK+EpmaYoMjCSL8g==" spinCount="100000" sheet="1" selectLockedCells="1"/>
  <mergeCells count="84">
    <mergeCell ref="A3:Z4"/>
    <mergeCell ref="V7:X7"/>
    <mergeCell ref="Q16:R16"/>
    <mergeCell ref="Q17:R17"/>
    <mergeCell ref="P7:Q7"/>
    <mergeCell ref="F11:N11"/>
    <mergeCell ref="F7:I7"/>
    <mergeCell ref="F9:K9"/>
    <mergeCell ref="K15:L15"/>
    <mergeCell ref="N15:O15"/>
    <mergeCell ref="G15:H15"/>
    <mergeCell ref="K16:L16"/>
    <mergeCell ref="K17:L17"/>
    <mergeCell ref="G16:H16"/>
    <mergeCell ref="N16:O16"/>
    <mergeCell ref="N17:O17"/>
    <mergeCell ref="P94:Q94"/>
    <mergeCell ref="P96:Q96"/>
    <mergeCell ref="P100:Q100"/>
    <mergeCell ref="G18:H18"/>
    <mergeCell ref="I18:J18"/>
    <mergeCell ref="K18:L18"/>
    <mergeCell ref="K19:L19"/>
    <mergeCell ref="N19:O19"/>
    <mergeCell ref="I16:J16"/>
    <mergeCell ref="I17:J17"/>
    <mergeCell ref="G17:H17"/>
    <mergeCell ref="U46:V46"/>
    <mergeCell ref="U44:V44"/>
    <mergeCell ref="O27:P27"/>
    <mergeCell ref="N20:O20"/>
    <mergeCell ref="G19:H19"/>
    <mergeCell ref="I19:J19"/>
    <mergeCell ref="I20:J20"/>
    <mergeCell ref="K20:L20"/>
    <mergeCell ref="G20:H20"/>
    <mergeCell ref="AD84:AD105"/>
    <mergeCell ref="AD115:AD136"/>
    <mergeCell ref="AD52:AD73"/>
    <mergeCell ref="A27:B27"/>
    <mergeCell ref="J27:K27"/>
    <mergeCell ref="W27:X27"/>
    <mergeCell ref="P56:Q56"/>
    <mergeCell ref="P60:Q60"/>
    <mergeCell ref="P62:Q62"/>
    <mergeCell ref="P82:Q82"/>
    <mergeCell ref="P102:Q102"/>
    <mergeCell ref="P84:Q84"/>
    <mergeCell ref="P86:Q86"/>
    <mergeCell ref="P92:Q92"/>
    <mergeCell ref="P116:Q116"/>
    <mergeCell ref="P120:Q120"/>
    <mergeCell ref="AA161:AB161"/>
    <mergeCell ref="I40:J40"/>
    <mergeCell ref="Q40:R40"/>
    <mergeCell ref="P112:Q112"/>
    <mergeCell ref="P74:Q74"/>
    <mergeCell ref="P76:Q76"/>
    <mergeCell ref="P80:Q80"/>
    <mergeCell ref="P72:Q72"/>
    <mergeCell ref="P64:Q64"/>
    <mergeCell ref="P66:Q66"/>
    <mergeCell ref="P122:Q122"/>
    <mergeCell ref="P124:Q124"/>
    <mergeCell ref="P146:Q146"/>
    <mergeCell ref="P126:Q126"/>
    <mergeCell ref="P132:Q132"/>
    <mergeCell ref="P134:Q134"/>
    <mergeCell ref="Q162:R162"/>
    <mergeCell ref="Q160:R160"/>
    <mergeCell ref="N160:O160"/>
    <mergeCell ref="Q18:R18"/>
    <mergeCell ref="Q19:R19"/>
    <mergeCell ref="Q20:R20"/>
    <mergeCell ref="P54:Q54"/>
    <mergeCell ref="N18:O18"/>
    <mergeCell ref="P136:Q136"/>
    <mergeCell ref="P144:Q144"/>
    <mergeCell ref="P52:Q52"/>
    <mergeCell ref="P142:Q142"/>
    <mergeCell ref="P140:Q140"/>
    <mergeCell ref="P104:Q104"/>
    <mergeCell ref="P106:Q106"/>
    <mergeCell ref="P114:Q114"/>
  </mergeCells>
  <phoneticPr fontId="2" type="noConversion"/>
  <conditionalFormatting sqref="G16:H20 K16:L20 N16:O20 Q16:R20 Q162:R162">
    <cfRule type="cellIs" dxfId="94" priority="4" stopIfTrue="1" operator="equal">
      <formula>0</formula>
    </cfRule>
  </conditionalFormatting>
  <conditionalFormatting sqref="G24:I24 U24:W24 E27:G27 S27:U27 A33:C33 X33:Z33 D39:F39 L39:N39 S39:U39 N44:P44 N46:P46 P64:Q64">
    <cfRule type="cellIs" dxfId="93" priority="3" stopIfTrue="1" operator="equal">
      <formula>0</formula>
    </cfRule>
  </conditionalFormatting>
  <conditionalFormatting sqref="P84:Q84 W89:W100 P104:Q104 W109:W120 P124:Q124 W129:W140 P144:Q144">
    <cfRule type="cellIs" dxfId="92" priority="8" stopIfTrue="1" operator="equal">
      <formula>0</formula>
    </cfRule>
  </conditionalFormatting>
  <conditionalFormatting sqref="W49:W60 X69:X80">
    <cfRule type="cellIs" dxfId="91" priority="6" stopIfTrue="1" operator="equal">
      <formula>0</formula>
    </cfRule>
  </conditionalFormatting>
  <conditionalFormatting sqref="W69:W80">
    <cfRule type="cellIs" dxfId="90" priority="5" stopIfTrue="1" operator="equal">
      <formula>0</formula>
    </cfRule>
  </conditionalFormatting>
  <conditionalFormatting sqref="X49:X60">
    <cfRule type="cellIs" dxfId="89" priority="7" stopIfTrue="1" operator="equal">
      <formula>0</formula>
    </cfRule>
  </conditionalFormatting>
  <conditionalFormatting sqref="X89:X100 X109:X120 X129:X140">
    <cfRule type="cellIs" dxfId="88" priority="9" stopIfTrue="1" operator="equal">
      <formula>0</formula>
    </cfRule>
  </conditionalFormatting>
  <conditionalFormatting sqref="A1:BH40 A47:BH148 A41:AA46 AD41:BH46 A160:BH221 A149:Z159 AE149:BH159">
    <cfRule type="expression" dxfId="87" priority="2" stopIfTrue="1">
      <formula>AND(A1&lt;&gt;"",OR(A1=0,A1="0"))</formula>
    </cfRule>
  </conditionalFormatting>
  <hyperlinks>
    <hyperlink ref="AA171" location="'Guía de trabajo'!A27" display="Volver" xr:uid="{00000000-0004-0000-0700-000000000000}"/>
  </hyperlinks>
  <pageMargins left="0.78740157480314965" right="0.74803149606299213" top="0.98425196850393704" bottom="0.98425196850393704" header="0.51181102362204722" footer="0"/>
  <pageSetup paperSize="9" scale="90" orientation="portrait" blackAndWhite="1" horizontalDpi="4294967292" verticalDpi="4294967292" r:id="rId1"/>
  <headerFooter alignWithMargins="0">
    <oddHeader xml:space="preserve">&amp;LPREFECTURA NAVAL ARGENTINA
</oddHeader>
  </headerFooter>
  <drawing r:id="rId2"/>
  <legacyDrawing r:id="rId3"/>
  <oleObjects>
    <mc:AlternateContent xmlns:mc="http://schemas.openxmlformats.org/markup-compatibility/2006">
      <mc:Choice Requires="x14">
        <oleObject progId="Paint.Picture" shapeId="10241" r:id="rId4">
          <objectPr defaultSize="0" autoPict="0" r:id="rId5">
            <anchor moveWithCells="1">
              <from>
                <xdr:col>3</xdr:col>
                <xdr:colOff>121920</xdr:colOff>
                <xdr:row>27</xdr:row>
                <xdr:rowOff>144780</xdr:rowOff>
              </from>
              <to>
                <xdr:col>22</xdr:col>
                <xdr:colOff>213360</xdr:colOff>
                <xdr:row>36</xdr:row>
                <xdr:rowOff>99060</xdr:rowOff>
              </to>
            </anchor>
          </objectPr>
        </oleObject>
      </mc:Choice>
      <mc:Fallback>
        <oleObject progId="Paint.Picture" shapeId="10241" r:id="rId4"/>
      </mc:Fallback>
    </mc:AlternateContent>
  </oleObjec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oja10"/>
  <dimension ref="A1:Y306"/>
  <sheetViews>
    <sheetView zoomScale="115" zoomScaleNormal="115" zoomScaleSheetLayoutView="100" workbookViewId="0">
      <selection activeCell="L43" sqref="L43:M43"/>
    </sheetView>
  </sheetViews>
  <sheetFormatPr baseColWidth="10" defaultRowHeight="13.2"/>
  <cols>
    <col min="1" max="3" width="5.6640625" customWidth="1"/>
    <col min="4" max="4" width="4.88671875" customWidth="1"/>
    <col min="5" max="6" width="5.6640625" customWidth="1"/>
    <col min="7" max="7" width="5.33203125" customWidth="1"/>
    <col min="8" max="8" width="5.6640625" customWidth="1"/>
    <col min="9" max="9" width="7" customWidth="1"/>
    <col min="10" max="12" width="5.6640625" customWidth="1"/>
    <col min="13" max="13" width="6.33203125" customWidth="1"/>
    <col min="14" max="15" width="5.6640625" customWidth="1"/>
    <col min="16" max="16" width="6.88671875" customWidth="1"/>
  </cols>
  <sheetData>
    <row r="1" spans="1:25" ht="13.8" thickBot="1">
      <c r="A1" s="3"/>
      <c r="B1" s="3"/>
      <c r="C1" s="3"/>
      <c r="D1" s="3"/>
      <c r="E1" s="3"/>
      <c r="F1" s="3"/>
      <c r="G1" s="3"/>
      <c r="H1" s="3"/>
      <c r="I1" s="3"/>
      <c r="J1" s="3"/>
      <c r="K1" s="3"/>
      <c r="L1" s="3"/>
      <c r="M1" s="3"/>
      <c r="N1" s="3"/>
      <c r="O1" s="3"/>
      <c r="P1" s="20"/>
      <c r="Q1" s="20"/>
      <c r="R1" s="20"/>
      <c r="S1" s="20"/>
      <c r="T1" s="20"/>
      <c r="U1" s="20"/>
      <c r="V1" s="20"/>
      <c r="W1" s="20"/>
      <c r="X1" s="20"/>
      <c r="Y1" s="20"/>
    </row>
    <row r="2" spans="1:25" ht="13.8" thickTop="1">
      <c r="A2" s="192"/>
      <c r="B2" s="191"/>
      <c r="C2" s="191"/>
      <c r="D2" s="191"/>
      <c r="E2" s="191"/>
      <c r="F2" s="191"/>
      <c r="G2" s="191"/>
      <c r="H2" s="191"/>
      <c r="I2" s="191"/>
      <c r="J2" s="191"/>
      <c r="K2" s="191"/>
      <c r="L2" s="191"/>
      <c r="M2" s="191"/>
      <c r="N2" s="191"/>
      <c r="O2" s="200"/>
      <c r="P2" s="20"/>
      <c r="Q2" s="20"/>
      <c r="R2" s="20"/>
      <c r="S2" s="20"/>
      <c r="T2" s="20"/>
      <c r="U2" s="20"/>
      <c r="V2" s="20"/>
      <c r="W2" s="20"/>
      <c r="X2" s="20"/>
      <c r="Y2" s="20"/>
    </row>
    <row r="3" spans="1:25">
      <c r="A3" s="368" t="s">
        <v>154</v>
      </c>
      <c r="B3" s="369"/>
      <c r="C3" s="369"/>
      <c r="D3" s="369"/>
      <c r="E3" s="369"/>
      <c r="F3" s="369"/>
      <c r="G3" s="369"/>
      <c r="H3" s="369"/>
      <c r="I3" s="369"/>
      <c r="J3" s="369"/>
      <c r="K3" s="369"/>
      <c r="L3" s="369"/>
      <c r="M3" s="369"/>
      <c r="N3" s="369"/>
      <c r="O3" s="370"/>
      <c r="P3" s="20"/>
      <c r="Q3" s="20"/>
      <c r="R3" s="20"/>
      <c r="S3" s="20"/>
      <c r="T3" s="20"/>
      <c r="U3" s="20"/>
      <c r="V3" s="20"/>
      <c r="W3" s="20"/>
      <c r="X3" s="20"/>
      <c r="Y3" s="20"/>
    </row>
    <row r="4" spans="1:25">
      <c r="A4" s="368" t="s">
        <v>155</v>
      </c>
      <c r="B4" s="369"/>
      <c r="C4" s="369"/>
      <c r="D4" s="369"/>
      <c r="E4" s="369"/>
      <c r="F4" s="369"/>
      <c r="G4" s="369"/>
      <c r="H4" s="369"/>
      <c r="I4" s="369"/>
      <c r="J4" s="369"/>
      <c r="K4" s="369"/>
      <c r="L4" s="369"/>
      <c r="M4" s="369"/>
      <c r="N4" s="369"/>
      <c r="O4" s="370"/>
      <c r="P4" s="20"/>
      <c r="Q4" s="20"/>
      <c r="R4" s="20"/>
      <c r="S4" s="20"/>
      <c r="T4" s="20"/>
      <c r="U4" s="20"/>
      <c r="V4" s="20"/>
      <c r="W4" s="20"/>
      <c r="X4" s="20"/>
      <c r="Y4" s="20"/>
    </row>
    <row r="5" spans="1:25">
      <c r="A5" s="193"/>
      <c r="B5" s="168"/>
      <c r="C5" s="168"/>
      <c r="D5" s="168"/>
      <c r="E5" s="168"/>
      <c r="F5" s="168"/>
      <c r="G5" s="168"/>
      <c r="H5" s="168"/>
      <c r="I5" s="168"/>
      <c r="J5" s="168"/>
      <c r="K5" s="168"/>
      <c r="L5" s="168"/>
      <c r="M5" s="168"/>
      <c r="N5" s="168"/>
      <c r="O5" s="201"/>
      <c r="P5" s="20"/>
      <c r="Q5" s="20"/>
      <c r="R5" s="20"/>
      <c r="S5" s="20"/>
      <c r="T5" s="20"/>
      <c r="U5" s="20"/>
      <c r="V5" s="20"/>
      <c r="W5" s="20"/>
      <c r="X5" s="20"/>
      <c r="Y5" s="20"/>
    </row>
    <row r="6" spans="1:25">
      <c r="A6" s="213" t="s">
        <v>0</v>
      </c>
      <c r="B6" s="206"/>
      <c r="C6" s="206"/>
      <c r="D6" s="310">
        <f>IF(Datum!D7="",'Datum Aer'!D7,Datum!D7)</f>
        <v>0</v>
      </c>
      <c r="E6" s="310"/>
      <c r="F6" s="310"/>
      <c r="G6" s="206"/>
      <c r="H6" s="206" t="s">
        <v>1</v>
      </c>
      <c r="I6" s="206"/>
      <c r="J6" s="1">
        <f>IF(Datum!J7="",'Datum Aer'!J7,Datum!J7)</f>
        <v>0</v>
      </c>
      <c r="K6" s="206"/>
      <c r="L6" s="206" t="s">
        <v>2</v>
      </c>
      <c r="M6" s="311">
        <f>IF(Datum!N7="",'Datum Aer'!N7,Datum!N7)</f>
        <v>0</v>
      </c>
      <c r="N6" s="312"/>
      <c r="O6" s="201"/>
      <c r="P6" s="20"/>
      <c r="Q6" s="20"/>
      <c r="R6" s="20"/>
      <c r="S6" s="20"/>
      <c r="T6" s="20"/>
      <c r="U6" s="20"/>
      <c r="V6" s="20"/>
      <c r="W6" s="20"/>
      <c r="X6" s="20"/>
      <c r="Y6" s="20"/>
    </row>
    <row r="7" spans="1:25">
      <c r="A7" s="193"/>
      <c r="B7" s="168"/>
      <c r="C7" s="168"/>
      <c r="D7" s="168"/>
      <c r="E7" s="168"/>
      <c r="F7" s="168"/>
      <c r="G7" s="168"/>
      <c r="H7" s="168"/>
      <c r="I7" s="168"/>
      <c r="J7" s="168"/>
      <c r="K7" s="168"/>
      <c r="L7" s="168"/>
      <c r="M7" s="168"/>
      <c r="N7" s="168"/>
      <c r="O7" s="201"/>
      <c r="P7" s="20"/>
      <c r="Q7" s="20"/>
      <c r="R7" s="20"/>
      <c r="S7" s="20"/>
      <c r="T7" s="20"/>
      <c r="U7" s="20"/>
      <c r="V7" s="20"/>
      <c r="W7" s="20"/>
      <c r="X7" s="20"/>
      <c r="Y7" s="20"/>
    </row>
    <row r="8" spans="1:25">
      <c r="A8" s="213" t="s">
        <v>3</v>
      </c>
      <c r="B8" s="206"/>
      <c r="C8" s="206"/>
      <c r="D8" s="310">
        <f>IF(Datum!D9="",'Datum Aer'!D9,Datum!D9)</f>
        <v>0</v>
      </c>
      <c r="E8" s="310"/>
      <c r="F8" s="310"/>
      <c r="G8" s="206"/>
      <c r="H8" s="206" t="s">
        <v>4</v>
      </c>
      <c r="I8" s="206"/>
      <c r="J8" s="1">
        <f>IF(Datum!J9="",'Datum Aer'!J9,Datum!J9)</f>
        <v>0</v>
      </c>
      <c r="K8" s="206" t="s">
        <v>5</v>
      </c>
      <c r="L8" s="168"/>
      <c r="M8" s="206"/>
      <c r="N8" s="5">
        <f>IF(Datum!P9="",'Datum Aer'!O9,Datum!P9)</f>
        <v>0</v>
      </c>
      <c r="O8" s="201"/>
      <c r="P8" s="20"/>
      <c r="Q8" s="20"/>
      <c r="R8" s="20"/>
      <c r="S8" s="20"/>
      <c r="T8" s="20"/>
      <c r="U8" s="20"/>
      <c r="V8" s="20"/>
      <c r="W8" s="20"/>
      <c r="X8" s="20"/>
      <c r="Y8" s="20"/>
    </row>
    <row r="9" spans="1:25" ht="13.8" thickBot="1">
      <c r="A9" s="193"/>
      <c r="B9" s="168"/>
      <c r="C9" s="168"/>
      <c r="D9" s="168"/>
      <c r="E9" s="168"/>
      <c r="F9" s="168"/>
      <c r="G9" s="168"/>
      <c r="H9" s="168"/>
      <c r="I9" s="168"/>
      <c r="J9" s="168"/>
      <c r="K9" s="168"/>
      <c r="L9" s="168"/>
      <c r="M9" s="168"/>
      <c r="N9" s="168"/>
      <c r="O9" s="201"/>
      <c r="P9" s="20"/>
      <c r="Q9" s="20"/>
      <c r="R9" s="20"/>
      <c r="S9" s="20"/>
      <c r="T9" s="20"/>
      <c r="U9" s="20"/>
      <c r="V9" s="20"/>
      <c r="W9" s="20"/>
      <c r="X9" s="20"/>
      <c r="Y9" s="20"/>
    </row>
    <row r="10" spans="1:25" ht="13.8" thickBot="1">
      <c r="A10" s="186" t="s">
        <v>7</v>
      </c>
      <c r="B10" s="187" t="s">
        <v>156</v>
      </c>
      <c r="C10" s="187"/>
      <c r="D10" s="187"/>
      <c r="E10" s="187"/>
      <c r="F10" s="187"/>
      <c r="G10" s="187"/>
      <c r="H10" s="188"/>
      <c r="I10" s="168"/>
      <c r="J10" s="168"/>
      <c r="K10" s="168"/>
      <c r="L10" s="168"/>
      <c r="M10" s="168"/>
      <c r="N10" s="168"/>
      <c r="O10" s="201"/>
      <c r="P10" s="20"/>
      <c r="Q10" s="20"/>
      <c r="R10" s="20"/>
      <c r="S10" s="20"/>
      <c r="T10" s="20"/>
      <c r="U10" s="20"/>
      <c r="V10" s="20"/>
      <c r="W10" s="20"/>
      <c r="X10" s="20"/>
      <c r="Y10" s="20"/>
    </row>
    <row r="11" spans="1:25">
      <c r="A11" s="193"/>
      <c r="B11" s="170" t="s">
        <v>158</v>
      </c>
      <c r="C11" s="168"/>
      <c r="D11" s="168"/>
      <c r="E11" s="168"/>
      <c r="F11" s="168"/>
      <c r="G11" s="168"/>
      <c r="H11" s="168"/>
      <c r="I11" s="168"/>
      <c r="J11" s="168"/>
      <c r="K11" s="168"/>
      <c r="L11" s="168"/>
      <c r="M11" s="168"/>
      <c r="N11" s="168"/>
      <c r="O11" s="201"/>
      <c r="P11" s="20"/>
      <c r="Q11" s="20"/>
      <c r="R11" s="20"/>
      <c r="S11" s="20"/>
      <c r="T11" s="20"/>
      <c r="U11" s="20"/>
      <c r="V11" s="20"/>
      <c r="W11" s="20"/>
      <c r="X11" s="20"/>
      <c r="Y11" s="20"/>
    </row>
    <row r="12" spans="1:25">
      <c r="A12" s="193"/>
      <c r="B12" s="170" t="s">
        <v>157</v>
      </c>
      <c r="C12" s="168"/>
      <c r="D12" s="168"/>
      <c r="E12" s="168"/>
      <c r="F12" s="168"/>
      <c r="G12" s="168"/>
      <c r="H12" s="168"/>
      <c r="I12" s="168"/>
      <c r="J12" s="168"/>
      <c r="K12" s="168"/>
      <c r="L12" s="168"/>
      <c r="M12" s="168"/>
      <c r="N12" s="168"/>
      <c r="O12" s="201"/>
      <c r="P12" s="20"/>
      <c r="Q12" s="20"/>
      <c r="R12" s="20"/>
      <c r="S12" s="20"/>
      <c r="T12" s="20"/>
      <c r="U12" s="20"/>
      <c r="V12" s="20"/>
      <c r="W12" s="20"/>
      <c r="X12" s="20"/>
      <c r="Y12" s="20"/>
    </row>
    <row r="13" spans="1:25">
      <c r="A13" s="193"/>
      <c r="B13" s="168"/>
      <c r="C13" s="168"/>
      <c r="D13" s="168"/>
      <c r="E13" s="168"/>
      <c r="F13" s="168"/>
      <c r="G13" s="168"/>
      <c r="H13" s="168"/>
      <c r="I13" s="168"/>
      <c r="J13" s="168"/>
      <c r="K13" s="168"/>
      <c r="L13" s="168"/>
      <c r="M13" s="168"/>
      <c r="N13" s="168"/>
      <c r="O13" s="201"/>
      <c r="P13" s="20"/>
      <c r="Q13" s="20"/>
      <c r="R13" s="20"/>
      <c r="S13" s="20"/>
      <c r="T13" s="20"/>
      <c r="U13" s="20"/>
      <c r="V13" s="20"/>
      <c r="W13" s="20"/>
      <c r="X13" s="20"/>
      <c r="Y13" s="20"/>
    </row>
    <row r="14" spans="1:25">
      <c r="A14" s="193"/>
      <c r="B14" s="172">
        <v>1</v>
      </c>
      <c r="C14" s="206" t="s">
        <v>159</v>
      </c>
      <c r="D14" s="206"/>
      <c r="E14" s="206"/>
      <c r="F14" s="206"/>
      <c r="G14" s="206"/>
      <c r="H14" s="206"/>
      <c r="I14" s="206"/>
      <c r="J14" s="206"/>
      <c r="K14" s="206"/>
      <c r="L14" s="305"/>
      <c r="M14" s="305"/>
      <c r="N14" s="170" t="s">
        <v>52</v>
      </c>
      <c r="O14" s="201"/>
      <c r="P14" s="20"/>
      <c r="Q14" s="20"/>
      <c r="R14" s="20"/>
      <c r="S14" s="20"/>
      <c r="T14" s="20"/>
      <c r="U14" s="20"/>
      <c r="V14" s="20"/>
      <c r="W14" s="20"/>
      <c r="X14" s="20"/>
      <c r="Y14" s="20"/>
    </row>
    <row r="15" spans="1:25">
      <c r="A15" s="193"/>
      <c r="B15" s="168"/>
      <c r="C15" s="206" t="s">
        <v>160</v>
      </c>
      <c r="D15" s="206"/>
      <c r="E15" s="206"/>
      <c r="F15" s="206"/>
      <c r="G15" s="206"/>
      <c r="H15" s="206"/>
      <c r="I15" s="206"/>
      <c r="J15" s="206"/>
      <c r="K15" s="206"/>
      <c r="L15" s="168"/>
      <c r="M15" s="177"/>
      <c r="N15" s="168"/>
      <c r="O15" s="201"/>
      <c r="P15" s="20"/>
      <c r="Q15" s="20"/>
      <c r="R15" s="20"/>
      <c r="S15" s="20"/>
      <c r="T15" s="20"/>
      <c r="U15" s="20"/>
      <c r="V15" s="20"/>
      <c r="W15" s="20"/>
      <c r="X15" s="20"/>
      <c r="Y15" s="20"/>
    </row>
    <row r="16" spans="1:25">
      <c r="A16" s="193"/>
      <c r="B16" s="168"/>
      <c r="C16" s="206"/>
      <c r="D16" s="206"/>
      <c r="E16" s="206"/>
      <c r="F16" s="206"/>
      <c r="G16" s="206"/>
      <c r="H16" s="206"/>
      <c r="I16" s="206"/>
      <c r="J16" s="206"/>
      <c r="K16" s="206"/>
      <c r="L16" s="168"/>
      <c r="M16" s="177"/>
      <c r="N16" s="168"/>
      <c r="O16" s="201"/>
      <c r="P16" s="20"/>
      <c r="Q16" s="20"/>
      <c r="R16" s="20"/>
      <c r="S16" s="20"/>
      <c r="T16" s="20"/>
      <c r="U16" s="20"/>
      <c r="V16" s="20"/>
      <c r="W16" s="20"/>
      <c r="X16" s="20"/>
      <c r="Y16" s="20"/>
    </row>
    <row r="17" spans="1:25">
      <c r="A17" s="193"/>
      <c r="B17" s="172">
        <v>2</v>
      </c>
      <c r="C17" s="206" t="s">
        <v>161</v>
      </c>
      <c r="D17" s="168"/>
      <c r="E17" s="168"/>
      <c r="F17" s="168"/>
      <c r="G17" s="168"/>
      <c r="H17" s="168"/>
      <c r="I17" s="168"/>
      <c r="J17" s="168"/>
      <c r="K17" s="168"/>
      <c r="L17" s="305"/>
      <c r="M17" s="305"/>
      <c r="N17" s="168" t="s">
        <v>163</v>
      </c>
      <c r="O17" s="201"/>
      <c r="P17" s="20"/>
      <c r="Q17" s="20"/>
      <c r="R17" s="20"/>
      <c r="S17" s="20"/>
      <c r="T17" s="20"/>
      <c r="U17" s="20"/>
      <c r="V17" s="20"/>
      <c r="W17" s="20"/>
      <c r="X17" s="20"/>
      <c r="Y17" s="20"/>
    </row>
    <row r="18" spans="1:25">
      <c r="A18" s="193"/>
      <c r="B18" s="168"/>
      <c r="C18" s="170" t="s">
        <v>162</v>
      </c>
      <c r="D18" s="168"/>
      <c r="E18" s="168"/>
      <c r="F18" s="168"/>
      <c r="G18" s="168"/>
      <c r="H18" s="168"/>
      <c r="I18" s="168"/>
      <c r="J18" s="168"/>
      <c r="K18" s="168"/>
      <c r="L18" s="168"/>
      <c r="M18" s="168"/>
      <c r="N18" s="168"/>
      <c r="O18" s="201"/>
      <c r="P18" s="20"/>
      <c r="Q18" s="20"/>
      <c r="R18" s="20"/>
      <c r="S18" s="20"/>
      <c r="T18" s="20"/>
      <c r="U18" s="20"/>
      <c r="V18" s="20"/>
      <c r="W18" s="20"/>
      <c r="X18" s="20"/>
      <c r="Y18" s="20"/>
    </row>
    <row r="19" spans="1:25">
      <c r="A19" s="193"/>
      <c r="B19" s="168"/>
      <c r="C19" s="170"/>
      <c r="D19" s="168"/>
      <c r="E19" s="168"/>
      <c r="F19" s="168"/>
      <c r="G19" s="168"/>
      <c r="H19" s="168"/>
      <c r="I19" s="168"/>
      <c r="J19" s="168"/>
      <c r="K19" s="168"/>
      <c r="L19" s="168"/>
      <c r="M19" s="168"/>
      <c r="N19" s="168"/>
      <c r="O19" s="201"/>
      <c r="P19" s="20"/>
      <c r="Q19" s="20"/>
      <c r="R19" s="20"/>
      <c r="S19" s="20"/>
      <c r="T19" s="20"/>
      <c r="U19" s="20"/>
      <c r="V19" s="20"/>
      <c r="W19" s="20"/>
      <c r="X19" s="20"/>
      <c r="Y19" s="20"/>
    </row>
    <row r="20" spans="1:25">
      <c r="A20" s="193"/>
      <c r="B20" s="172">
        <v>3</v>
      </c>
      <c r="C20" s="206" t="s">
        <v>164</v>
      </c>
      <c r="D20" s="168"/>
      <c r="E20" s="168"/>
      <c r="F20" s="168"/>
      <c r="G20" s="168"/>
      <c r="H20" s="168"/>
      <c r="I20" s="168"/>
      <c r="J20" s="168"/>
      <c r="K20" s="168"/>
      <c r="L20" s="305"/>
      <c r="M20" s="305"/>
      <c r="N20" s="170" t="s">
        <v>52</v>
      </c>
      <c r="O20" s="201"/>
      <c r="P20" s="20"/>
      <c r="Q20" s="20"/>
      <c r="R20" s="20"/>
      <c r="S20" s="20"/>
      <c r="T20" s="20"/>
      <c r="U20" s="20"/>
      <c r="V20" s="20"/>
      <c r="W20" s="20"/>
      <c r="X20" s="20"/>
      <c r="Y20" s="20"/>
    </row>
    <row r="21" spans="1:25">
      <c r="A21" s="193"/>
      <c r="B21" s="168"/>
      <c r="C21" s="168"/>
      <c r="D21" s="168"/>
      <c r="E21" s="168"/>
      <c r="F21" s="168"/>
      <c r="G21" s="168"/>
      <c r="H21" s="168"/>
      <c r="I21" s="168"/>
      <c r="J21" s="168"/>
      <c r="K21" s="168"/>
      <c r="L21" s="168"/>
      <c r="M21" s="168"/>
      <c r="N21" s="168"/>
      <c r="O21" s="201"/>
      <c r="P21" s="20"/>
      <c r="Q21" s="20"/>
      <c r="R21" s="20"/>
      <c r="S21" s="20"/>
      <c r="T21" s="20"/>
      <c r="U21" s="20"/>
      <c r="V21" s="20"/>
      <c r="W21" s="20"/>
      <c r="X21" s="20"/>
      <c r="Y21" s="20"/>
    </row>
    <row r="22" spans="1:25">
      <c r="A22" s="194"/>
      <c r="B22" s="223">
        <v>4</v>
      </c>
      <c r="C22" s="170" t="s">
        <v>165</v>
      </c>
      <c r="D22" s="168"/>
      <c r="E22" s="168"/>
      <c r="F22" s="168"/>
      <c r="G22" s="168"/>
      <c r="H22" s="168"/>
      <c r="I22" s="168"/>
      <c r="J22" s="168"/>
      <c r="K22" s="168"/>
      <c r="L22" s="312">
        <f>(L17*L20)/100</f>
        <v>0</v>
      </c>
      <c r="M22" s="312"/>
      <c r="N22" s="170" t="s">
        <v>52</v>
      </c>
      <c r="O22" s="201"/>
      <c r="P22" s="20"/>
      <c r="Q22" s="20"/>
      <c r="R22" s="20"/>
      <c r="S22" s="20"/>
      <c r="T22" s="20"/>
      <c r="U22" s="20"/>
      <c r="V22" s="20"/>
      <c r="W22" s="20"/>
      <c r="X22" s="20"/>
      <c r="Y22" s="20"/>
    </row>
    <row r="23" spans="1:25">
      <c r="A23" s="193"/>
      <c r="B23" s="168"/>
      <c r="C23" s="168"/>
      <c r="D23" s="168"/>
      <c r="E23" s="168"/>
      <c r="F23" s="168"/>
      <c r="G23" s="168"/>
      <c r="H23" s="168"/>
      <c r="I23" s="168"/>
      <c r="J23" s="168"/>
      <c r="K23" s="168"/>
      <c r="L23" s="168"/>
      <c r="M23" s="168"/>
      <c r="N23" s="168"/>
      <c r="O23" s="201"/>
      <c r="P23" s="20"/>
      <c r="Q23" s="20"/>
      <c r="R23" s="20"/>
      <c r="S23" s="20"/>
      <c r="T23" s="20"/>
      <c r="U23" s="20"/>
      <c r="V23" s="20"/>
      <c r="W23" s="20"/>
      <c r="X23" s="20"/>
      <c r="Y23" s="20"/>
    </row>
    <row r="24" spans="1:25">
      <c r="A24" s="193"/>
      <c r="B24" s="172">
        <v>5</v>
      </c>
      <c r="C24" s="206" t="s">
        <v>166</v>
      </c>
      <c r="D24" s="168"/>
      <c r="E24" s="168"/>
      <c r="F24" s="168"/>
      <c r="G24" s="168"/>
      <c r="H24" s="168"/>
      <c r="I24" s="168"/>
      <c r="J24" s="168"/>
      <c r="K24" s="168"/>
      <c r="L24" s="305"/>
      <c r="M24" s="305"/>
      <c r="N24" s="170" t="s">
        <v>52</v>
      </c>
      <c r="O24" s="201"/>
      <c r="P24" s="20"/>
      <c r="Q24" s="20"/>
      <c r="R24" s="20"/>
      <c r="S24" s="20"/>
      <c r="T24" s="20"/>
      <c r="U24" s="20"/>
      <c r="V24" s="20"/>
      <c r="W24" s="20"/>
      <c r="X24" s="20"/>
      <c r="Y24" s="20"/>
    </row>
    <row r="25" spans="1:25">
      <c r="A25" s="193"/>
      <c r="B25" s="168"/>
      <c r="C25" s="170" t="s">
        <v>167</v>
      </c>
      <c r="D25" s="168"/>
      <c r="E25" s="168"/>
      <c r="F25" s="168"/>
      <c r="G25" s="168"/>
      <c r="H25" s="168"/>
      <c r="I25" s="168"/>
      <c r="J25" s="168"/>
      <c r="K25" s="168"/>
      <c r="L25" s="168"/>
      <c r="M25" s="168"/>
      <c r="N25" s="168"/>
      <c r="O25" s="201"/>
      <c r="P25" s="20"/>
      <c r="Q25" s="20"/>
      <c r="R25" s="20"/>
      <c r="S25" s="20"/>
      <c r="T25" s="20"/>
      <c r="U25" s="20"/>
      <c r="V25" s="20"/>
      <c r="W25" s="20"/>
      <c r="X25" s="20"/>
      <c r="Y25" s="20"/>
    </row>
    <row r="26" spans="1:25">
      <c r="A26" s="193"/>
      <c r="B26" s="172"/>
      <c r="C26" s="206"/>
      <c r="D26" s="168"/>
      <c r="E26" s="168"/>
      <c r="F26" s="168"/>
      <c r="G26" s="168"/>
      <c r="H26" s="168"/>
      <c r="I26" s="168"/>
      <c r="J26" s="168"/>
      <c r="K26" s="168"/>
      <c r="L26" s="168"/>
      <c r="M26" s="206"/>
      <c r="N26" s="168"/>
      <c r="O26" s="201"/>
      <c r="P26" s="20"/>
      <c r="Q26" s="20"/>
      <c r="R26" s="20"/>
      <c r="S26" s="20"/>
      <c r="T26" s="20"/>
      <c r="U26" s="20"/>
      <c r="V26" s="20"/>
      <c r="W26" s="20"/>
      <c r="X26" s="20"/>
      <c r="Y26" s="20"/>
    </row>
    <row r="27" spans="1:25">
      <c r="A27" s="193"/>
      <c r="B27" s="172">
        <v>6</v>
      </c>
      <c r="C27" s="170" t="s">
        <v>168</v>
      </c>
      <c r="D27" s="168"/>
      <c r="E27" s="168"/>
      <c r="F27" s="168"/>
      <c r="G27" s="168"/>
      <c r="H27" s="168"/>
      <c r="I27" s="168"/>
      <c r="J27" s="168"/>
      <c r="K27" s="168"/>
      <c r="L27" s="312">
        <f>L14+L22+L24</f>
        <v>0</v>
      </c>
      <c r="M27" s="312"/>
      <c r="N27" s="170" t="s">
        <v>52</v>
      </c>
      <c r="O27" s="201"/>
      <c r="P27" s="20"/>
      <c r="Q27" s="20"/>
      <c r="R27" s="20"/>
      <c r="S27" s="20"/>
      <c r="T27" s="20"/>
      <c r="U27" s="20"/>
      <c r="V27" s="20"/>
      <c r="W27" s="20"/>
      <c r="X27" s="20"/>
      <c r="Y27" s="20"/>
    </row>
    <row r="28" spans="1:25">
      <c r="A28" s="194"/>
      <c r="B28" s="169"/>
      <c r="C28" s="170" t="s">
        <v>170</v>
      </c>
      <c r="D28" s="168"/>
      <c r="E28" s="168"/>
      <c r="F28" s="168"/>
      <c r="G28" s="168"/>
      <c r="H28" s="168"/>
      <c r="I28" s="168"/>
      <c r="J28" s="168"/>
      <c r="K28" s="168"/>
      <c r="L28" s="168"/>
      <c r="M28" s="168"/>
      <c r="N28" s="168"/>
      <c r="O28" s="201"/>
      <c r="P28" s="20"/>
      <c r="Q28" s="20"/>
      <c r="R28" s="20"/>
      <c r="S28" s="20"/>
      <c r="T28" s="20"/>
      <c r="U28" s="20"/>
      <c r="V28" s="20"/>
      <c r="W28" s="20"/>
      <c r="X28" s="20"/>
      <c r="Y28" s="20"/>
    </row>
    <row r="29" spans="1:25">
      <c r="A29" s="193"/>
      <c r="B29" s="206"/>
      <c r="C29" s="170" t="s">
        <v>169</v>
      </c>
      <c r="D29" s="168"/>
      <c r="E29" s="168"/>
      <c r="F29" s="168"/>
      <c r="G29" s="168"/>
      <c r="H29" s="168"/>
      <c r="I29" s="168"/>
      <c r="J29" s="168"/>
      <c r="K29" s="168"/>
      <c r="L29" s="168"/>
      <c r="M29" s="168"/>
      <c r="N29" s="168"/>
      <c r="O29" s="201"/>
      <c r="P29" s="20"/>
      <c r="Q29" s="20"/>
      <c r="R29" s="20"/>
      <c r="S29" s="20"/>
      <c r="T29" s="20"/>
      <c r="U29" s="20"/>
      <c r="V29" s="20"/>
      <c r="W29" s="20"/>
      <c r="X29" s="20"/>
      <c r="Y29" s="20"/>
    </row>
    <row r="30" spans="1:25" ht="13.8" thickBot="1">
      <c r="A30" s="193"/>
      <c r="B30" s="168"/>
      <c r="C30" s="168"/>
      <c r="D30" s="168"/>
      <c r="E30" s="168"/>
      <c r="F30" s="168"/>
      <c r="G30" s="168"/>
      <c r="H30" s="168"/>
      <c r="I30" s="168"/>
      <c r="J30" s="168"/>
      <c r="K30" s="168"/>
      <c r="L30" s="168"/>
      <c r="M30" s="168"/>
      <c r="N30" s="168"/>
      <c r="O30" s="201"/>
      <c r="P30" s="20"/>
      <c r="Q30" s="20"/>
      <c r="R30" s="20"/>
      <c r="S30" s="20"/>
      <c r="T30" s="20"/>
      <c r="U30" s="20"/>
      <c r="V30" s="20"/>
      <c r="W30" s="20"/>
      <c r="X30" s="20"/>
      <c r="Y30" s="20"/>
    </row>
    <row r="31" spans="1:25" ht="13.8" thickBot="1">
      <c r="A31" s="186" t="s">
        <v>20</v>
      </c>
      <c r="B31" s="187" t="s">
        <v>171</v>
      </c>
      <c r="C31" s="189"/>
      <c r="D31" s="189"/>
      <c r="E31" s="189"/>
      <c r="F31" s="189"/>
      <c r="G31" s="189"/>
      <c r="H31" s="190"/>
      <c r="I31" s="168"/>
      <c r="J31" s="168"/>
      <c r="K31" s="168"/>
      <c r="L31" s="168"/>
      <c r="M31" s="168"/>
      <c r="N31" s="168"/>
      <c r="O31" s="201"/>
      <c r="P31" s="20"/>
      <c r="Q31" s="20"/>
      <c r="R31" s="20"/>
      <c r="S31" s="20"/>
      <c r="T31" s="20"/>
      <c r="U31" s="20"/>
      <c r="V31" s="20"/>
      <c r="W31" s="20"/>
      <c r="X31" s="20"/>
      <c r="Y31" s="20"/>
    </row>
    <row r="32" spans="1:25">
      <c r="A32" s="193"/>
      <c r="B32" s="168"/>
      <c r="C32" s="168"/>
      <c r="D32" s="168"/>
      <c r="E32" s="168"/>
      <c r="F32" s="168"/>
      <c r="G32" s="168"/>
      <c r="H32" s="168"/>
      <c r="I32" s="168"/>
      <c r="J32" s="168"/>
      <c r="K32" s="168"/>
      <c r="L32" s="168"/>
      <c r="M32" s="168"/>
      <c r="N32" s="168"/>
      <c r="O32" s="201"/>
      <c r="P32" s="20"/>
      <c r="Q32" s="20"/>
      <c r="R32" s="20"/>
      <c r="S32" s="20"/>
      <c r="T32" s="20"/>
      <c r="U32" s="20"/>
      <c r="V32" s="20"/>
      <c r="W32" s="20"/>
      <c r="X32" s="20"/>
      <c r="Y32" s="20"/>
    </row>
    <row r="33" spans="1:25">
      <c r="A33" s="193"/>
      <c r="B33" s="172">
        <v>1</v>
      </c>
      <c r="C33" s="206" t="s">
        <v>172</v>
      </c>
      <c r="D33" s="168"/>
      <c r="E33" s="168"/>
      <c r="F33" s="168"/>
      <c r="G33" s="168"/>
      <c r="H33" s="168"/>
      <c r="I33" s="168"/>
      <c r="J33" s="168"/>
      <c r="K33" s="168"/>
      <c r="L33" s="362">
        <f>Datum!N27</f>
        <v>0</v>
      </c>
      <c r="M33" s="362"/>
      <c r="N33" s="170" t="s">
        <v>23</v>
      </c>
      <c r="O33" s="201"/>
      <c r="P33" s="20"/>
      <c r="Q33" s="20"/>
      <c r="R33" s="20"/>
      <c r="S33" s="20"/>
      <c r="T33" s="20"/>
      <c r="U33" s="20"/>
      <c r="V33" s="20"/>
      <c r="W33" s="20"/>
      <c r="X33" s="20"/>
      <c r="Y33" s="20"/>
    </row>
    <row r="34" spans="1:25">
      <c r="A34" s="193"/>
      <c r="B34" s="168"/>
      <c r="C34" s="170" t="s">
        <v>173</v>
      </c>
      <c r="D34" s="168"/>
      <c r="E34" s="168"/>
      <c r="F34" s="168"/>
      <c r="G34" s="168"/>
      <c r="H34" s="168"/>
      <c r="I34" s="168"/>
      <c r="J34" s="168"/>
      <c r="K34" s="168"/>
      <c r="L34" s="168"/>
      <c r="M34" s="168"/>
      <c r="N34" s="168"/>
      <c r="O34" s="201"/>
      <c r="P34" s="20"/>
      <c r="Q34" s="20"/>
      <c r="R34" s="20"/>
      <c r="S34" s="20"/>
      <c r="T34" s="20"/>
      <c r="U34" s="20"/>
      <c r="V34" s="20"/>
      <c r="W34" s="20"/>
      <c r="X34" s="20"/>
      <c r="Y34" s="20"/>
    </row>
    <row r="35" spans="1:25">
      <c r="A35" s="193"/>
      <c r="B35" s="168"/>
      <c r="C35" s="170"/>
      <c r="D35" s="168"/>
      <c r="E35" s="168"/>
      <c r="F35" s="168"/>
      <c r="G35" s="168"/>
      <c r="H35" s="168"/>
      <c r="I35" s="168"/>
      <c r="J35" s="168"/>
      <c r="K35" s="168"/>
      <c r="L35" s="168"/>
      <c r="M35" s="168"/>
      <c r="N35" s="168"/>
      <c r="O35" s="201"/>
      <c r="P35" s="20"/>
      <c r="Q35" s="20"/>
      <c r="R35" s="20"/>
      <c r="S35" s="20"/>
      <c r="T35" s="20"/>
      <c r="U35" s="20"/>
      <c r="V35" s="20"/>
      <c r="W35" s="20"/>
      <c r="X35" s="20"/>
      <c r="Y35" s="20"/>
    </row>
    <row r="36" spans="1:25">
      <c r="A36" s="193"/>
      <c r="B36" s="172">
        <v>2</v>
      </c>
      <c r="C36" s="206" t="s">
        <v>174</v>
      </c>
      <c r="D36" s="168"/>
      <c r="E36" s="168"/>
      <c r="F36" s="168"/>
      <c r="G36" s="168"/>
      <c r="H36" s="168"/>
      <c r="I36" s="168"/>
      <c r="J36" s="168"/>
      <c r="K36" s="168"/>
      <c r="L36" s="362">
        <f>Datum!N76</f>
        <v>0</v>
      </c>
      <c r="M36" s="362"/>
      <c r="N36" s="206" t="s">
        <v>30</v>
      </c>
      <c r="O36" s="201"/>
      <c r="P36" s="20"/>
      <c r="Q36" s="20"/>
      <c r="R36" s="20"/>
      <c r="S36" s="20"/>
      <c r="T36" s="20"/>
      <c r="U36" s="20"/>
      <c r="V36" s="20"/>
      <c r="W36" s="20"/>
      <c r="X36" s="20"/>
      <c r="Y36" s="20"/>
    </row>
    <row r="37" spans="1:25">
      <c r="A37" s="193"/>
      <c r="B37" s="168"/>
      <c r="C37" s="168"/>
      <c r="D37" s="168"/>
      <c r="E37" s="168"/>
      <c r="F37" s="168"/>
      <c r="G37" s="168"/>
      <c r="H37" s="168"/>
      <c r="I37" s="168"/>
      <c r="J37" s="168"/>
      <c r="K37" s="168"/>
      <c r="L37" s="168"/>
      <c r="M37" s="168"/>
      <c r="N37" s="168"/>
      <c r="O37" s="201"/>
      <c r="P37" s="20"/>
      <c r="Q37" s="20"/>
      <c r="R37" s="20"/>
      <c r="S37" s="20"/>
      <c r="T37" s="20"/>
      <c r="U37" s="20"/>
      <c r="V37" s="20"/>
      <c r="W37" s="20"/>
      <c r="X37" s="20"/>
      <c r="Y37" s="20"/>
    </row>
    <row r="38" spans="1:25">
      <c r="A38" s="193"/>
      <c r="B38" s="172">
        <v>3</v>
      </c>
      <c r="C38" s="206" t="s">
        <v>175</v>
      </c>
      <c r="D38" s="168"/>
      <c r="E38" s="168"/>
      <c r="F38" s="168"/>
      <c r="G38" s="168"/>
      <c r="H38" s="168"/>
      <c r="I38" s="168"/>
      <c r="J38" s="168"/>
      <c r="K38" s="168"/>
      <c r="L38" s="312">
        <f>ROUND(L33*L36,2)</f>
        <v>0</v>
      </c>
      <c r="M38" s="312"/>
      <c r="N38" s="170" t="s">
        <v>52</v>
      </c>
      <c r="O38" s="201"/>
      <c r="P38" s="20"/>
      <c r="Q38" s="20"/>
      <c r="R38" s="20"/>
      <c r="S38" s="20"/>
      <c r="T38" s="20"/>
      <c r="U38" s="20"/>
      <c r="V38" s="20"/>
      <c r="W38" s="20"/>
      <c r="X38" s="20"/>
      <c r="Y38" s="20"/>
    </row>
    <row r="39" spans="1:25">
      <c r="A39" s="193"/>
      <c r="B39" s="168"/>
      <c r="C39" s="170" t="s">
        <v>176</v>
      </c>
      <c r="D39" s="168"/>
      <c r="E39" s="168"/>
      <c r="F39" s="168"/>
      <c r="G39" s="168"/>
      <c r="H39" s="168"/>
      <c r="I39" s="168"/>
      <c r="J39" s="168"/>
      <c r="K39" s="168"/>
      <c r="L39" s="168"/>
      <c r="M39" s="168"/>
      <c r="N39" s="168"/>
      <c r="O39" s="201"/>
      <c r="P39" s="20"/>
      <c r="Q39" s="20"/>
      <c r="R39" s="20"/>
      <c r="S39" s="20"/>
      <c r="T39" s="20"/>
      <c r="U39" s="20"/>
      <c r="V39" s="20"/>
      <c r="W39" s="20"/>
      <c r="X39" s="20"/>
      <c r="Y39" s="20"/>
    </row>
    <row r="40" spans="1:25" ht="13.8" thickBot="1">
      <c r="A40" s="193"/>
      <c r="B40" s="168"/>
      <c r="C40" s="168"/>
      <c r="D40" s="168"/>
      <c r="E40" s="168"/>
      <c r="F40" s="168"/>
      <c r="G40" s="168"/>
      <c r="H40" s="168"/>
      <c r="I40" s="168"/>
      <c r="J40" s="168"/>
      <c r="K40" s="168"/>
      <c r="L40" s="168"/>
      <c r="M40" s="168"/>
      <c r="N40" s="168"/>
      <c r="O40" s="201"/>
      <c r="P40" s="20"/>
      <c r="Q40" s="20"/>
      <c r="R40" s="20"/>
      <c r="S40" s="20"/>
      <c r="T40" s="20"/>
      <c r="U40" s="20"/>
      <c r="V40" s="20"/>
      <c r="W40" s="20"/>
      <c r="X40" s="20"/>
      <c r="Y40" s="20"/>
    </row>
    <row r="41" spans="1:25" ht="13.8" thickBot="1">
      <c r="A41" s="186" t="s">
        <v>25</v>
      </c>
      <c r="B41" s="187" t="s">
        <v>177</v>
      </c>
      <c r="C41" s="189"/>
      <c r="D41" s="189"/>
      <c r="E41" s="189"/>
      <c r="F41" s="189"/>
      <c r="G41" s="189"/>
      <c r="H41" s="190"/>
      <c r="I41" s="168"/>
      <c r="J41" s="168"/>
      <c r="K41" s="168"/>
      <c r="L41" s="168"/>
      <c r="M41" s="168"/>
      <c r="N41" s="168"/>
      <c r="O41" s="201"/>
      <c r="P41" s="20"/>
      <c r="Q41" s="20"/>
      <c r="R41" s="20"/>
      <c r="S41" s="20"/>
      <c r="T41" s="20"/>
      <c r="U41" s="20"/>
      <c r="V41" s="20"/>
      <c r="W41" s="20"/>
      <c r="X41" s="20"/>
      <c r="Y41" s="20"/>
    </row>
    <row r="42" spans="1:25">
      <c r="A42" s="193"/>
      <c r="B42" s="168"/>
      <c r="C42" s="168"/>
      <c r="D42" s="168"/>
      <c r="E42" s="168"/>
      <c r="F42" s="168"/>
      <c r="G42" s="168"/>
      <c r="H42" s="168"/>
      <c r="I42" s="168"/>
      <c r="J42" s="168"/>
      <c r="K42" s="168"/>
      <c r="L42" s="168"/>
      <c r="M42" s="168"/>
      <c r="N42" s="168"/>
      <c r="O42" s="201"/>
      <c r="P42" s="20"/>
      <c r="Q42" s="20"/>
      <c r="R42" s="20"/>
      <c r="S42" s="20"/>
      <c r="T42" s="20"/>
      <c r="U42" s="20"/>
      <c r="V42" s="20"/>
      <c r="W42" s="20"/>
      <c r="X42" s="20"/>
      <c r="Y42" s="20"/>
    </row>
    <row r="43" spans="1:25">
      <c r="A43" s="193"/>
      <c r="B43" s="172">
        <v>1</v>
      </c>
      <c r="C43" s="206" t="s">
        <v>159</v>
      </c>
      <c r="D43" s="206"/>
      <c r="E43" s="206"/>
      <c r="F43" s="206"/>
      <c r="G43" s="206"/>
      <c r="H43" s="206"/>
      <c r="I43" s="206"/>
      <c r="J43" s="206"/>
      <c r="K43" s="206"/>
      <c r="L43" s="305"/>
      <c r="M43" s="305"/>
      <c r="N43" s="170" t="s">
        <v>52</v>
      </c>
      <c r="O43" s="201"/>
      <c r="P43" s="20"/>
      <c r="Q43" s="20"/>
      <c r="R43" s="20"/>
      <c r="S43" s="20"/>
      <c r="T43" s="20"/>
      <c r="U43" s="20"/>
      <c r="V43" s="20"/>
      <c r="W43" s="20"/>
      <c r="X43" s="20"/>
      <c r="Y43" s="20"/>
    </row>
    <row r="44" spans="1:25">
      <c r="A44" s="193"/>
      <c r="B44" s="168"/>
      <c r="C44" s="206" t="s">
        <v>160</v>
      </c>
      <c r="D44" s="206"/>
      <c r="E44" s="206"/>
      <c r="F44" s="206"/>
      <c r="G44" s="206"/>
      <c r="H44" s="206"/>
      <c r="I44" s="206"/>
      <c r="J44" s="206"/>
      <c r="K44" s="206"/>
      <c r="L44" s="168"/>
      <c r="M44" s="177"/>
      <c r="N44" s="168"/>
      <c r="O44" s="201"/>
      <c r="P44" s="20"/>
      <c r="Q44" s="20"/>
      <c r="R44" s="20"/>
      <c r="S44" s="20"/>
      <c r="T44" s="20"/>
      <c r="U44" s="20"/>
      <c r="V44" s="20"/>
      <c r="W44" s="20"/>
      <c r="X44" s="20"/>
      <c r="Y44" s="20"/>
    </row>
    <row r="45" spans="1:25">
      <c r="A45" s="193"/>
      <c r="B45" s="168"/>
      <c r="C45" s="206"/>
      <c r="D45" s="206"/>
      <c r="E45" s="206"/>
      <c r="F45" s="206"/>
      <c r="G45" s="206"/>
      <c r="H45" s="206"/>
      <c r="I45" s="206"/>
      <c r="J45" s="206"/>
      <c r="K45" s="206"/>
      <c r="L45" s="168"/>
      <c r="M45" s="177"/>
      <c r="N45" s="168"/>
      <c r="O45" s="201"/>
      <c r="P45" s="20"/>
      <c r="Q45" s="20"/>
      <c r="R45" s="20"/>
      <c r="S45" s="20"/>
      <c r="T45" s="20"/>
      <c r="U45" s="20"/>
      <c r="V45" s="20"/>
      <c r="W45" s="20"/>
      <c r="X45" s="20"/>
      <c r="Y45" s="20"/>
    </row>
    <row r="46" spans="1:25">
      <c r="A46" s="193"/>
      <c r="B46" s="172">
        <v>2</v>
      </c>
      <c r="C46" s="206" t="s">
        <v>161</v>
      </c>
      <c r="D46" s="168"/>
      <c r="E46" s="168"/>
      <c r="F46" s="168"/>
      <c r="G46" s="168"/>
      <c r="H46" s="168"/>
      <c r="I46" s="168"/>
      <c r="J46" s="168"/>
      <c r="K46" s="168"/>
      <c r="L46" s="305"/>
      <c r="M46" s="305"/>
      <c r="N46" s="168" t="s">
        <v>163</v>
      </c>
      <c r="O46" s="201"/>
      <c r="P46" s="20"/>
      <c r="Q46" s="20"/>
      <c r="R46" s="20"/>
      <c r="S46" s="20"/>
      <c r="T46" s="20"/>
      <c r="U46" s="20"/>
      <c r="V46" s="20"/>
      <c r="W46" s="20"/>
      <c r="X46" s="20"/>
      <c r="Y46" s="20"/>
    </row>
    <row r="47" spans="1:25">
      <c r="A47" s="193"/>
      <c r="B47" s="168"/>
      <c r="C47" s="170" t="s">
        <v>162</v>
      </c>
      <c r="D47" s="168"/>
      <c r="E47" s="168"/>
      <c r="F47" s="168"/>
      <c r="G47" s="168"/>
      <c r="H47" s="168"/>
      <c r="I47" s="168"/>
      <c r="J47" s="168"/>
      <c r="K47" s="168"/>
      <c r="L47" s="168"/>
      <c r="M47" s="168"/>
      <c r="N47" s="168"/>
      <c r="O47" s="201"/>
      <c r="P47" s="20"/>
      <c r="Q47" s="20"/>
      <c r="R47" s="20"/>
      <c r="S47" s="20"/>
      <c r="T47" s="20"/>
      <c r="U47" s="20"/>
      <c r="V47" s="20"/>
      <c r="W47" s="20"/>
      <c r="X47" s="20"/>
      <c r="Y47" s="20"/>
    </row>
    <row r="48" spans="1:25">
      <c r="A48" s="193"/>
      <c r="B48" s="168"/>
      <c r="C48" s="170"/>
      <c r="D48" s="168"/>
      <c r="E48" s="168"/>
      <c r="F48" s="168"/>
      <c r="G48" s="168"/>
      <c r="H48" s="168"/>
      <c r="I48" s="168"/>
      <c r="J48" s="168"/>
      <c r="K48" s="168"/>
      <c r="L48" s="168"/>
      <c r="M48" s="168"/>
      <c r="N48" s="168"/>
      <c r="O48" s="201"/>
      <c r="P48" s="20"/>
      <c r="Q48" s="20"/>
      <c r="R48" s="20"/>
      <c r="S48" s="20"/>
      <c r="T48" s="20"/>
      <c r="U48" s="20"/>
      <c r="V48" s="20"/>
      <c r="W48" s="20"/>
      <c r="X48" s="20"/>
      <c r="Y48" s="20"/>
    </row>
    <row r="49" spans="1:25">
      <c r="A49" s="193"/>
      <c r="B49" s="172">
        <v>3</v>
      </c>
      <c r="C49" s="206" t="s">
        <v>164</v>
      </c>
      <c r="D49" s="168"/>
      <c r="E49" s="168"/>
      <c r="F49" s="168"/>
      <c r="G49" s="168"/>
      <c r="H49" s="168"/>
      <c r="I49" s="168"/>
      <c r="J49" s="168"/>
      <c r="K49" s="168"/>
      <c r="L49" s="305"/>
      <c r="M49" s="305"/>
      <c r="N49" s="170" t="s">
        <v>52</v>
      </c>
      <c r="O49" s="201"/>
      <c r="P49" s="20"/>
      <c r="Q49" s="20"/>
      <c r="R49" s="20"/>
      <c r="S49" s="20"/>
      <c r="T49" s="20"/>
      <c r="U49" s="20"/>
      <c r="V49" s="20"/>
      <c r="W49" s="20"/>
      <c r="X49" s="20"/>
      <c r="Y49" s="20"/>
    </row>
    <row r="50" spans="1:25">
      <c r="A50" s="193"/>
      <c r="B50" s="168"/>
      <c r="C50" s="168"/>
      <c r="D50" s="168"/>
      <c r="E50" s="168"/>
      <c r="F50" s="168"/>
      <c r="G50" s="168"/>
      <c r="H50" s="168"/>
      <c r="I50" s="168"/>
      <c r="J50" s="168"/>
      <c r="K50" s="168"/>
      <c r="L50" s="168"/>
      <c r="M50" s="168"/>
      <c r="N50" s="168"/>
      <c r="O50" s="201"/>
      <c r="P50" s="20"/>
      <c r="Q50" s="20"/>
      <c r="R50" s="20"/>
      <c r="S50" s="20"/>
      <c r="T50" s="20"/>
      <c r="U50" s="20"/>
      <c r="V50" s="20"/>
      <c r="W50" s="20"/>
      <c r="X50" s="20"/>
      <c r="Y50" s="20"/>
    </row>
    <row r="51" spans="1:25">
      <c r="A51" s="194"/>
      <c r="B51" s="223">
        <v>4</v>
      </c>
      <c r="C51" s="170" t="s">
        <v>178</v>
      </c>
      <c r="D51" s="168"/>
      <c r="E51" s="168"/>
      <c r="F51" s="168"/>
      <c r="G51" s="168"/>
      <c r="H51" s="168"/>
      <c r="I51" s="168"/>
      <c r="J51" s="168"/>
      <c r="K51" s="168"/>
      <c r="L51" s="312">
        <f>(L46*L49)/100</f>
        <v>0</v>
      </c>
      <c r="M51" s="312"/>
      <c r="N51" s="170" t="s">
        <v>52</v>
      </c>
      <c r="O51" s="201"/>
      <c r="P51" s="20"/>
      <c r="Q51" s="20"/>
      <c r="R51" s="20"/>
      <c r="S51" s="20"/>
      <c r="T51" s="20"/>
      <c r="U51" s="20"/>
      <c r="V51" s="20"/>
      <c r="W51" s="20"/>
      <c r="X51" s="20"/>
      <c r="Y51" s="20"/>
    </row>
    <row r="52" spans="1:25">
      <c r="A52" s="193"/>
      <c r="B52" s="168"/>
      <c r="C52" s="168"/>
      <c r="D52" s="168"/>
      <c r="E52" s="168"/>
      <c r="F52" s="168"/>
      <c r="G52" s="168"/>
      <c r="H52" s="168"/>
      <c r="I52" s="168"/>
      <c r="J52" s="168"/>
      <c r="K52" s="168"/>
      <c r="L52" s="168"/>
      <c r="M52" s="168"/>
      <c r="N52" s="168"/>
      <c r="O52" s="201"/>
      <c r="P52" s="20"/>
      <c r="Q52" s="20"/>
      <c r="R52" s="20"/>
      <c r="S52" s="20"/>
      <c r="T52" s="20"/>
      <c r="U52" s="20"/>
      <c r="V52" s="20"/>
      <c r="W52" s="20"/>
      <c r="X52" s="20"/>
      <c r="Y52" s="20"/>
    </row>
    <row r="53" spans="1:25">
      <c r="A53" s="193"/>
      <c r="B53" s="172">
        <v>5</v>
      </c>
      <c r="C53" s="170" t="s">
        <v>179</v>
      </c>
      <c r="D53" s="168"/>
      <c r="E53" s="168"/>
      <c r="F53" s="168"/>
      <c r="G53" s="168"/>
      <c r="H53" s="168"/>
      <c r="I53" s="168"/>
      <c r="J53" s="168"/>
      <c r="K53" s="168"/>
      <c r="L53" s="312">
        <f>L43+L51</f>
        <v>0</v>
      </c>
      <c r="M53" s="312"/>
      <c r="N53" s="170" t="s">
        <v>52</v>
      </c>
      <c r="O53" s="201"/>
      <c r="P53" s="20"/>
      <c r="Q53" s="20"/>
      <c r="R53" s="20"/>
      <c r="S53" s="20"/>
      <c r="T53" s="20"/>
      <c r="U53" s="20"/>
      <c r="V53" s="20"/>
      <c r="W53" s="20"/>
      <c r="X53" s="20"/>
      <c r="Y53" s="20"/>
    </row>
    <row r="54" spans="1:25">
      <c r="A54" s="193"/>
      <c r="B54" s="169"/>
      <c r="C54" s="170" t="s">
        <v>180</v>
      </c>
      <c r="D54" s="168"/>
      <c r="E54" s="168"/>
      <c r="F54" s="168"/>
      <c r="G54" s="168"/>
      <c r="H54" s="168"/>
      <c r="I54" s="168"/>
      <c r="J54" s="168"/>
      <c r="K54" s="168"/>
      <c r="L54" s="168"/>
      <c r="M54" s="168"/>
      <c r="N54" s="168"/>
      <c r="O54" s="201"/>
      <c r="P54" s="20"/>
      <c r="Q54" s="20"/>
      <c r="R54" s="20"/>
      <c r="S54" s="20"/>
      <c r="T54" s="20"/>
      <c r="U54" s="20"/>
      <c r="V54" s="20"/>
      <c r="W54" s="20"/>
      <c r="X54" s="20"/>
      <c r="Y54" s="20"/>
    </row>
    <row r="55" spans="1:25" ht="13.8" thickBot="1">
      <c r="A55" s="193"/>
      <c r="B55" s="168"/>
      <c r="C55" s="168"/>
      <c r="D55" s="168"/>
      <c r="E55" s="168"/>
      <c r="F55" s="168"/>
      <c r="G55" s="168"/>
      <c r="H55" s="168"/>
      <c r="I55" s="168"/>
      <c r="J55" s="168"/>
      <c r="K55" s="168"/>
      <c r="L55" s="168"/>
      <c r="M55" s="168"/>
      <c r="N55" s="168"/>
      <c r="O55" s="201"/>
      <c r="P55" s="20"/>
      <c r="Q55" s="20"/>
      <c r="R55" s="20"/>
      <c r="S55" s="20"/>
      <c r="T55" s="20"/>
      <c r="U55" s="20"/>
      <c r="V55" s="20"/>
      <c r="W55" s="20"/>
      <c r="X55" s="20"/>
      <c r="Y55" s="20"/>
    </row>
    <row r="56" spans="1:25" ht="13.8" thickBot="1">
      <c r="A56" s="186" t="s">
        <v>32</v>
      </c>
      <c r="B56" s="187" t="s">
        <v>181</v>
      </c>
      <c r="C56" s="189"/>
      <c r="D56" s="189"/>
      <c r="E56" s="189"/>
      <c r="F56" s="189"/>
      <c r="G56" s="189"/>
      <c r="H56" s="190"/>
      <c r="I56" s="168"/>
      <c r="J56" s="168"/>
      <c r="K56" s="168"/>
      <c r="L56" s="168"/>
      <c r="M56" s="168"/>
      <c r="N56" s="168"/>
      <c r="O56" s="201"/>
      <c r="P56" s="20"/>
      <c r="Q56" s="20"/>
      <c r="R56" s="20"/>
      <c r="S56" s="20"/>
      <c r="T56" s="20"/>
      <c r="U56" s="20"/>
      <c r="V56" s="20"/>
      <c r="W56" s="20"/>
      <c r="X56" s="20"/>
      <c r="Y56" s="20"/>
    </row>
    <row r="57" spans="1:25">
      <c r="A57" s="193"/>
      <c r="B57" s="168"/>
      <c r="C57" s="168"/>
      <c r="D57" s="168"/>
      <c r="E57" s="168"/>
      <c r="F57" s="168"/>
      <c r="G57" s="168"/>
      <c r="H57" s="168"/>
      <c r="I57" s="168"/>
      <c r="J57" s="168"/>
      <c r="K57" s="168"/>
      <c r="L57" s="168"/>
      <c r="M57" s="168"/>
      <c r="N57" s="168"/>
      <c r="O57" s="201"/>
      <c r="P57" s="20"/>
      <c r="Q57" s="20"/>
      <c r="R57" s="20"/>
      <c r="S57" s="20"/>
      <c r="T57" s="20"/>
      <c r="U57" s="20"/>
      <c r="V57" s="20"/>
      <c r="W57" s="20"/>
      <c r="X57" s="20"/>
      <c r="Y57" s="20"/>
    </row>
    <row r="58" spans="1:25">
      <c r="A58" s="193"/>
      <c r="B58" s="172">
        <v>1</v>
      </c>
      <c r="C58" s="206" t="s">
        <v>182</v>
      </c>
      <c r="D58" s="168"/>
      <c r="E58" s="168"/>
      <c r="F58" s="168"/>
      <c r="G58" s="168"/>
      <c r="H58" s="168"/>
      <c r="I58" s="168"/>
      <c r="J58" s="168"/>
      <c r="K58" s="168"/>
      <c r="L58" s="312">
        <f>ROUND(L27^2+L38^2+L53^2,1)</f>
        <v>0</v>
      </c>
      <c r="M58" s="312"/>
      <c r="N58" s="170" t="s">
        <v>184</v>
      </c>
      <c r="O58" s="201"/>
      <c r="P58" s="44" t="s">
        <v>337</v>
      </c>
      <c r="Q58" s="20"/>
      <c r="R58" s="20"/>
      <c r="S58" s="20"/>
      <c r="T58" s="20"/>
      <c r="U58" s="20"/>
      <c r="V58" s="20"/>
      <c r="W58" s="20"/>
      <c r="X58" s="20"/>
      <c r="Y58" s="20"/>
    </row>
    <row r="59" spans="1:25">
      <c r="A59" s="193"/>
      <c r="B59" s="168"/>
      <c r="C59" s="206" t="s">
        <v>183</v>
      </c>
      <c r="D59" s="168"/>
      <c r="E59" s="168"/>
      <c r="F59" s="168"/>
      <c r="G59" s="168"/>
      <c r="H59" s="168"/>
      <c r="I59" s="168"/>
      <c r="J59" s="168"/>
      <c r="K59" s="168"/>
      <c r="L59" s="168"/>
      <c r="M59" s="168"/>
      <c r="N59" s="168"/>
      <c r="O59" s="201"/>
      <c r="P59" s="20"/>
      <c r="Q59" s="20"/>
      <c r="R59" s="20"/>
      <c r="S59" s="20"/>
      <c r="T59" s="20"/>
      <c r="U59" s="20"/>
      <c r="V59" s="20"/>
      <c r="W59" s="20"/>
      <c r="X59" s="20"/>
      <c r="Y59" s="20"/>
    </row>
    <row r="60" spans="1:25">
      <c r="A60" s="193"/>
      <c r="B60" s="168"/>
      <c r="C60" s="168"/>
      <c r="D60" s="168"/>
      <c r="E60" s="168"/>
      <c r="F60" s="168"/>
      <c r="G60" s="168"/>
      <c r="H60" s="168"/>
      <c r="I60" s="168"/>
      <c r="J60" s="168"/>
      <c r="K60" s="168"/>
      <c r="L60" s="168"/>
      <c r="M60" s="168"/>
      <c r="N60" s="168"/>
      <c r="O60" s="201"/>
      <c r="P60" s="20"/>
      <c r="Q60" s="20"/>
      <c r="R60" s="20"/>
      <c r="S60" s="20"/>
      <c r="T60" s="20"/>
      <c r="U60" s="20"/>
      <c r="V60" s="20"/>
      <c r="W60" s="20"/>
      <c r="X60" s="20"/>
      <c r="Y60" s="20"/>
    </row>
    <row r="61" spans="1:25">
      <c r="A61" s="193"/>
      <c r="B61" s="172">
        <v>2</v>
      </c>
      <c r="C61" s="170" t="s">
        <v>185</v>
      </c>
      <c r="D61" s="168"/>
      <c r="E61" s="168"/>
      <c r="F61" s="168"/>
      <c r="G61" s="168"/>
      <c r="H61" s="168"/>
      <c r="I61" s="168"/>
      <c r="J61" s="168"/>
      <c r="K61" s="168"/>
      <c r="L61" s="312">
        <f>ROUND(SQRT(L58),2)</f>
        <v>0</v>
      </c>
      <c r="M61" s="312"/>
      <c r="N61" s="170" t="s">
        <v>52</v>
      </c>
      <c r="O61" s="201"/>
      <c r="P61" s="20"/>
      <c r="Q61" s="20"/>
      <c r="R61" s="20"/>
      <c r="S61" s="20"/>
      <c r="T61" s="20"/>
      <c r="U61" s="20"/>
      <c r="V61" s="20"/>
      <c r="W61" s="20"/>
      <c r="X61" s="20"/>
      <c r="Y61" s="20"/>
    </row>
    <row r="62" spans="1:25">
      <c r="A62" s="193"/>
      <c r="B62" s="168"/>
      <c r="C62" s="206" t="s">
        <v>186</v>
      </c>
      <c r="D62" s="168"/>
      <c r="E62" s="168"/>
      <c r="F62" s="168"/>
      <c r="G62" s="168"/>
      <c r="H62" s="168"/>
      <c r="I62" s="168"/>
      <c r="J62" s="168"/>
      <c r="K62" s="168"/>
      <c r="L62" s="168"/>
      <c r="M62" s="168"/>
      <c r="N62" s="168"/>
      <c r="O62" s="201"/>
      <c r="P62" s="20"/>
      <c r="Q62" s="20"/>
      <c r="R62" s="20"/>
      <c r="S62" s="20"/>
      <c r="T62" s="20"/>
      <c r="U62" s="20"/>
      <c r="V62" s="20"/>
      <c r="W62" s="20"/>
      <c r="X62" s="20"/>
      <c r="Y62" s="20"/>
    </row>
    <row r="63" spans="1:25" ht="13.8" thickBot="1">
      <c r="A63" s="198"/>
      <c r="B63" s="199"/>
      <c r="C63" s="199"/>
      <c r="D63" s="199"/>
      <c r="E63" s="199"/>
      <c r="F63" s="199"/>
      <c r="G63" s="199"/>
      <c r="H63" s="199"/>
      <c r="I63" s="199"/>
      <c r="J63" s="199"/>
      <c r="K63" s="199"/>
      <c r="L63" s="199"/>
      <c r="M63" s="199"/>
      <c r="N63" s="199"/>
      <c r="O63" s="205"/>
      <c r="P63" s="20"/>
      <c r="Q63" s="20"/>
      <c r="R63" s="20"/>
      <c r="S63" s="20"/>
      <c r="T63" s="20"/>
      <c r="U63" s="20"/>
      <c r="V63" s="20"/>
      <c r="W63" s="20"/>
      <c r="X63" s="20"/>
      <c r="Y63" s="20"/>
    </row>
    <row r="64" spans="1:25" ht="13.8" thickTop="1">
      <c r="A64" s="20"/>
      <c r="B64" s="40"/>
      <c r="C64" s="43"/>
      <c r="D64" s="20"/>
      <c r="E64" s="20"/>
      <c r="F64" s="20"/>
      <c r="G64" s="20"/>
      <c r="H64" s="20"/>
      <c r="I64" s="20"/>
      <c r="J64" s="20"/>
      <c r="K64" s="20"/>
      <c r="L64" s="20"/>
      <c r="M64" s="20"/>
      <c r="N64" s="20"/>
      <c r="O64" s="39"/>
      <c r="P64" s="20"/>
      <c r="Q64" s="20"/>
      <c r="R64" s="20"/>
      <c r="S64" s="20"/>
      <c r="T64" s="20"/>
      <c r="U64" s="20"/>
      <c r="V64" s="20"/>
      <c r="W64" s="20"/>
      <c r="X64" s="20"/>
      <c r="Y64" s="20"/>
    </row>
    <row r="65" spans="1:25">
      <c r="A65" s="20"/>
      <c r="B65" s="20"/>
      <c r="C65" s="20"/>
      <c r="D65" s="20"/>
      <c r="E65" s="20"/>
      <c r="F65" s="20"/>
      <c r="G65" s="20"/>
      <c r="H65" s="20"/>
      <c r="I65" s="20"/>
      <c r="J65" s="20"/>
      <c r="K65" s="20"/>
      <c r="L65" s="20"/>
      <c r="M65" s="20"/>
      <c r="N65" s="20"/>
      <c r="O65" s="20"/>
      <c r="P65" s="20"/>
      <c r="Q65" s="20"/>
      <c r="R65" s="20"/>
      <c r="S65" s="20"/>
      <c r="T65" s="20"/>
      <c r="U65" s="20"/>
      <c r="V65" s="20"/>
      <c r="W65" s="20"/>
      <c r="X65" s="20"/>
      <c r="Y65" s="20"/>
    </row>
    <row r="66" spans="1:25">
      <c r="A66" s="38"/>
      <c r="B66" s="38"/>
      <c r="C66" s="20"/>
      <c r="D66" s="20"/>
      <c r="E66" s="20"/>
      <c r="F66" s="20"/>
      <c r="G66" s="20"/>
      <c r="H66" s="20"/>
      <c r="I66" s="20"/>
      <c r="J66" s="20"/>
      <c r="K66" s="20"/>
      <c r="L66" s="20"/>
      <c r="M66" s="20"/>
      <c r="N66" s="20"/>
      <c r="O66" s="20"/>
      <c r="P66" s="20"/>
      <c r="Q66" s="20"/>
      <c r="R66" s="20"/>
      <c r="S66" s="20"/>
      <c r="T66" s="20"/>
      <c r="U66" s="20"/>
      <c r="V66" s="20"/>
      <c r="W66" s="20"/>
      <c r="X66" s="20"/>
      <c r="Y66" s="20"/>
    </row>
    <row r="67" spans="1:25">
      <c r="A67" s="20"/>
      <c r="B67" s="39"/>
      <c r="C67" s="20"/>
      <c r="D67" s="20"/>
      <c r="E67" s="20"/>
      <c r="F67" s="20"/>
      <c r="G67" s="20"/>
      <c r="H67" s="20"/>
      <c r="I67" s="20"/>
      <c r="J67" s="20"/>
      <c r="K67" s="20"/>
      <c r="L67" s="20"/>
      <c r="M67" s="20"/>
      <c r="N67" s="20"/>
      <c r="O67" s="20"/>
      <c r="P67" s="20"/>
      <c r="Q67" s="20"/>
      <c r="R67" s="20"/>
      <c r="S67" s="20"/>
      <c r="T67" s="20"/>
      <c r="U67" s="20"/>
      <c r="V67" s="20"/>
      <c r="W67" s="20"/>
      <c r="X67" s="20"/>
      <c r="Y67" s="20"/>
    </row>
    <row r="68" spans="1:25">
      <c r="A68" s="20"/>
      <c r="B68" s="20"/>
      <c r="C68" s="20"/>
      <c r="D68" s="20"/>
      <c r="E68" s="20"/>
      <c r="F68" s="20"/>
      <c r="G68" s="20"/>
      <c r="H68" s="20"/>
      <c r="I68" s="20"/>
      <c r="J68" s="20"/>
      <c r="K68" s="20"/>
      <c r="L68" s="20"/>
      <c r="M68" s="20"/>
      <c r="N68" s="20"/>
      <c r="O68" s="20"/>
      <c r="P68" s="20"/>
      <c r="Q68" s="20"/>
      <c r="R68" s="20"/>
      <c r="S68" s="20"/>
      <c r="T68" s="20"/>
      <c r="U68" s="20"/>
      <c r="V68" s="20"/>
      <c r="W68" s="20"/>
      <c r="X68" s="20"/>
      <c r="Y68" s="20"/>
    </row>
    <row r="69" spans="1:25">
      <c r="A69" s="20"/>
      <c r="B69" s="40"/>
      <c r="C69" s="39"/>
      <c r="D69" s="20"/>
      <c r="E69" s="20"/>
      <c r="F69" s="20"/>
      <c r="G69" s="20"/>
      <c r="H69" s="20"/>
      <c r="I69" s="20"/>
      <c r="J69" s="20"/>
      <c r="K69" s="20"/>
      <c r="L69" s="20"/>
      <c r="M69" s="20"/>
      <c r="N69" s="20"/>
      <c r="O69" s="39"/>
      <c r="P69" s="20"/>
      <c r="Q69" s="20"/>
      <c r="R69" s="20"/>
      <c r="S69" s="20"/>
      <c r="T69" s="20"/>
      <c r="U69" s="20"/>
      <c r="V69" s="20"/>
      <c r="W69" s="20"/>
      <c r="X69" s="20"/>
      <c r="Y69" s="20"/>
    </row>
    <row r="70" spans="1:25">
      <c r="A70" s="20"/>
      <c r="B70" s="20"/>
      <c r="C70" s="20"/>
      <c r="D70" s="20"/>
      <c r="E70" s="20"/>
      <c r="F70" s="20"/>
      <c r="G70" s="20"/>
      <c r="H70" s="20"/>
      <c r="I70" s="20"/>
      <c r="J70" s="20"/>
      <c r="K70" s="20"/>
      <c r="L70" s="20"/>
      <c r="M70" s="20"/>
      <c r="N70" s="20"/>
      <c r="O70" s="20"/>
      <c r="P70" s="20"/>
      <c r="Q70" s="20"/>
      <c r="R70" s="20"/>
      <c r="S70" s="20"/>
      <c r="T70" s="20"/>
      <c r="U70" s="20"/>
      <c r="V70" s="20"/>
      <c r="W70" s="20"/>
      <c r="X70" s="20"/>
      <c r="Y70" s="20"/>
    </row>
    <row r="71" spans="1:25">
      <c r="A71" s="20"/>
      <c r="B71" s="40"/>
      <c r="C71" s="39"/>
      <c r="D71" s="20"/>
      <c r="E71" s="20"/>
      <c r="F71" s="20"/>
      <c r="G71" s="20"/>
      <c r="H71" s="20"/>
      <c r="I71" s="20"/>
      <c r="J71" s="20"/>
      <c r="K71" s="20"/>
      <c r="L71" s="20"/>
      <c r="M71" s="20"/>
      <c r="N71" s="20"/>
      <c r="O71" s="39"/>
      <c r="P71" s="20"/>
      <c r="Q71" s="20"/>
      <c r="R71" s="20"/>
      <c r="S71" s="20"/>
      <c r="T71" s="20"/>
      <c r="U71" s="20"/>
      <c r="V71" s="20"/>
      <c r="W71" s="20"/>
      <c r="X71" s="20"/>
      <c r="Y71" s="20"/>
    </row>
    <row r="72" spans="1:25">
      <c r="A72" s="20"/>
      <c r="B72" s="20"/>
      <c r="C72" s="20"/>
      <c r="D72" s="20"/>
      <c r="E72" s="20"/>
      <c r="F72" s="20"/>
      <c r="G72" s="20"/>
      <c r="H72" s="20"/>
      <c r="I72" s="20"/>
      <c r="J72" s="20"/>
      <c r="K72" s="20"/>
      <c r="L72" s="20"/>
      <c r="M72" s="20"/>
      <c r="N72" s="20"/>
      <c r="O72" s="20"/>
      <c r="P72" s="20"/>
      <c r="Q72" s="20"/>
      <c r="R72" s="20"/>
      <c r="S72" s="20"/>
      <c r="T72" s="20"/>
      <c r="U72" s="20"/>
      <c r="V72" s="20"/>
      <c r="W72" s="20"/>
      <c r="X72" s="20"/>
      <c r="Y72" s="20"/>
    </row>
    <row r="73" spans="1:25">
      <c r="A73" s="20"/>
      <c r="B73" s="40"/>
      <c r="C73" s="39"/>
      <c r="D73" s="20"/>
      <c r="E73" s="20"/>
      <c r="F73" s="20"/>
      <c r="G73" s="20"/>
      <c r="H73" s="20"/>
      <c r="I73" s="20"/>
      <c r="J73" s="20"/>
      <c r="K73" s="20"/>
      <c r="L73" s="20"/>
      <c r="M73" s="20"/>
      <c r="N73" s="20"/>
      <c r="O73" s="20"/>
      <c r="P73" s="20"/>
      <c r="Q73" s="20"/>
      <c r="R73" s="20"/>
      <c r="S73" s="20"/>
      <c r="T73" s="20"/>
      <c r="U73" s="20"/>
      <c r="V73" s="20"/>
      <c r="W73" s="20"/>
      <c r="X73" s="20"/>
      <c r="Y73" s="20"/>
    </row>
    <row r="74" spans="1:25">
      <c r="A74" s="20"/>
      <c r="B74" s="20"/>
      <c r="C74" s="20"/>
      <c r="D74" s="20"/>
      <c r="E74" s="20"/>
      <c r="F74" s="20"/>
      <c r="G74" s="20"/>
      <c r="H74" s="20"/>
      <c r="I74" s="20"/>
      <c r="J74" s="20"/>
      <c r="K74" s="20"/>
      <c r="L74" s="20"/>
      <c r="M74" s="20"/>
      <c r="N74" s="20"/>
      <c r="O74" s="20"/>
      <c r="P74" s="20"/>
      <c r="Q74" s="20"/>
      <c r="R74" s="20"/>
      <c r="S74" s="20"/>
      <c r="T74" s="20"/>
      <c r="U74" s="20"/>
      <c r="V74" s="20"/>
      <c r="W74" s="20"/>
      <c r="X74" s="20"/>
      <c r="Y74" s="20"/>
    </row>
    <row r="75" spans="1:25">
      <c r="A75" s="20"/>
      <c r="B75" s="40"/>
      <c r="C75" s="39"/>
      <c r="D75" s="20"/>
      <c r="E75" s="20"/>
      <c r="F75" s="20"/>
      <c r="G75" s="20"/>
      <c r="H75" s="20"/>
      <c r="I75" s="20"/>
      <c r="J75" s="20"/>
      <c r="K75" s="20"/>
      <c r="L75" s="20"/>
      <c r="M75" s="20"/>
      <c r="N75" s="20"/>
      <c r="O75" s="20"/>
      <c r="P75" s="20"/>
      <c r="Q75" s="20"/>
      <c r="R75" s="20"/>
      <c r="S75" s="20"/>
      <c r="T75" s="20"/>
      <c r="U75" s="20"/>
      <c r="V75" s="20"/>
      <c r="W75" s="20"/>
      <c r="X75" s="20"/>
      <c r="Y75" s="20"/>
    </row>
    <row r="76" spans="1:25">
      <c r="A76" s="20"/>
      <c r="B76" s="20"/>
      <c r="C76" s="20"/>
      <c r="D76" s="20"/>
      <c r="E76" s="20"/>
      <c r="F76" s="20"/>
      <c r="G76" s="20"/>
      <c r="H76" s="20"/>
      <c r="I76" s="20"/>
      <c r="J76" s="20"/>
      <c r="K76" s="20"/>
      <c r="L76" s="20"/>
      <c r="M76" s="20"/>
      <c r="N76" s="20"/>
      <c r="O76" s="20"/>
      <c r="P76" s="20"/>
      <c r="Q76" s="20"/>
      <c r="R76" s="20"/>
      <c r="S76" s="20"/>
      <c r="T76" s="20"/>
      <c r="U76" s="20"/>
      <c r="V76" s="20"/>
      <c r="W76" s="20"/>
      <c r="X76" s="20"/>
      <c r="Y76" s="20"/>
    </row>
    <row r="77" spans="1:25">
      <c r="A77" s="20"/>
      <c r="B77" s="20"/>
      <c r="C77" s="20"/>
      <c r="D77" s="20"/>
      <c r="E77" s="20"/>
      <c r="F77" s="20"/>
      <c r="G77" s="20"/>
      <c r="H77" s="20"/>
      <c r="I77" s="20"/>
      <c r="J77" s="20"/>
      <c r="K77" s="20"/>
      <c r="L77" s="20"/>
      <c r="M77" s="20"/>
      <c r="N77" s="20"/>
      <c r="O77" s="20"/>
      <c r="P77" s="20"/>
      <c r="Q77" s="20"/>
      <c r="R77" s="20"/>
      <c r="S77" s="20"/>
      <c r="T77" s="20"/>
      <c r="U77" s="20"/>
      <c r="V77" s="20"/>
      <c r="W77" s="20"/>
      <c r="X77" s="20"/>
      <c r="Y77" s="20"/>
    </row>
    <row r="78" spans="1:25">
      <c r="A78" s="20"/>
      <c r="B78" s="20"/>
      <c r="C78" s="20"/>
      <c r="D78" s="20"/>
      <c r="E78" s="20"/>
      <c r="F78" s="20"/>
      <c r="G78" s="20"/>
      <c r="H78" s="20"/>
      <c r="I78" s="20"/>
      <c r="J78" s="20"/>
      <c r="K78" s="20"/>
      <c r="L78" s="20"/>
      <c r="M78" s="20"/>
      <c r="N78" s="20"/>
      <c r="O78" s="20"/>
      <c r="P78" s="20"/>
      <c r="Q78" s="20"/>
      <c r="R78" s="20"/>
      <c r="S78" s="20"/>
      <c r="T78" s="20"/>
      <c r="U78" s="20"/>
      <c r="V78" s="20"/>
      <c r="W78" s="20"/>
      <c r="X78" s="20"/>
      <c r="Y78" s="20"/>
    </row>
    <row r="79" spans="1:25">
      <c r="A79" s="20"/>
      <c r="B79" s="20"/>
      <c r="C79" s="20"/>
      <c r="D79" s="20"/>
      <c r="E79" s="20"/>
      <c r="F79" s="20"/>
      <c r="G79" s="20"/>
      <c r="H79" s="20"/>
      <c r="I79" s="20"/>
      <c r="J79" s="20"/>
      <c r="K79" s="20"/>
      <c r="L79" s="20"/>
      <c r="M79" s="20"/>
      <c r="N79" s="20"/>
      <c r="O79" s="20"/>
      <c r="P79" s="20"/>
      <c r="Q79" s="20"/>
      <c r="R79" s="20"/>
      <c r="S79" s="20"/>
      <c r="T79" s="20"/>
      <c r="U79" s="20"/>
      <c r="V79" s="20"/>
      <c r="W79" s="20"/>
      <c r="X79" s="20"/>
      <c r="Y79" s="20"/>
    </row>
    <row r="80" spans="1:25">
      <c r="A80" s="20"/>
      <c r="B80" s="20"/>
      <c r="C80" s="20"/>
      <c r="D80" s="20"/>
      <c r="E80" s="20"/>
      <c r="F80" s="20"/>
      <c r="G80" s="20"/>
      <c r="H80" s="20"/>
      <c r="I80" s="20"/>
      <c r="J80" s="20"/>
      <c r="K80" s="20"/>
      <c r="L80" s="20"/>
      <c r="M80" s="20"/>
      <c r="N80" s="20"/>
      <c r="O80" s="20"/>
      <c r="P80" s="20"/>
      <c r="Q80" s="20"/>
      <c r="R80" s="20"/>
      <c r="S80" s="20"/>
      <c r="T80" s="20"/>
      <c r="U80" s="20"/>
      <c r="V80" s="20"/>
      <c r="W80" s="20"/>
      <c r="X80" s="20"/>
      <c r="Y80" s="20"/>
    </row>
    <row r="81" spans="1:25">
      <c r="A81" s="20"/>
      <c r="B81" s="20"/>
      <c r="C81" s="20"/>
      <c r="D81" s="20"/>
      <c r="E81" s="20"/>
      <c r="F81" s="20"/>
      <c r="G81" s="20"/>
      <c r="H81" s="20"/>
      <c r="I81" s="20"/>
      <c r="J81" s="20"/>
      <c r="K81" s="20"/>
      <c r="L81" s="20"/>
      <c r="M81" s="20"/>
      <c r="N81" s="20"/>
      <c r="O81" s="20"/>
      <c r="P81" s="20"/>
      <c r="Q81" s="20"/>
      <c r="R81" s="20"/>
      <c r="S81" s="20"/>
      <c r="T81" s="20"/>
      <c r="U81" s="20"/>
      <c r="V81" s="20"/>
      <c r="W81" s="20"/>
      <c r="X81" s="20"/>
      <c r="Y81" s="20"/>
    </row>
    <row r="82" spans="1:25">
      <c r="A82" s="20"/>
      <c r="B82" s="20"/>
      <c r="C82" s="20"/>
      <c r="D82" s="20"/>
      <c r="E82" s="20"/>
      <c r="F82" s="20"/>
      <c r="G82" s="20"/>
      <c r="H82" s="20"/>
      <c r="I82" s="20"/>
      <c r="J82" s="20"/>
      <c r="K82" s="20"/>
      <c r="L82" s="20"/>
      <c r="M82" s="20"/>
      <c r="N82" s="20"/>
      <c r="O82" s="20"/>
      <c r="P82" s="20"/>
      <c r="Q82" s="20"/>
      <c r="R82" s="20"/>
      <c r="S82" s="20"/>
      <c r="T82" s="20"/>
      <c r="U82" s="20"/>
      <c r="V82" s="20"/>
      <c r="W82" s="20"/>
      <c r="X82" s="20"/>
      <c r="Y82" s="20"/>
    </row>
    <row r="83" spans="1:25">
      <c r="A83" s="20"/>
      <c r="B83" s="20"/>
      <c r="C83" s="20"/>
      <c r="D83" s="20"/>
      <c r="E83" s="20"/>
      <c r="F83" s="20"/>
      <c r="G83" s="20"/>
      <c r="H83" s="20"/>
      <c r="I83" s="20"/>
      <c r="J83" s="20"/>
      <c r="K83" s="20"/>
      <c r="L83" s="20"/>
      <c r="M83" s="20"/>
      <c r="N83" s="20"/>
      <c r="O83" s="20"/>
      <c r="P83" s="20"/>
      <c r="Q83" s="20"/>
      <c r="R83" s="20"/>
      <c r="S83" s="20"/>
      <c r="T83" s="20"/>
      <c r="U83" s="20"/>
      <c r="V83" s="20"/>
      <c r="W83" s="20"/>
      <c r="X83" s="20"/>
      <c r="Y83" s="20"/>
    </row>
    <row r="84" spans="1:25">
      <c r="A84" s="20"/>
      <c r="B84" s="20"/>
      <c r="C84" s="20"/>
      <c r="D84" s="20"/>
      <c r="E84" s="20"/>
      <c r="F84" s="20"/>
      <c r="G84" s="20"/>
      <c r="H84" s="20"/>
      <c r="I84" s="20"/>
      <c r="J84" s="20"/>
      <c r="K84" s="20"/>
      <c r="L84" s="20"/>
      <c r="M84" s="20"/>
      <c r="N84" s="20"/>
      <c r="O84" s="20"/>
      <c r="P84" s="20"/>
      <c r="Q84" s="20"/>
      <c r="R84" s="20"/>
      <c r="S84" s="20"/>
      <c r="T84" s="20"/>
      <c r="U84" s="20"/>
      <c r="V84" s="20"/>
      <c r="W84" s="20"/>
      <c r="X84" s="20"/>
      <c r="Y84" s="20"/>
    </row>
    <row r="85" spans="1:25">
      <c r="A85" s="20"/>
      <c r="B85" s="20"/>
      <c r="C85" s="20"/>
      <c r="D85" s="20"/>
      <c r="E85" s="20"/>
      <c r="F85" s="20"/>
      <c r="G85" s="20"/>
      <c r="H85" s="20"/>
      <c r="I85" s="20"/>
      <c r="J85" s="20"/>
      <c r="K85" s="20"/>
      <c r="L85" s="20"/>
      <c r="M85" s="20"/>
      <c r="N85" s="20"/>
      <c r="O85" s="20"/>
      <c r="P85" s="20"/>
      <c r="Q85" s="20"/>
      <c r="R85" s="20"/>
      <c r="S85" s="20"/>
      <c r="T85" s="20"/>
      <c r="U85" s="20"/>
      <c r="V85" s="20"/>
      <c r="W85" s="20"/>
      <c r="X85" s="20"/>
      <c r="Y85" s="20"/>
    </row>
    <row r="86" spans="1:25">
      <c r="A86" s="20"/>
      <c r="B86" s="20"/>
      <c r="C86" s="20"/>
      <c r="D86" s="20"/>
      <c r="E86" s="20"/>
      <c r="F86" s="20"/>
      <c r="G86" s="20"/>
      <c r="H86" s="20"/>
      <c r="I86" s="20"/>
      <c r="J86" s="20"/>
      <c r="K86" s="20"/>
      <c r="L86" s="20"/>
      <c r="M86" s="20"/>
      <c r="N86" s="20"/>
      <c r="O86" s="20"/>
      <c r="P86" s="20"/>
      <c r="Q86" s="20"/>
      <c r="R86" s="20"/>
      <c r="S86" s="20"/>
      <c r="T86" s="20"/>
      <c r="U86" s="20"/>
      <c r="V86" s="20"/>
      <c r="W86" s="20"/>
      <c r="X86" s="20"/>
      <c r="Y86" s="20"/>
    </row>
    <row r="87" spans="1:25">
      <c r="A87" s="20"/>
      <c r="B87" s="20"/>
      <c r="C87" s="20"/>
      <c r="D87" s="20"/>
      <c r="E87" s="20"/>
      <c r="F87" s="20"/>
      <c r="G87" s="20"/>
      <c r="H87" s="20"/>
      <c r="I87" s="20"/>
      <c r="J87" s="20"/>
      <c r="K87" s="20"/>
      <c r="L87" s="20"/>
      <c r="M87" s="20"/>
      <c r="N87" s="20"/>
      <c r="O87" s="20"/>
      <c r="P87" s="20"/>
      <c r="Q87" s="20"/>
      <c r="R87" s="20"/>
      <c r="S87" s="20"/>
      <c r="T87" s="20"/>
      <c r="U87" s="20"/>
      <c r="V87" s="20"/>
      <c r="W87" s="20"/>
      <c r="X87" s="20"/>
      <c r="Y87" s="20"/>
    </row>
    <row r="88" spans="1:25">
      <c r="A88" s="20"/>
      <c r="B88" s="20"/>
      <c r="C88" s="20"/>
      <c r="D88" s="20"/>
      <c r="E88" s="20"/>
      <c r="F88" s="20"/>
      <c r="G88" s="20"/>
      <c r="H88" s="20"/>
      <c r="I88" s="20"/>
      <c r="J88" s="20"/>
      <c r="K88" s="20"/>
      <c r="L88" s="20"/>
      <c r="M88" s="20"/>
      <c r="N88" s="20"/>
      <c r="O88" s="20"/>
      <c r="P88" s="20"/>
      <c r="Q88" s="20"/>
      <c r="R88" s="20"/>
      <c r="S88" s="20"/>
      <c r="T88" s="20"/>
      <c r="U88" s="20"/>
      <c r="V88" s="20"/>
      <c r="W88" s="20"/>
      <c r="X88" s="20"/>
      <c r="Y88" s="20"/>
    </row>
    <row r="89" spans="1:25">
      <c r="A89" s="20"/>
      <c r="B89" s="20"/>
      <c r="C89" s="20"/>
      <c r="D89" s="20"/>
      <c r="E89" s="20"/>
      <c r="F89" s="20"/>
      <c r="G89" s="20"/>
      <c r="H89" s="20"/>
      <c r="I89" s="20"/>
      <c r="J89" s="20"/>
      <c r="K89" s="20"/>
      <c r="L89" s="20"/>
      <c r="M89" s="20"/>
      <c r="N89" s="20"/>
      <c r="O89" s="20"/>
      <c r="P89" s="20"/>
      <c r="Q89" s="20"/>
      <c r="R89" s="20"/>
      <c r="S89" s="20"/>
      <c r="T89" s="20"/>
      <c r="U89" s="20"/>
      <c r="V89" s="20"/>
      <c r="W89" s="20"/>
      <c r="X89" s="20"/>
      <c r="Y89" s="20"/>
    </row>
    <row r="90" spans="1:25">
      <c r="A90" s="20"/>
      <c r="B90" s="20"/>
      <c r="C90" s="20"/>
      <c r="D90" s="20"/>
      <c r="E90" s="20"/>
      <c r="F90" s="20"/>
      <c r="G90" s="20"/>
      <c r="H90" s="20"/>
      <c r="I90" s="20"/>
      <c r="J90" s="20"/>
      <c r="K90" s="20"/>
      <c r="L90" s="20"/>
      <c r="M90" s="20"/>
      <c r="N90" s="20"/>
      <c r="O90" s="20"/>
      <c r="P90" s="20"/>
      <c r="Q90" s="20"/>
      <c r="R90" s="20"/>
      <c r="S90" s="20"/>
      <c r="T90" s="20"/>
      <c r="U90" s="20"/>
      <c r="V90" s="20"/>
      <c r="W90" s="20"/>
      <c r="X90" s="20"/>
      <c r="Y90" s="20"/>
    </row>
    <row r="91" spans="1:25">
      <c r="A91" s="20"/>
      <c r="B91" s="20"/>
      <c r="C91" s="20"/>
      <c r="D91" s="20"/>
      <c r="E91" s="20"/>
      <c r="F91" s="20"/>
      <c r="G91" s="20"/>
      <c r="H91" s="20"/>
      <c r="I91" s="20"/>
      <c r="J91" s="20"/>
      <c r="K91" s="20"/>
      <c r="L91" s="20"/>
      <c r="M91" s="20"/>
      <c r="N91" s="20"/>
      <c r="O91" s="20"/>
      <c r="P91" s="20"/>
      <c r="Q91" s="20"/>
      <c r="R91" s="20"/>
      <c r="S91" s="20"/>
      <c r="T91" s="20"/>
      <c r="U91" s="20"/>
      <c r="V91" s="20"/>
      <c r="W91" s="20"/>
      <c r="X91" s="20"/>
      <c r="Y91" s="20"/>
    </row>
    <row r="92" spans="1:25">
      <c r="A92" s="20"/>
      <c r="B92" s="20"/>
      <c r="C92" s="20"/>
      <c r="D92" s="20"/>
      <c r="E92" s="20"/>
      <c r="F92" s="20"/>
      <c r="G92" s="20"/>
      <c r="H92" s="20"/>
      <c r="I92" s="20"/>
      <c r="J92" s="20"/>
      <c r="K92" s="20"/>
      <c r="L92" s="20"/>
      <c r="M92" s="20"/>
      <c r="N92" s="20"/>
      <c r="O92" s="20"/>
      <c r="P92" s="20"/>
      <c r="Q92" s="20"/>
      <c r="R92" s="20"/>
      <c r="S92" s="20"/>
      <c r="T92" s="20"/>
      <c r="U92" s="20"/>
      <c r="V92" s="20"/>
      <c r="W92" s="20"/>
      <c r="X92" s="20"/>
      <c r="Y92" s="20"/>
    </row>
    <row r="93" spans="1:25">
      <c r="A93" s="20"/>
      <c r="B93" s="20"/>
      <c r="C93" s="20"/>
      <c r="D93" s="20"/>
      <c r="E93" s="20"/>
      <c r="F93" s="20"/>
      <c r="G93" s="20"/>
      <c r="H93" s="20"/>
      <c r="I93" s="20"/>
      <c r="J93" s="20"/>
      <c r="K93" s="20"/>
      <c r="L93" s="20"/>
      <c r="M93" s="20"/>
      <c r="N93" s="20"/>
      <c r="O93" s="20"/>
      <c r="P93" s="20"/>
      <c r="Q93" s="20"/>
      <c r="R93" s="20"/>
      <c r="S93" s="20"/>
      <c r="T93" s="20"/>
      <c r="U93" s="20"/>
      <c r="V93" s="20"/>
      <c r="W93" s="20"/>
      <c r="X93" s="20"/>
      <c r="Y93" s="20"/>
    </row>
    <row r="94" spans="1:25">
      <c r="A94" s="20"/>
      <c r="B94" s="20"/>
      <c r="C94" s="20"/>
      <c r="D94" s="20"/>
      <c r="E94" s="20"/>
      <c r="F94" s="20"/>
      <c r="G94" s="20"/>
      <c r="H94" s="20"/>
      <c r="I94" s="20"/>
      <c r="J94" s="20"/>
      <c r="K94" s="20"/>
      <c r="L94" s="20"/>
      <c r="M94" s="20"/>
      <c r="N94" s="20"/>
      <c r="O94" s="20"/>
      <c r="P94" s="20"/>
      <c r="Q94" s="20"/>
      <c r="R94" s="20"/>
      <c r="S94" s="20"/>
      <c r="T94" s="20"/>
      <c r="U94" s="20"/>
      <c r="V94" s="20"/>
      <c r="W94" s="20"/>
      <c r="X94" s="20"/>
      <c r="Y94" s="20"/>
    </row>
    <row r="95" spans="1:25">
      <c r="A95" s="20"/>
      <c r="B95" s="20"/>
      <c r="C95" s="20"/>
      <c r="D95" s="20"/>
      <c r="E95" s="20"/>
      <c r="F95" s="20"/>
      <c r="G95" s="20"/>
      <c r="H95" s="20"/>
      <c r="I95" s="20"/>
      <c r="J95" s="20"/>
      <c r="K95" s="20"/>
      <c r="L95" s="20"/>
      <c r="M95" s="20"/>
      <c r="N95" s="20"/>
      <c r="O95" s="20"/>
      <c r="P95" s="20"/>
      <c r="Q95" s="20"/>
      <c r="R95" s="20"/>
      <c r="S95" s="20"/>
      <c r="T95" s="20"/>
      <c r="U95" s="20"/>
      <c r="V95" s="20"/>
      <c r="W95" s="20"/>
      <c r="X95" s="20"/>
      <c r="Y95" s="20"/>
    </row>
    <row r="96" spans="1:25">
      <c r="A96" s="20"/>
      <c r="B96" s="20"/>
      <c r="C96" s="20"/>
      <c r="D96" s="20"/>
      <c r="E96" s="20"/>
      <c r="F96" s="20"/>
      <c r="G96" s="20"/>
      <c r="H96" s="20"/>
      <c r="I96" s="20"/>
      <c r="J96" s="20"/>
      <c r="K96" s="20"/>
      <c r="L96" s="20"/>
      <c r="M96" s="20"/>
      <c r="N96" s="20"/>
      <c r="O96" s="20"/>
      <c r="P96" s="20"/>
      <c r="Q96" s="20"/>
      <c r="R96" s="20"/>
      <c r="S96" s="20"/>
      <c r="T96" s="20"/>
      <c r="U96" s="20"/>
      <c r="V96" s="20"/>
      <c r="W96" s="20"/>
      <c r="X96" s="20"/>
      <c r="Y96" s="20"/>
    </row>
    <row r="97" spans="1:25">
      <c r="A97" s="20"/>
      <c r="B97" s="20"/>
      <c r="C97" s="20"/>
      <c r="D97" s="20"/>
      <c r="E97" s="20"/>
      <c r="F97" s="20"/>
      <c r="G97" s="20"/>
      <c r="H97" s="20"/>
      <c r="I97" s="20"/>
      <c r="J97" s="20"/>
      <c r="K97" s="20"/>
      <c r="L97" s="20"/>
      <c r="M97" s="20"/>
      <c r="N97" s="20"/>
      <c r="O97" s="20"/>
      <c r="P97" s="20"/>
      <c r="Q97" s="20"/>
      <c r="R97" s="20"/>
      <c r="S97" s="20"/>
      <c r="T97" s="20"/>
      <c r="U97" s="20"/>
      <c r="V97" s="20"/>
      <c r="W97" s="20"/>
      <c r="X97" s="20"/>
      <c r="Y97" s="20"/>
    </row>
    <row r="98" spans="1:25">
      <c r="A98" s="20"/>
      <c r="B98" s="20"/>
      <c r="C98" s="20"/>
      <c r="D98" s="20"/>
      <c r="E98" s="20"/>
      <c r="F98" s="20"/>
      <c r="G98" s="20"/>
      <c r="H98" s="20"/>
      <c r="I98" s="20"/>
      <c r="J98" s="20"/>
      <c r="K98" s="20"/>
      <c r="L98" s="20"/>
      <c r="M98" s="20"/>
      <c r="N98" s="20"/>
      <c r="O98" s="20"/>
      <c r="P98" s="20"/>
      <c r="Q98" s="20"/>
      <c r="R98" s="20"/>
      <c r="S98" s="20"/>
      <c r="T98" s="20"/>
      <c r="U98" s="20"/>
      <c r="V98" s="20"/>
      <c r="W98" s="20"/>
      <c r="X98" s="20"/>
      <c r="Y98" s="20"/>
    </row>
    <row r="99" spans="1:25">
      <c r="A99" s="20"/>
      <c r="B99" s="20"/>
      <c r="C99" s="20"/>
      <c r="D99" s="20"/>
      <c r="E99" s="20"/>
      <c r="F99" s="20"/>
      <c r="G99" s="20"/>
      <c r="H99" s="20"/>
      <c r="I99" s="20"/>
      <c r="J99" s="20"/>
      <c r="K99" s="20"/>
      <c r="L99" s="20"/>
      <c r="M99" s="20"/>
      <c r="N99" s="20"/>
      <c r="O99" s="20"/>
      <c r="P99" s="20"/>
      <c r="Q99" s="20"/>
      <c r="R99" s="20"/>
      <c r="S99" s="20"/>
      <c r="T99" s="20"/>
      <c r="U99" s="20"/>
      <c r="V99" s="20"/>
      <c r="W99" s="20"/>
      <c r="X99" s="20"/>
      <c r="Y99" s="20"/>
    </row>
    <row r="100" spans="1:25">
      <c r="A100" s="20"/>
      <c r="B100" s="20"/>
      <c r="C100" s="20"/>
      <c r="D100" s="20"/>
      <c r="E100" s="20"/>
      <c r="F100" s="20"/>
      <c r="G100" s="20"/>
      <c r="H100" s="20"/>
      <c r="I100" s="20"/>
      <c r="J100" s="20"/>
      <c r="K100" s="20"/>
      <c r="L100" s="20"/>
      <c r="M100" s="20"/>
      <c r="N100" s="20"/>
      <c r="O100" s="20"/>
      <c r="P100" s="20"/>
      <c r="Q100" s="20"/>
      <c r="R100" s="20"/>
      <c r="S100" s="20"/>
      <c r="T100" s="20"/>
      <c r="U100" s="20"/>
      <c r="V100" s="20"/>
      <c r="W100" s="20"/>
      <c r="X100" s="20"/>
      <c r="Y100" s="20"/>
    </row>
    <row r="101" spans="1:25">
      <c r="A101" s="20"/>
      <c r="B101" s="20"/>
      <c r="C101" s="20"/>
      <c r="D101" s="20"/>
      <c r="E101" s="20"/>
      <c r="F101" s="20"/>
      <c r="G101" s="20"/>
      <c r="H101" s="20"/>
      <c r="I101" s="20"/>
      <c r="J101" s="20"/>
      <c r="K101" s="20"/>
      <c r="L101" s="20"/>
      <c r="M101" s="20"/>
      <c r="N101" s="20"/>
      <c r="O101" s="20"/>
      <c r="P101" s="20"/>
      <c r="Q101" s="20"/>
      <c r="R101" s="20"/>
      <c r="S101" s="20"/>
      <c r="T101" s="20"/>
      <c r="U101" s="20"/>
      <c r="V101" s="20"/>
      <c r="W101" s="20"/>
      <c r="X101" s="20"/>
      <c r="Y101" s="20"/>
    </row>
    <row r="102" spans="1:25">
      <c r="A102" s="20"/>
      <c r="B102" s="20"/>
      <c r="C102" s="20"/>
      <c r="D102" s="20"/>
      <c r="E102" s="20"/>
      <c r="F102" s="20"/>
      <c r="G102" s="20"/>
      <c r="H102" s="20"/>
      <c r="I102" s="20"/>
      <c r="J102" s="20"/>
      <c r="K102" s="20"/>
      <c r="L102" s="20"/>
      <c r="M102" s="20"/>
      <c r="N102" s="20"/>
      <c r="O102" s="20"/>
      <c r="P102" s="20"/>
      <c r="Q102" s="20"/>
      <c r="R102" s="20"/>
      <c r="S102" s="20"/>
      <c r="T102" s="20"/>
      <c r="U102" s="20"/>
      <c r="V102" s="20"/>
      <c r="W102" s="20"/>
      <c r="X102" s="20"/>
      <c r="Y102" s="20"/>
    </row>
    <row r="103" spans="1:25">
      <c r="A103" s="20"/>
      <c r="B103" s="20"/>
      <c r="C103" s="20"/>
      <c r="D103" s="20"/>
      <c r="E103" s="20"/>
      <c r="F103" s="20"/>
      <c r="G103" s="20"/>
      <c r="H103" s="20"/>
      <c r="I103" s="20"/>
      <c r="J103" s="20"/>
      <c r="K103" s="20"/>
      <c r="L103" s="20"/>
      <c r="M103" s="20"/>
      <c r="N103" s="20"/>
      <c r="O103" s="20"/>
      <c r="P103" s="20"/>
      <c r="Q103" s="20"/>
      <c r="R103" s="20"/>
      <c r="S103" s="20"/>
      <c r="T103" s="20"/>
      <c r="U103" s="20"/>
      <c r="V103" s="20"/>
      <c r="W103" s="20"/>
      <c r="X103" s="20"/>
      <c r="Y103" s="20"/>
    </row>
    <row r="104" spans="1:25">
      <c r="A104" s="20"/>
      <c r="B104" s="20"/>
      <c r="C104" s="20"/>
      <c r="D104" s="20"/>
      <c r="E104" s="20"/>
      <c r="F104" s="20"/>
      <c r="G104" s="20"/>
      <c r="H104" s="20"/>
      <c r="I104" s="20"/>
      <c r="J104" s="20"/>
      <c r="K104" s="20"/>
      <c r="L104" s="20"/>
      <c r="M104" s="20"/>
      <c r="N104" s="20"/>
      <c r="O104" s="20"/>
      <c r="P104" s="20"/>
      <c r="Q104" s="20"/>
      <c r="R104" s="20"/>
      <c r="S104" s="20"/>
      <c r="T104" s="20"/>
      <c r="U104" s="20"/>
      <c r="V104" s="20"/>
      <c r="W104" s="20"/>
      <c r="X104" s="20"/>
      <c r="Y104" s="20"/>
    </row>
    <row r="105" spans="1:25">
      <c r="A105" s="20"/>
      <c r="B105" s="20"/>
      <c r="C105" s="20"/>
      <c r="D105" s="20"/>
      <c r="E105" s="20"/>
      <c r="F105" s="20"/>
      <c r="G105" s="20"/>
      <c r="H105" s="20"/>
      <c r="I105" s="20"/>
      <c r="J105" s="20"/>
      <c r="K105" s="20"/>
      <c r="L105" s="20"/>
      <c r="M105" s="20"/>
      <c r="N105" s="20"/>
      <c r="O105" s="20"/>
      <c r="P105" s="20"/>
      <c r="Q105" s="20"/>
      <c r="R105" s="20"/>
      <c r="S105" s="20"/>
      <c r="T105" s="20"/>
      <c r="U105" s="20"/>
      <c r="V105" s="20"/>
      <c r="W105" s="20"/>
      <c r="X105" s="20"/>
      <c r="Y105" s="20"/>
    </row>
    <row r="106" spans="1:25">
      <c r="A106" s="20"/>
      <c r="B106" s="20"/>
      <c r="C106" s="20"/>
      <c r="D106" s="20"/>
      <c r="E106" s="20"/>
      <c r="F106" s="20"/>
      <c r="G106" s="20"/>
      <c r="H106" s="20"/>
      <c r="I106" s="20"/>
      <c r="J106" s="20"/>
      <c r="K106" s="20"/>
      <c r="L106" s="20"/>
      <c r="M106" s="20"/>
      <c r="N106" s="20"/>
      <c r="O106" s="20"/>
      <c r="P106" s="20"/>
      <c r="Q106" s="20"/>
      <c r="R106" s="20"/>
      <c r="S106" s="20"/>
      <c r="T106" s="20"/>
      <c r="U106" s="20"/>
      <c r="V106" s="20"/>
      <c r="W106" s="20"/>
      <c r="X106" s="20"/>
      <c r="Y106" s="20"/>
    </row>
    <row r="107" spans="1:25">
      <c r="A107" s="20"/>
      <c r="B107" s="20"/>
      <c r="C107" s="20"/>
      <c r="D107" s="20"/>
      <c r="E107" s="20"/>
      <c r="F107" s="20"/>
      <c r="G107" s="20"/>
      <c r="H107" s="20"/>
      <c r="I107" s="20"/>
      <c r="J107" s="20"/>
      <c r="K107" s="20"/>
      <c r="L107" s="20"/>
      <c r="M107" s="20"/>
      <c r="N107" s="20"/>
      <c r="O107" s="20"/>
      <c r="P107" s="20"/>
      <c r="Q107" s="20"/>
      <c r="R107" s="20"/>
      <c r="S107" s="20"/>
      <c r="T107" s="20"/>
      <c r="U107" s="20"/>
      <c r="V107" s="20"/>
      <c r="W107" s="20"/>
      <c r="X107" s="20"/>
      <c r="Y107" s="20"/>
    </row>
    <row r="108" spans="1:25">
      <c r="A108" s="20"/>
      <c r="B108" s="20"/>
      <c r="C108" s="20"/>
      <c r="D108" s="20"/>
      <c r="E108" s="20"/>
      <c r="F108" s="20"/>
      <c r="G108" s="20"/>
      <c r="H108" s="20"/>
      <c r="I108" s="20"/>
      <c r="J108" s="20"/>
      <c r="K108" s="20"/>
      <c r="L108" s="20"/>
      <c r="M108" s="20"/>
      <c r="N108" s="20"/>
      <c r="O108" s="20"/>
      <c r="P108" s="20"/>
      <c r="Q108" s="20"/>
      <c r="R108" s="20"/>
      <c r="S108" s="20"/>
      <c r="T108" s="20"/>
      <c r="U108" s="20"/>
      <c r="V108" s="20"/>
      <c r="W108" s="20"/>
      <c r="X108" s="20"/>
      <c r="Y108" s="20"/>
    </row>
    <row r="109" spans="1:25">
      <c r="A109" s="20"/>
      <c r="B109" s="20"/>
      <c r="C109" s="20"/>
      <c r="D109" s="20"/>
      <c r="E109" s="20"/>
      <c r="F109" s="20"/>
      <c r="G109" s="20"/>
      <c r="H109" s="20"/>
      <c r="I109" s="20"/>
      <c r="J109" s="20"/>
      <c r="K109" s="20"/>
      <c r="L109" s="20"/>
      <c r="M109" s="20"/>
      <c r="N109" s="20"/>
      <c r="O109" s="20"/>
      <c r="P109" s="20"/>
      <c r="Q109" s="20"/>
      <c r="R109" s="20"/>
      <c r="S109" s="20"/>
      <c r="T109" s="20"/>
      <c r="U109" s="20"/>
      <c r="V109" s="20"/>
      <c r="W109" s="20"/>
      <c r="X109" s="20"/>
      <c r="Y109" s="20"/>
    </row>
    <row r="110" spans="1:25">
      <c r="A110" s="20"/>
      <c r="B110" s="20"/>
      <c r="C110" s="20"/>
      <c r="D110" s="20"/>
      <c r="E110" s="20"/>
      <c r="F110" s="20"/>
      <c r="G110" s="20"/>
      <c r="H110" s="20"/>
      <c r="I110" s="20"/>
      <c r="J110" s="20"/>
      <c r="K110" s="20"/>
      <c r="L110" s="20"/>
      <c r="M110" s="20"/>
      <c r="N110" s="20"/>
      <c r="O110" s="20"/>
      <c r="P110" s="20"/>
      <c r="Q110" s="20"/>
      <c r="R110" s="20"/>
      <c r="S110" s="20"/>
      <c r="T110" s="20"/>
      <c r="U110" s="20"/>
      <c r="V110" s="20"/>
      <c r="W110" s="20"/>
      <c r="X110" s="20"/>
      <c r="Y110" s="20"/>
    </row>
    <row r="111" spans="1:25">
      <c r="A111" s="20"/>
      <c r="B111" s="20"/>
      <c r="C111" s="20"/>
      <c r="D111" s="20"/>
      <c r="E111" s="20"/>
      <c r="F111" s="20"/>
      <c r="G111" s="20"/>
      <c r="H111" s="20"/>
      <c r="I111" s="20"/>
      <c r="J111" s="20"/>
      <c r="K111" s="20"/>
      <c r="L111" s="20"/>
      <c r="M111" s="20"/>
      <c r="N111" s="20"/>
      <c r="O111" s="20"/>
      <c r="P111" s="20"/>
      <c r="Q111" s="20"/>
      <c r="R111" s="20"/>
      <c r="S111" s="20"/>
      <c r="T111" s="20"/>
      <c r="U111" s="20"/>
      <c r="V111" s="20"/>
      <c r="W111" s="20"/>
      <c r="X111" s="20"/>
      <c r="Y111" s="20"/>
    </row>
    <row r="112" spans="1:25">
      <c r="A112" s="20"/>
      <c r="B112" s="20"/>
      <c r="C112" s="20"/>
      <c r="D112" s="20"/>
      <c r="E112" s="20"/>
      <c r="F112" s="20"/>
      <c r="G112" s="20"/>
      <c r="H112" s="20"/>
      <c r="I112" s="20"/>
      <c r="J112" s="20"/>
      <c r="K112" s="20"/>
      <c r="L112" s="20"/>
      <c r="M112" s="20"/>
      <c r="N112" s="20"/>
      <c r="O112" s="20"/>
      <c r="P112" s="20"/>
      <c r="Q112" s="20"/>
      <c r="R112" s="20"/>
      <c r="S112" s="20"/>
      <c r="T112" s="20"/>
      <c r="U112" s="20"/>
      <c r="V112" s="20"/>
      <c r="W112" s="20"/>
      <c r="X112" s="20"/>
      <c r="Y112" s="20"/>
    </row>
    <row r="113" spans="1:25">
      <c r="A113" s="20"/>
      <c r="B113" s="20"/>
      <c r="C113" s="20"/>
      <c r="D113" s="20"/>
      <c r="E113" s="20"/>
      <c r="F113" s="20"/>
      <c r="G113" s="20"/>
      <c r="H113" s="20"/>
      <c r="I113" s="20"/>
      <c r="J113" s="20"/>
      <c r="K113" s="20"/>
      <c r="L113" s="20"/>
      <c r="M113" s="20"/>
      <c r="N113" s="20"/>
      <c r="O113" s="20"/>
      <c r="P113" s="20"/>
      <c r="Q113" s="20"/>
      <c r="R113" s="20"/>
      <c r="S113" s="20"/>
      <c r="T113" s="20"/>
      <c r="U113" s="20"/>
      <c r="V113" s="20"/>
      <c r="W113" s="20"/>
      <c r="X113" s="20"/>
      <c r="Y113" s="20"/>
    </row>
    <row r="114" spans="1:25">
      <c r="A114" s="20"/>
      <c r="B114" s="20"/>
      <c r="C114" s="20"/>
      <c r="D114" s="20"/>
      <c r="E114" s="20"/>
      <c r="F114" s="20"/>
      <c r="G114" s="20"/>
      <c r="H114" s="20"/>
      <c r="I114" s="20"/>
      <c r="J114" s="20"/>
      <c r="K114" s="20"/>
      <c r="L114" s="20"/>
      <c r="M114" s="20"/>
      <c r="N114" s="20"/>
      <c r="O114" s="20"/>
      <c r="P114" s="20"/>
      <c r="Q114" s="20"/>
      <c r="R114" s="20"/>
      <c r="S114" s="20"/>
      <c r="T114" s="20"/>
      <c r="U114" s="20"/>
      <c r="V114" s="20"/>
      <c r="W114" s="20"/>
      <c r="X114" s="20"/>
      <c r="Y114" s="20"/>
    </row>
    <row r="115" spans="1:25">
      <c r="A115" s="20"/>
      <c r="B115" s="20"/>
      <c r="C115" s="20"/>
      <c r="D115" s="20"/>
      <c r="E115" s="20"/>
      <c r="F115" s="20"/>
      <c r="G115" s="20"/>
      <c r="H115" s="20"/>
      <c r="I115" s="20"/>
      <c r="J115" s="20"/>
      <c r="K115" s="20"/>
      <c r="L115" s="20"/>
      <c r="M115" s="20"/>
      <c r="N115" s="20"/>
      <c r="O115" s="20"/>
      <c r="P115" s="20"/>
      <c r="Q115" s="20"/>
      <c r="R115" s="20"/>
      <c r="S115" s="20"/>
      <c r="T115" s="20"/>
      <c r="U115" s="20"/>
      <c r="V115" s="20"/>
      <c r="W115" s="20"/>
      <c r="X115" s="20"/>
      <c r="Y115" s="20"/>
    </row>
    <row r="116" spans="1:25">
      <c r="A116" s="20"/>
      <c r="B116" s="20"/>
      <c r="C116" s="20"/>
      <c r="D116" s="20"/>
      <c r="E116" s="20"/>
      <c r="F116" s="20"/>
      <c r="G116" s="20"/>
      <c r="H116" s="20"/>
      <c r="I116" s="20"/>
      <c r="J116" s="20"/>
      <c r="K116" s="20"/>
      <c r="L116" s="20"/>
      <c r="M116" s="20"/>
      <c r="N116" s="20"/>
      <c r="O116" s="20"/>
      <c r="P116" s="20"/>
      <c r="Q116" s="20"/>
      <c r="R116" s="20"/>
      <c r="S116" s="20"/>
      <c r="T116" s="20"/>
      <c r="U116" s="20"/>
      <c r="V116" s="20"/>
      <c r="W116" s="20"/>
      <c r="X116" s="20"/>
      <c r="Y116" s="20"/>
    </row>
    <row r="117" spans="1:25">
      <c r="A117" s="20"/>
      <c r="B117" s="20"/>
      <c r="C117" s="20"/>
      <c r="D117" s="20"/>
      <c r="E117" s="20"/>
      <c r="F117" s="20"/>
      <c r="G117" s="20"/>
      <c r="H117" s="20"/>
      <c r="I117" s="20"/>
      <c r="J117" s="20"/>
      <c r="K117" s="20"/>
      <c r="L117" s="20"/>
      <c r="M117" s="20"/>
      <c r="N117" s="20"/>
      <c r="O117" s="20"/>
      <c r="P117" s="20"/>
      <c r="Q117" s="20"/>
      <c r="R117" s="20"/>
      <c r="S117" s="20"/>
      <c r="T117" s="20"/>
      <c r="U117" s="20"/>
      <c r="V117" s="20"/>
      <c r="W117" s="20"/>
      <c r="X117" s="20"/>
      <c r="Y117" s="20"/>
    </row>
    <row r="118" spans="1:25">
      <c r="A118" s="20"/>
      <c r="B118" s="20"/>
      <c r="C118" s="20"/>
      <c r="D118" s="20"/>
      <c r="E118" s="20"/>
      <c r="F118" s="20"/>
      <c r="G118" s="20"/>
      <c r="H118" s="20"/>
      <c r="I118" s="20"/>
      <c r="J118" s="20"/>
      <c r="K118" s="20"/>
      <c r="L118" s="20"/>
      <c r="M118" s="20"/>
      <c r="N118" s="20"/>
      <c r="O118" s="20"/>
      <c r="P118" s="20"/>
      <c r="Q118" s="20"/>
      <c r="R118" s="20"/>
      <c r="S118" s="20"/>
      <c r="T118" s="20"/>
      <c r="U118" s="20"/>
      <c r="V118" s="20"/>
      <c r="W118" s="20"/>
      <c r="X118" s="20"/>
      <c r="Y118" s="20"/>
    </row>
    <row r="119" spans="1:25">
      <c r="A119" s="20"/>
      <c r="B119" s="20"/>
      <c r="C119" s="20"/>
      <c r="D119" s="20"/>
      <c r="E119" s="20"/>
      <c r="F119" s="20"/>
      <c r="G119" s="20"/>
      <c r="H119" s="20"/>
      <c r="I119" s="20"/>
      <c r="J119" s="20"/>
      <c r="K119" s="20"/>
      <c r="L119" s="20"/>
      <c r="M119" s="20"/>
      <c r="N119" s="20"/>
      <c r="O119" s="20"/>
      <c r="P119" s="20"/>
      <c r="Q119" s="20"/>
      <c r="R119" s="20"/>
      <c r="S119" s="20"/>
      <c r="T119" s="20"/>
      <c r="U119" s="20"/>
      <c r="V119" s="20"/>
      <c r="W119" s="20"/>
      <c r="X119" s="20"/>
      <c r="Y119" s="20"/>
    </row>
    <row r="120" spans="1:25">
      <c r="A120" s="20"/>
      <c r="B120" s="20"/>
      <c r="C120" s="20"/>
      <c r="D120" s="20"/>
      <c r="E120" s="20"/>
      <c r="F120" s="20"/>
      <c r="G120" s="20"/>
      <c r="H120" s="20"/>
      <c r="I120" s="20"/>
      <c r="J120" s="20"/>
      <c r="K120" s="20"/>
      <c r="L120" s="20"/>
      <c r="M120" s="20"/>
      <c r="N120" s="20"/>
      <c r="O120" s="20"/>
      <c r="P120" s="20"/>
      <c r="Q120" s="20"/>
      <c r="R120" s="20"/>
      <c r="S120" s="20"/>
      <c r="T120" s="20"/>
      <c r="U120" s="20"/>
      <c r="V120" s="20"/>
      <c r="W120" s="20"/>
      <c r="X120" s="20"/>
      <c r="Y120" s="20"/>
    </row>
    <row r="121" spans="1:25">
      <c r="A121" s="20"/>
      <c r="B121" s="20"/>
      <c r="C121" s="20"/>
      <c r="D121" s="20"/>
      <c r="E121" s="20"/>
      <c r="F121" s="20"/>
      <c r="G121" s="20"/>
      <c r="H121" s="20"/>
      <c r="I121" s="20"/>
      <c r="J121" s="20"/>
      <c r="K121" s="20"/>
      <c r="L121" s="20"/>
      <c r="M121" s="20"/>
      <c r="N121" s="20"/>
      <c r="O121" s="20"/>
      <c r="P121" s="20"/>
      <c r="Q121" s="20"/>
      <c r="R121" s="20"/>
      <c r="S121" s="20"/>
      <c r="T121" s="20"/>
      <c r="U121" s="20"/>
      <c r="V121" s="20"/>
      <c r="W121" s="20"/>
      <c r="X121" s="20"/>
      <c r="Y121" s="20"/>
    </row>
    <row r="122" spans="1:25">
      <c r="A122" s="20"/>
      <c r="B122" s="20"/>
      <c r="C122" s="20"/>
      <c r="D122" s="20"/>
      <c r="E122" s="20"/>
      <c r="F122" s="20"/>
      <c r="G122" s="20"/>
      <c r="H122" s="20"/>
      <c r="I122" s="20"/>
      <c r="J122" s="20"/>
      <c r="K122" s="20"/>
      <c r="L122" s="20"/>
      <c r="M122" s="20"/>
      <c r="N122" s="20"/>
      <c r="O122" s="20"/>
      <c r="P122" s="20"/>
      <c r="Q122" s="20"/>
      <c r="R122" s="20"/>
      <c r="S122" s="20"/>
      <c r="T122" s="20"/>
      <c r="U122" s="20"/>
      <c r="V122" s="20"/>
      <c r="W122" s="20"/>
      <c r="X122" s="20"/>
      <c r="Y122" s="20"/>
    </row>
    <row r="123" spans="1:25">
      <c r="A123" s="20"/>
      <c r="B123" s="20"/>
      <c r="C123" s="20"/>
      <c r="D123" s="20"/>
      <c r="E123" s="20"/>
      <c r="F123" s="20"/>
      <c r="G123" s="20"/>
      <c r="H123" s="20"/>
      <c r="I123" s="20"/>
      <c r="J123" s="20"/>
      <c r="K123" s="20"/>
      <c r="L123" s="20"/>
      <c r="M123" s="20"/>
      <c r="N123" s="20"/>
      <c r="O123" s="20"/>
      <c r="P123" s="20"/>
      <c r="Q123" s="20"/>
      <c r="R123" s="20"/>
      <c r="S123" s="20"/>
      <c r="T123" s="20"/>
      <c r="U123" s="20"/>
      <c r="V123" s="20"/>
      <c r="W123" s="20"/>
      <c r="X123" s="20"/>
      <c r="Y123" s="20"/>
    </row>
    <row r="124" spans="1:25">
      <c r="A124" s="20"/>
      <c r="B124" s="20"/>
      <c r="C124" s="20"/>
      <c r="D124" s="20"/>
      <c r="E124" s="20"/>
      <c r="F124" s="20"/>
      <c r="G124" s="20"/>
      <c r="H124" s="20"/>
      <c r="I124" s="20"/>
      <c r="J124" s="20"/>
      <c r="K124" s="20"/>
      <c r="L124" s="20"/>
      <c r="M124" s="20"/>
      <c r="N124" s="20"/>
      <c r="O124" s="20"/>
      <c r="P124" s="20"/>
      <c r="Q124" s="20"/>
      <c r="R124" s="20"/>
      <c r="S124" s="20"/>
      <c r="T124" s="20"/>
      <c r="U124" s="20"/>
      <c r="V124" s="20"/>
      <c r="W124" s="20"/>
      <c r="X124" s="20"/>
      <c r="Y124" s="20"/>
    </row>
    <row r="125" spans="1:25">
      <c r="A125" s="20"/>
      <c r="B125" s="20"/>
      <c r="C125" s="20"/>
      <c r="D125" s="20"/>
      <c r="E125" s="20"/>
      <c r="F125" s="20"/>
      <c r="G125" s="20"/>
      <c r="H125" s="20"/>
      <c r="I125" s="20"/>
      <c r="J125" s="20"/>
      <c r="K125" s="20"/>
      <c r="L125" s="20"/>
      <c r="M125" s="20"/>
      <c r="N125" s="20"/>
      <c r="O125" s="20"/>
      <c r="P125" s="20"/>
      <c r="Q125" s="20"/>
      <c r="R125" s="20"/>
      <c r="S125" s="20"/>
      <c r="T125" s="20"/>
      <c r="U125" s="20"/>
      <c r="V125" s="20"/>
      <c r="W125" s="20"/>
      <c r="X125" s="20"/>
      <c r="Y125" s="20"/>
    </row>
    <row r="126" spans="1:25">
      <c r="A126" s="20"/>
      <c r="B126" s="20"/>
      <c r="C126" s="20"/>
      <c r="D126" s="20"/>
      <c r="E126" s="20"/>
      <c r="F126" s="20"/>
      <c r="G126" s="20"/>
      <c r="H126" s="20"/>
      <c r="I126" s="20"/>
      <c r="J126" s="20"/>
      <c r="K126" s="20"/>
      <c r="L126" s="20"/>
      <c r="M126" s="20"/>
      <c r="N126" s="20"/>
      <c r="O126" s="20"/>
      <c r="P126" s="20"/>
      <c r="Q126" s="20"/>
      <c r="R126" s="20"/>
      <c r="S126" s="20"/>
      <c r="T126" s="20"/>
      <c r="U126" s="20"/>
      <c r="V126" s="20"/>
      <c r="W126" s="20"/>
      <c r="X126" s="20"/>
      <c r="Y126" s="20"/>
    </row>
    <row r="127" spans="1:25">
      <c r="A127" s="20"/>
      <c r="B127" s="20"/>
      <c r="C127" s="20"/>
      <c r="D127" s="20"/>
      <c r="E127" s="20"/>
      <c r="F127" s="20"/>
      <c r="G127" s="20"/>
      <c r="H127" s="20"/>
      <c r="I127" s="20"/>
      <c r="J127" s="20"/>
      <c r="K127" s="20"/>
      <c r="L127" s="20"/>
      <c r="M127" s="20"/>
      <c r="N127" s="20"/>
      <c r="O127" s="20"/>
      <c r="P127" s="20"/>
      <c r="Q127" s="20"/>
      <c r="R127" s="20"/>
      <c r="S127" s="20"/>
      <c r="T127" s="20"/>
      <c r="U127" s="20"/>
      <c r="V127" s="20"/>
      <c r="W127" s="20"/>
      <c r="X127" s="20"/>
      <c r="Y127" s="20"/>
    </row>
    <row r="128" spans="1:25">
      <c r="A128" s="20"/>
      <c r="B128" s="20"/>
      <c r="C128" s="20"/>
      <c r="D128" s="20"/>
      <c r="E128" s="20"/>
      <c r="F128" s="20"/>
      <c r="G128" s="20"/>
      <c r="H128" s="20"/>
      <c r="I128" s="20"/>
      <c r="J128" s="20"/>
      <c r="K128" s="20"/>
      <c r="L128" s="20"/>
      <c r="M128" s="20"/>
      <c r="N128" s="20"/>
      <c r="O128" s="20"/>
      <c r="P128" s="20"/>
      <c r="Q128" s="20"/>
      <c r="R128" s="20"/>
      <c r="S128" s="20"/>
      <c r="T128" s="20"/>
      <c r="U128" s="20"/>
      <c r="V128" s="20"/>
      <c r="W128" s="20"/>
      <c r="X128" s="20"/>
      <c r="Y128" s="20"/>
    </row>
    <row r="129" spans="1:25">
      <c r="A129" s="20"/>
      <c r="B129" s="20"/>
      <c r="C129" s="20"/>
      <c r="D129" s="20"/>
      <c r="E129" s="20"/>
      <c r="F129" s="20"/>
      <c r="G129" s="20"/>
      <c r="H129" s="20"/>
      <c r="I129" s="20"/>
      <c r="J129" s="20"/>
      <c r="K129" s="20"/>
      <c r="L129" s="20"/>
      <c r="M129" s="20"/>
      <c r="N129" s="20"/>
      <c r="O129" s="20"/>
      <c r="P129" s="20"/>
      <c r="Q129" s="20"/>
      <c r="R129" s="20"/>
      <c r="S129" s="20"/>
      <c r="T129" s="20"/>
      <c r="U129" s="20"/>
      <c r="V129" s="20"/>
      <c r="W129" s="20"/>
      <c r="X129" s="20"/>
      <c r="Y129" s="20"/>
    </row>
    <row r="130" spans="1:25">
      <c r="A130" s="20"/>
      <c r="B130" s="20"/>
      <c r="C130" s="20"/>
      <c r="D130" s="20"/>
      <c r="E130" s="20"/>
      <c r="F130" s="20"/>
      <c r="G130" s="20"/>
      <c r="H130" s="20"/>
      <c r="I130" s="20"/>
      <c r="J130" s="20"/>
      <c r="K130" s="20"/>
      <c r="L130" s="20"/>
      <c r="M130" s="20"/>
      <c r="N130" s="20"/>
      <c r="O130" s="20"/>
      <c r="P130" s="20"/>
      <c r="Q130" s="20"/>
      <c r="R130" s="20"/>
      <c r="S130" s="20"/>
      <c r="T130" s="20"/>
      <c r="U130" s="20"/>
      <c r="V130" s="20"/>
      <c r="W130" s="20"/>
      <c r="X130" s="20"/>
      <c r="Y130" s="20"/>
    </row>
    <row r="131" spans="1:25">
      <c r="A131" s="20"/>
      <c r="B131" s="20"/>
      <c r="C131" s="20"/>
      <c r="D131" s="20"/>
      <c r="E131" s="20"/>
      <c r="F131" s="20"/>
      <c r="G131" s="20"/>
      <c r="H131" s="20"/>
      <c r="I131" s="20"/>
      <c r="J131" s="20"/>
      <c r="K131" s="20"/>
      <c r="L131" s="20"/>
      <c r="M131" s="20"/>
      <c r="N131" s="20"/>
      <c r="O131" s="20"/>
      <c r="P131" s="20"/>
      <c r="Q131" s="20"/>
      <c r="R131" s="20"/>
      <c r="S131" s="20"/>
      <c r="T131" s="20"/>
      <c r="U131" s="20"/>
      <c r="V131" s="20"/>
      <c r="W131" s="20"/>
      <c r="X131" s="20"/>
      <c r="Y131" s="20"/>
    </row>
    <row r="132" spans="1:25">
      <c r="A132" s="20"/>
      <c r="B132" s="20"/>
      <c r="C132" s="20"/>
      <c r="D132" s="20"/>
      <c r="E132" s="20"/>
      <c r="F132" s="20"/>
      <c r="G132" s="20"/>
      <c r="H132" s="20"/>
      <c r="I132" s="20"/>
      <c r="J132" s="20"/>
      <c r="K132" s="20"/>
      <c r="L132" s="20"/>
      <c r="M132" s="20"/>
      <c r="N132" s="20"/>
      <c r="O132" s="20"/>
      <c r="P132" s="20"/>
      <c r="Q132" s="20"/>
      <c r="R132" s="20"/>
      <c r="S132" s="20"/>
      <c r="T132" s="20"/>
      <c r="U132" s="20"/>
      <c r="V132" s="20"/>
      <c r="W132" s="20"/>
      <c r="X132" s="20"/>
      <c r="Y132" s="20"/>
    </row>
    <row r="133" spans="1:25">
      <c r="A133" s="20"/>
      <c r="B133" s="20"/>
      <c r="C133" s="20"/>
      <c r="D133" s="20"/>
      <c r="E133" s="20"/>
      <c r="F133" s="20"/>
      <c r="G133" s="20"/>
      <c r="H133" s="20"/>
      <c r="I133" s="20"/>
      <c r="J133" s="20"/>
      <c r="K133" s="20"/>
      <c r="L133" s="20"/>
      <c r="M133" s="20"/>
      <c r="N133" s="20"/>
      <c r="O133" s="20"/>
      <c r="P133" s="20"/>
      <c r="Q133" s="20"/>
      <c r="R133" s="20"/>
      <c r="S133" s="20"/>
      <c r="T133" s="20"/>
      <c r="U133" s="20"/>
      <c r="V133" s="20"/>
      <c r="W133" s="20"/>
      <c r="X133" s="20"/>
      <c r="Y133" s="20"/>
    </row>
    <row r="134" spans="1:25">
      <c r="A134" s="20"/>
      <c r="B134" s="20"/>
      <c r="C134" s="20"/>
      <c r="D134" s="20"/>
      <c r="E134" s="20"/>
      <c r="F134" s="20"/>
      <c r="G134" s="20"/>
      <c r="H134" s="20"/>
      <c r="I134" s="20"/>
      <c r="J134" s="20"/>
      <c r="K134" s="20"/>
      <c r="L134" s="20"/>
      <c r="M134" s="20"/>
      <c r="N134" s="20"/>
      <c r="O134" s="20"/>
      <c r="P134" s="20"/>
      <c r="Q134" s="20"/>
      <c r="R134" s="20"/>
      <c r="S134" s="20"/>
      <c r="T134" s="20"/>
      <c r="U134" s="20"/>
      <c r="V134" s="20"/>
      <c r="W134" s="20"/>
      <c r="X134" s="20"/>
      <c r="Y134" s="20"/>
    </row>
    <row r="135" spans="1:25">
      <c r="A135" s="20"/>
      <c r="B135" s="20"/>
      <c r="C135" s="20"/>
      <c r="D135" s="20"/>
      <c r="E135" s="20"/>
      <c r="F135" s="20"/>
      <c r="G135" s="20"/>
      <c r="H135" s="20"/>
      <c r="I135" s="20"/>
      <c r="J135" s="20"/>
      <c r="K135" s="20"/>
      <c r="L135" s="20"/>
      <c r="M135" s="20"/>
      <c r="N135" s="20"/>
      <c r="O135" s="20"/>
      <c r="P135" s="20"/>
      <c r="Q135" s="20"/>
      <c r="R135" s="20"/>
      <c r="S135" s="20"/>
      <c r="T135" s="20"/>
      <c r="U135" s="20"/>
      <c r="V135" s="20"/>
      <c r="W135" s="20"/>
      <c r="X135" s="20"/>
      <c r="Y135" s="20"/>
    </row>
    <row r="136" spans="1:25">
      <c r="A136" s="20"/>
      <c r="B136" s="20"/>
      <c r="C136" s="20"/>
      <c r="D136" s="20"/>
      <c r="E136" s="20"/>
      <c r="F136" s="20"/>
      <c r="G136" s="20"/>
      <c r="H136" s="20"/>
      <c r="I136" s="20"/>
      <c r="J136" s="20"/>
      <c r="K136" s="20"/>
      <c r="L136" s="20"/>
      <c r="M136" s="20"/>
      <c r="N136" s="20"/>
      <c r="O136" s="20"/>
      <c r="P136" s="20"/>
      <c r="Q136" s="20"/>
      <c r="R136" s="20"/>
      <c r="S136" s="20"/>
      <c r="T136" s="20"/>
      <c r="U136" s="20"/>
      <c r="V136" s="20"/>
      <c r="W136" s="20"/>
      <c r="X136" s="20"/>
      <c r="Y136" s="20"/>
    </row>
    <row r="137" spans="1:25">
      <c r="A137" s="20"/>
      <c r="B137" s="20"/>
      <c r="C137" s="20"/>
      <c r="D137" s="20"/>
      <c r="E137" s="20"/>
      <c r="F137" s="20"/>
      <c r="G137" s="20"/>
      <c r="H137" s="20"/>
      <c r="I137" s="20"/>
      <c r="J137" s="20"/>
      <c r="K137" s="20"/>
      <c r="L137" s="20"/>
      <c r="M137" s="20"/>
      <c r="N137" s="20"/>
      <c r="O137" s="20"/>
      <c r="P137" s="20"/>
      <c r="Q137" s="20"/>
      <c r="R137" s="20"/>
      <c r="S137" s="20"/>
      <c r="T137" s="20"/>
      <c r="U137" s="20"/>
      <c r="V137" s="20"/>
      <c r="W137" s="20"/>
      <c r="X137" s="20"/>
      <c r="Y137" s="20"/>
    </row>
    <row r="138" spans="1:25">
      <c r="A138" s="20"/>
      <c r="B138" s="20"/>
      <c r="C138" s="20"/>
      <c r="D138" s="20"/>
      <c r="E138" s="20"/>
      <c r="F138" s="20"/>
      <c r="G138" s="20"/>
      <c r="H138" s="20"/>
      <c r="I138" s="20"/>
      <c r="J138" s="20"/>
      <c r="K138" s="20"/>
      <c r="L138" s="20"/>
      <c r="M138" s="20"/>
      <c r="N138" s="20"/>
      <c r="O138" s="20"/>
      <c r="P138" s="20"/>
      <c r="Q138" s="20"/>
      <c r="R138" s="20"/>
      <c r="S138" s="20"/>
      <c r="T138" s="20"/>
      <c r="U138" s="20"/>
      <c r="V138" s="20"/>
      <c r="W138" s="20"/>
      <c r="X138" s="20"/>
      <c r="Y138" s="20"/>
    </row>
    <row r="139" spans="1:25">
      <c r="A139" s="20"/>
      <c r="B139" s="20"/>
      <c r="C139" s="20"/>
      <c r="D139" s="20"/>
      <c r="E139" s="20"/>
      <c r="F139" s="20"/>
      <c r="G139" s="20"/>
      <c r="H139" s="20"/>
      <c r="I139" s="20"/>
      <c r="J139" s="20"/>
      <c r="K139" s="20"/>
      <c r="L139" s="20"/>
      <c r="M139" s="20"/>
      <c r="N139" s="20"/>
      <c r="O139" s="20"/>
      <c r="P139" s="20"/>
      <c r="Q139" s="20"/>
      <c r="R139" s="20"/>
      <c r="S139" s="20"/>
      <c r="T139" s="20"/>
      <c r="U139" s="20"/>
      <c r="V139" s="20"/>
      <c r="W139" s="20"/>
      <c r="X139" s="20"/>
      <c r="Y139" s="20"/>
    </row>
    <row r="140" spans="1:25">
      <c r="A140" s="20"/>
      <c r="B140" s="20"/>
      <c r="C140" s="20"/>
      <c r="D140" s="20"/>
      <c r="E140" s="20"/>
      <c r="F140" s="20"/>
      <c r="G140" s="20"/>
      <c r="H140" s="20"/>
      <c r="I140" s="20"/>
      <c r="J140" s="20"/>
      <c r="K140" s="20"/>
      <c r="L140" s="20"/>
      <c r="M140" s="20"/>
      <c r="N140" s="20"/>
      <c r="O140" s="20"/>
      <c r="P140" s="20"/>
      <c r="Q140" s="20"/>
      <c r="R140" s="20"/>
      <c r="S140" s="20"/>
      <c r="T140" s="20"/>
      <c r="U140" s="20"/>
      <c r="V140" s="20"/>
      <c r="W140" s="20"/>
      <c r="X140" s="20"/>
      <c r="Y140" s="20"/>
    </row>
    <row r="141" spans="1:25">
      <c r="A141" s="20"/>
      <c r="B141" s="20"/>
      <c r="C141" s="20"/>
      <c r="D141" s="20"/>
      <c r="E141" s="20"/>
      <c r="F141" s="20"/>
      <c r="G141" s="20"/>
      <c r="H141" s="20"/>
      <c r="I141" s="20"/>
      <c r="J141" s="20"/>
      <c r="K141" s="20"/>
      <c r="L141" s="20"/>
      <c r="M141" s="20"/>
      <c r="N141" s="20"/>
      <c r="O141" s="20"/>
      <c r="P141" s="20"/>
      <c r="Q141" s="20"/>
      <c r="R141" s="20"/>
      <c r="S141" s="20"/>
      <c r="T141" s="20"/>
      <c r="U141" s="20"/>
      <c r="V141" s="20"/>
      <c r="W141" s="20"/>
      <c r="X141" s="20"/>
      <c r="Y141" s="20"/>
    </row>
    <row r="142" spans="1:25">
      <c r="A142" s="20"/>
      <c r="B142" s="20"/>
      <c r="C142" s="20"/>
      <c r="D142" s="20"/>
      <c r="E142" s="20"/>
      <c r="F142" s="20"/>
      <c r="G142" s="20"/>
      <c r="H142" s="20"/>
      <c r="I142" s="20"/>
      <c r="J142" s="20"/>
      <c r="K142" s="20"/>
      <c r="L142" s="20"/>
      <c r="M142" s="20"/>
      <c r="N142" s="20"/>
      <c r="O142" s="20"/>
      <c r="P142" s="20"/>
      <c r="Q142" s="20"/>
      <c r="R142" s="20"/>
      <c r="S142" s="20"/>
      <c r="T142" s="20"/>
      <c r="U142" s="20"/>
      <c r="V142" s="20"/>
      <c r="W142" s="20"/>
      <c r="X142" s="20"/>
      <c r="Y142" s="20"/>
    </row>
    <row r="143" spans="1:25">
      <c r="A143" s="20"/>
      <c r="B143" s="20"/>
      <c r="C143" s="20"/>
      <c r="D143" s="20"/>
      <c r="E143" s="20"/>
      <c r="F143" s="20"/>
      <c r="G143" s="20"/>
      <c r="H143" s="20"/>
      <c r="I143" s="20"/>
      <c r="J143" s="20"/>
      <c r="K143" s="20"/>
      <c r="L143" s="20"/>
      <c r="M143" s="20"/>
      <c r="N143" s="20"/>
      <c r="O143" s="20"/>
      <c r="P143" s="20"/>
      <c r="Q143" s="20"/>
      <c r="R143" s="20"/>
      <c r="S143" s="20"/>
      <c r="T143" s="20"/>
      <c r="U143" s="20"/>
      <c r="V143" s="20"/>
      <c r="W143" s="20"/>
      <c r="X143" s="20"/>
      <c r="Y143" s="20"/>
    </row>
    <row r="144" spans="1:25">
      <c r="A144" s="20"/>
      <c r="B144" s="20"/>
      <c r="C144" s="20"/>
      <c r="D144" s="20"/>
      <c r="E144" s="20"/>
      <c r="F144" s="20"/>
      <c r="G144" s="20"/>
      <c r="H144" s="20"/>
      <c r="I144" s="20"/>
      <c r="J144" s="20"/>
      <c r="K144" s="20"/>
      <c r="L144" s="20"/>
      <c r="M144" s="20"/>
      <c r="N144" s="20"/>
      <c r="O144" s="20"/>
      <c r="P144" s="20"/>
      <c r="Q144" s="20"/>
      <c r="R144" s="20"/>
      <c r="S144" s="20"/>
      <c r="T144" s="20"/>
      <c r="U144" s="20"/>
      <c r="V144" s="20"/>
      <c r="W144" s="20"/>
      <c r="X144" s="20"/>
      <c r="Y144" s="20"/>
    </row>
    <row r="145" spans="1:25">
      <c r="A145" s="20"/>
      <c r="B145" s="20"/>
      <c r="C145" s="20"/>
      <c r="D145" s="20"/>
      <c r="E145" s="20"/>
      <c r="F145" s="20"/>
      <c r="G145" s="20"/>
      <c r="H145" s="20"/>
      <c r="I145" s="20"/>
      <c r="J145" s="20"/>
      <c r="K145" s="20"/>
      <c r="L145" s="20"/>
      <c r="M145" s="20"/>
      <c r="N145" s="20"/>
      <c r="O145" s="20"/>
      <c r="P145" s="20"/>
      <c r="Q145" s="20"/>
      <c r="R145" s="20"/>
      <c r="S145" s="20"/>
      <c r="T145" s="20"/>
      <c r="U145" s="20"/>
      <c r="V145" s="20"/>
      <c r="W145" s="20"/>
      <c r="X145" s="20"/>
      <c r="Y145" s="20"/>
    </row>
    <row r="146" spans="1:25">
      <c r="A146" s="20"/>
      <c r="B146" s="20"/>
      <c r="C146" s="20"/>
      <c r="D146" s="20"/>
      <c r="E146" s="20"/>
      <c r="F146" s="20"/>
      <c r="G146" s="20"/>
      <c r="H146" s="20"/>
      <c r="I146" s="20"/>
      <c r="J146" s="20"/>
      <c r="K146" s="20"/>
      <c r="L146" s="20"/>
      <c r="M146" s="20"/>
      <c r="N146" s="20"/>
      <c r="O146" s="20"/>
      <c r="P146" s="20"/>
      <c r="Q146" s="20"/>
      <c r="R146" s="20"/>
      <c r="S146" s="20"/>
      <c r="T146" s="20"/>
      <c r="U146" s="20"/>
      <c r="V146" s="20"/>
      <c r="W146" s="20"/>
      <c r="X146" s="20"/>
      <c r="Y146" s="20"/>
    </row>
    <row r="147" spans="1:25">
      <c r="A147" s="20"/>
      <c r="B147" s="20"/>
      <c r="C147" s="20"/>
      <c r="D147" s="20"/>
      <c r="E147" s="20"/>
      <c r="F147" s="20"/>
      <c r="G147" s="20"/>
      <c r="H147" s="20"/>
      <c r="I147" s="20"/>
      <c r="J147" s="20"/>
      <c r="K147" s="20"/>
      <c r="L147" s="20"/>
      <c r="M147" s="20"/>
      <c r="N147" s="20"/>
      <c r="O147" s="20"/>
      <c r="P147" s="20"/>
      <c r="Q147" s="20"/>
      <c r="R147" s="20"/>
      <c r="S147" s="20"/>
      <c r="T147" s="20"/>
      <c r="U147" s="20"/>
      <c r="V147" s="20"/>
      <c r="W147" s="20"/>
      <c r="X147" s="20"/>
      <c r="Y147" s="20"/>
    </row>
    <row r="148" spans="1:25">
      <c r="A148" s="20"/>
      <c r="B148" s="20"/>
      <c r="C148" s="20"/>
      <c r="D148" s="20"/>
      <c r="E148" s="20"/>
      <c r="F148" s="20"/>
      <c r="G148" s="20"/>
      <c r="H148" s="20"/>
      <c r="I148" s="20"/>
      <c r="J148" s="20"/>
      <c r="K148" s="20"/>
      <c r="L148" s="20"/>
      <c r="M148" s="20"/>
      <c r="N148" s="20"/>
      <c r="O148" s="20"/>
      <c r="P148" s="20"/>
      <c r="Q148" s="20"/>
      <c r="R148" s="20"/>
      <c r="S148" s="20"/>
      <c r="T148" s="20"/>
      <c r="U148" s="20"/>
      <c r="V148" s="20"/>
      <c r="W148" s="20"/>
      <c r="X148" s="20"/>
      <c r="Y148" s="20"/>
    </row>
    <row r="149" spans="1:25">
      <c r="A149" s="20"/>
      <c r="B149" s="20"/>
      <c r="C149" s="20"/>
      <c r="D149" s="20"/>
      <c r="E149" s="20"/>
      <c r="F149" s="20"/>
      <c r="G149" s="20"/>
      <c r="H149" s="20"/>
      <c r="I149" s="20"/>
      <c r="J149" s="20"/>
      <c r="K149" s="20"/>
      <c r="L149" s="20"/>
      <c r="M149" s="20"/>
      <c r="N149" s="20"/>
      <c r="O149" s="20"/>
      <c r="P149" s="20"/>
      <c r="Q149" s="20"/>
      <c r="R149" s="20"/>
      <c r="S149" s="20"/>
      <c r="T149" s="20"/>
      <c r="U149" s="20"/>
      <c r="V149" s="20"/>
      <c r="W149" s="20"/>
      <c r="X149" s="20"/>
      <c r="Y149" s="20"/>
    </row>
    <row r="150" spans="1:25">
      <c r="A150" s="20"/>
      <c r="B150" s="20"/>
      <c r="C150" s="20"/>
      <c r="D150" s="20"/>
      <c r="E150" s="20"/>
      <c r="F150" s="20"/>
      <c r="G150" s="20"/>
      <c r="H150" s="20"/>
      <c r="I150" s="20"/>
      <c r="J150" s="20"/>
      <c r="K150" s="20"/>
      <c r="L150" s="20"/>
      <c r="M150" s="20"/>
      <c r="N150" s="20"/>
      <c r="O150" s="20"/>
      <c r="P150" s="20"/>
      <c r="Q150" s="20"/>
      <c r="R150" s="20"/>
      <c r="S150" s="20"/>
      <c r="T150" s="20"/>
      <c r="U150" s="20"/>
      <c r="V150" s="20"/>
      <c r="W150" s="20"/>
      <c r="X150" s="20"/>
      <c r="Y150" s="20"/>
    </row>
    <row r="151" spans="1:25">
      <c r="A151" s="20"/>
      <c r="B151" s="20"/>
      <c r="C151" s="20"/>
      <c r="D151" s="20"/>
      <c r="E151" s="20"/>
      <c r="F151" s="20"/>
      <c r="G151" s="20"/>
      <c r="H151" s="20"/>
      <c r="I151" s="20"/>
      <c r="J151" s="20"/>
      <c r="K151" s="20"/>
      <c r="L151" s="20"/>
      <c r="M151" s="20"/>
      <c r="N151" s="20"/>
      <c r="O151" s="20"/>
      <c r="P151" s="20"/>
      <c r="Q151" s="20"/>
      <c r="R151" s="20"/>
      <c r="S151" s="20"/>
      <c r="T151" s="20"/>
      <c r="U151" s="20"/>
      <c r="V151" s="20"/>
      <c r="W151" s="20"/>
      <c r="X151" s="20"/>
      <c r="Y151" s="20"/>
    </row>
    <row r="152" spans="1:25">
      <c r="A152" s="20"/>
      <c r="B152" s="20"/>
      <c r="C152" s="20"/>
      <c r="D152" s="20"/>
      <c r="E152" s="20"/>
      <c r="F152" s="20"/>
      <c r="G152" s="20"/>
      <c r="H152" s="20"/>
      <c r="I152" s="20"/>
      <c r="J152" s="20"/>
      <c r="K152" s="20"/>
      <c r="L152" s="20"/>
      <c r="M152" s="20"/>
      <c r="N152" s="20"/>
      <c r="O152" s="20"/>
      <c r="P152" s="20"/>
      <c r="Q152" s="20"/>
      <c r="R152" s="20"/>
      <c r="S152" s="20"/>
      <c r="T152" s="20"/>
      <c r="U152" s="20"/>
      <c r="V152" s="20"/>
      <c r="W152" s="20"/>
      <c r="X152" s="20"/>
      <c r="Y152" s="20"/>
    </row>
    <row r="153" spans="1:25">
      <c r="A153" s="20"/>
      <c r="B153" s="20"/>
      <c r="C153" s="20"/>
      <c r="D153" s="20"/>
      <c r="E153" s="20"/>
      <c r="F153" s="20"/>
      <c r="G153" s="20"/>
      <c r="H153" s="20"/>
      <c r="I153" s="20"/>
      <c r="J153" s="20"/>
      <c r="K153" s="20"/>
      <c r="L153" s="20"/>
      <c r="M153" s="20"/>
      <c r="N153" s="20"/>
      <c r="O153" s="20"/>
      <c r="P153" s="20"/>
      <c r="Q153" s="20"/>
      <c r="R153" s="20"/>
      <c r="S153" s="20"/>
      <c r="T153" s="20"/>
      <c r="U153" s="20"/>
      <c r="V153" s="20"/>
      <c r="W153" s="20"/>
      <c r="X153" s="20"/>
      <c r="Y153" s="20"/>
    </row>
    <row r="154" spans="1:25">
      <c r="A154" s="20"/>
      <c r="B154" s="20"/>
      <c r="C154" s="20"/>
      <c r="D154" s="20"/>
      <c r="E154" s="20"/>
      <c r="F154" s="20"/>
      <c r="G154" s="20"/>
      <c r="H154" s="20"/>
      <c r="I154" s="20"/>
      <c r="J154" s="20"/>
      <c r="K154" s="20"/>
      <c r="L154" s="20"/>
      <c r="M154" s="20"/>
      <c r="N154" s="20"/>
      <c r="O154" s="20"/>
      <c r="P154" s="20"/>
      <c r="Q154" s="20"/>
      <c r="R154" s="20"/>
      <c r="S154" s="20"/>
      <c r="T154" s="20"/>
      <c r="U154" s="20"/>
      <c r="V154" s="20"/>
      <c r="W154" s="20"/>
      <c r="X154" s="20"/>
      <c r="Y154" s="20"/>
    </row>
    <row r="155" spans="1:25">
      <c r="A155" s="20"/>
      <c r="B155" s="20"/>
      <c r="C155" s="20"/>
      <c r="D155" s="20"/>
      <c r="E155" s="20"/>
      <c r="F155" s="20"/>
      <c r="G155" s="20"/>
      <c r="H155" s="20"/>
      <c r="I155" s="20"/>
      <c r="J155" s="20"/>
      <c r="K155" s="20"/>
      <c r="L155" s="20"/>
      <c r="M155" s="20"/>
      <c r="N155" s="20"/>
      <c r="O155" s="20"/>
      <c r="P155" s="20"/>
      <c r="Q155" s="20"/>
      <c r="R155" s="20"/>
      <c r="S155" s="20"/>
      <c r="T155" s="20"/>
      <c r="U155" s="20"/>
      <c r="V155" s="20"/>
      <c r="W155" s="20"/>
      <c r="X155" s="20"/>
      <c r="Y155" s="20"/>
    </row>
    <row r="156" spans="1:25">
      <c r="A156" s="20"/>
      <c r="B156" s="20"/>
      <c r="C156" s="20"/>
      <c r="D156" s="20"/>
      <c r="E156" s="20"/>
      <c r="F156" s="20"/>
      <c r="G156" s="20"/>
      <c r="H156" s="20"/>
      <c r="I156" s="20"/>
      <c r="J156" s="20"/>
      <c r="K156" s="20"/>
      <c r="L156" s="20"/>
      <c r="M156" s="20"/>
      <c r="N156" s="20"/>
      <c r="O156" s="20"/>
      <c r="P156" s="20"/>
      <c r="Q156" s="20"/>
      <c r="R156" s="20"/>
      <c r="S156" s="20"/>
      <c r="T156" s="20"/>
      <c r="U156" s="20"/>
      <c r="V156" s="20"/>
      <c r="W156" s="20"/>
      <c r="X156" s="20"/>
      <c r="Y156" s="20"/>
    </row>
    <row r="157" spans="1:25">
      <c r="A157" s="20"/>
      <c r="B157" s="20"/>
      <c r="C157" s="20"/>
      <c r="D157" s="20"/>
      <c r="E157" s="20"/>
      <c r="F157" s="20"/>
      <c r="G157" s="20"/>
      <c r="H157" s="20"/>
      <c r="I157" s="20"/>
      <c r="J157" s="20"/>
      <c r="K157" s="20"/>
      <c r="L157" s="20"/>
      <c r="M157" s="20"/>
      <c r="N157" s="20"/>
      <c r="O157" s="20"/>
      <c r="P157" s="20"/>
      <c r="Q157" s="20"/>
      <c r="R157" s="20"/>
      <c r="S157" s="20"/>
      <c r="T157" s="20"/>
      <c r="U157" s="20"/>
      <c r="V157" s="20"/>
      <c r="W157" s="20"/>
      <c r="X157" s="20"/>
      <c r="Y157" s="20"/>
    </row>
    <row r="158" spans="1:25">
      <c r="A158" s="20"/>
      <c r="B158" s="20"/>
      <c r="C158" s="20"/>
      <c r="D158" s="20"/>
      <c r="E158" s="20"/>
      <c r="F158" s="20"/>
      <c r="G158" s="20"/>
      <c r="H158" s="20"/>
      <c r="I158" s="20"/>
      <c r="J158" s="20"/>
      <c r="K158" s="20"/>
      <c r="L158" s="20"/>
      <c r="M158" s="20"/>
      <c r="N158" s="20"/>
      <c r="O158" s="20"/>
      <c r="P158" s="20"/>
      <c r="Q158" s="20"/>
      <c r="R158" s="20"/>
      <c r="S158" s="20"/>
      <c r="T158" s="20"/>
      <c r="U158" s="20"/>
      <c r="V158" s="20"/>
      <c r="W158" s="20"/>
      <c r="X158" s="20"/>
      <c r="Y158" s="20"/>
    </row>
    <row r="159" spans="1:25">
      <c r="A159" s="20"/>
      <c r="B159" s="20"/>
      <c r="C159" s="20"/>
      <c r="D159" s="20"/>
      <c r="E159" s="20"/>
      <c r="F159" s="20"/>
      <c r="G159" s="20"/>
      <c r="H159" s="20"/>
      <c r="I159" s="20"/>
      <c r="J159" s="20"/>
      <c r="K159" s="20"/>
      <c r="L159" s="20"/>
      <c r="M159" s="20"/>
      <c r="N159" s="20"/>
      <c r="O159" s="20"/>
      <c r="P159" s="20"/>
      <c r="Q159" s="20"/>
      <c r="R159" s="20"/>
      <c r="S159" s="20"/>
      <c r="T159" s="20"/>
      <c r="U159" s="20"/>
      <c r="V159" s="20"/>
      <c r="W159" s="20"/>
      <c r="X159" s="20"/>
      <c r="Y159" s="20"/>
    </row>
    <row r="160" spans="1:25">
      <c r="A160" s="20"/>
      <c r="B160" s="20"/>
      <c r="C160" s="20"/>
      <c r="D160" s="20"/>
      <c r="E160" s="20"/>
      <c r="F160" s="20"/>
      <c r="G160" s="20"/>
      <c r="H160" s="20"/>
      <c r="I160" s="20"/>
      <c r="J160" s="20"/>
      <c r="K160" s="20"/>
      <c r="L160" s="20"/>
      <c r="M160" s="20"/>
      <c r="N160" s="20"/>
      <c r="O160" s="20"/>
      <c r="P160" s="20"/>
      <c r="Q160" s="20"/>
      <c r="R160" s="20"/>
      <c r="S160" s="20"/>
      <c r="T160" s="20"/>
      <c r="U160" s="20"/>
      <c r="V160" s="20"/>
      <c r="W160" s="20"/>
      <c r="X160" s="20"/>
      <c r="Y160" s="20"/>
    </row>
    <row r="161" spans="1:25">
      <c r="A161" s="20"/>
      <c r="B161" s="20"/>
      <c r="C161" s="20"/>
      <c r="D161" s="20"/>
      <c r="E161" s="20"/>
      <c r="F161" s="20"/>
      <c r="G161" s="20"/>
      <c r="H161" s="20"/>
      <c r="I161" s="20"/>
      <c r="J161" s="20"/>
      <c r="K161" s="20"/>
      <c r="L161" s="20"/>
      <c r="M161" s="20"/>
      <c r="N161" s="20"/>
      <c r="O161" s="20"/>
      <c r="P161" s="20"/>
      <c r="Q161" s="20"/>
      <c r="R161" s="20"/>
      <c r="S161" s="20"/>
      <c r="T161" s="20"/>
      <c r="U161" s="20"/>
      <c r="V161" s="20"/>
      <c r="W161" s="20"/>
      <c r="X161" s="20"/>
      <c r="Y161" s="20"/>
    </row>
    <row r="162" spans="1:25">
      <c r="A162" s="20"/>
      <c r="B162" s="20"/>
      <c r="C162" s="20"/>
      <c r="D162" s="20"/>
      <c r="E162" s="20"/>
      <c r="F162" s="20"/>
      <c r="G162" s="20"/>
      <c r="H162" s="20"/>
      <c r="I162" s="20"/>
      <c r="J162" s="20"/>
      <c r="K162" s="20"/>
      <c r="L162" s="20"/>
      <c r="M162" s="20"/>
      <c r="N162" s="20"/>
      <c r="O162" s="20"/>
      <c r="P162" s="20"/>
      <c r="Q162" s="20"/>
      <c r="R162" s="20"/>
      <c r="S162" s="20"/>
      <c r="T162" s="20"/>
      <c r="U162" s="20"/>
      <c r="V162" s="20"/>
      <c r="W162" s="20"/>
      <c r="X162" s="20"/>
      <c r="Y162" s="20"/>
    </row>
    <row r="163" spans="1:25">
      <c r="A163" s="20"/>
      <c r="B163" s="20"/>
      <c r="C163" s="20"/>
      <c r="D163" s="20"/>
      <c r="E163" s="20"/>
      <c r="F163" s="20"/>
      <c r="G163" s="20"/>
      <c r="H163" s="20"/>
      <c r="I163" s="20"/>
      <c r="J163" s="20"/>
      <c r="K163" s="20"/>
      <c r="L163" s="20"/>
      <c r="M163" s="20"/>
      <c r="N163" s="20"/>
      <c r="O163" s="20"/>
      <c r="P163" s="20"/>
      <c r="Q163" s="20"/>
      <c r="R163" s="20"/>
      <c r="S163" s="20"/>
      <c r="T163" s="20"/>
      <c r="U163" s="20"/>
      <c r="V163" s="20"/>
      <c r="W163" s="20"/>
      <c r="X163" s="20"/>
      <c r="Y163" s="20"/>
    </row>
    <row r="164" spans="1:25">
      <c r="A164" s="20"/>
      <c r="B164" s="20"/>
      <c r="C164" s="20"/>
      <c r="D164" s="20"/>
      <c r="E164" s="20"/>
      <c r="F164" s="20"/>
      <c r="G164" s="20"/>
      <c r="H164" s="20"/>
      <c r="I164" s="20"/>
      <c r="J164" s="20"/>
      <c r="K164" s="20"/>
      <c r="L164" s="20"/>
      <c r="M164" s="20"/>
      <c r="N164" s="20"/>
      <c r="O164" s="20"/>
      <c r="P164" s="20"/>
      <c r="Q164" s="20"/>
      <c r="R164" s="20"/>
      <c r="S164" s="20"/>
      <c r="T164" s="20"/>
      <c r="U164" s="20"/>
      <c r="V164" s="20"/>
      <c r="W164" s="20"/>
      <c r="X164" s="20"/>
      <c r="Y164" s="20"/>
    </row>
    <row r="165" spans="1:25">
      <c r="A165" s="20"/>
      <c r="B165" s="20"/>
      <c r="C165" s="20"/>
      <c r="D165" s="20"/>
      <c r="E165" s="20"/>
      <c r="F165" s="20"/>
      <c r="G165" s="20"/>
      <c r="H165" s="20"/>
      <c r="I165" s="20"/>
      <c r="J165" s="20"/>
      <c r="K165" s="20"/>
      <c r="L165" s="20"/>
      <c r="M165" s="20"/>
      <c r="N165" s="20"/>
      <c r="O165" s="20"/>
      <c r="P165" s="20"/>
      <c r="Q165" s="20"/>
      <c r="R165" s="20"/>
      <c r="S165" s="20"/>
      <c r="T165" s="20"/>
      <c r="U165" s="20"/>
      <c r="V165" s="20"/>
      <c r="W165" s="20"/>
      <c r="X165" s="20"/>
      <c r="Y165" s="20"/>
    </row>
    <row r="166" spans="1:25">
      <c r="A166" s="20"/>
      <c r="B166" s="20"/>
      <c r="C166" s="20"/>
      <c r="D166" s="20"/>
      <c r="E166" s="20"/>
      <c r="F166" s="20"/>
      <c r="G166" s="20"/>
      <c r="H166" s="20"/>
      <c r="I166" s="20"/>
      <c r="J166" s="20"/>
      <c r="K166" s="20"/>
      <c r="L166" s="20"/>
      <c r="M166" s="20"/>
      <c r="N166" s="20"/>
      <c r="O166" s="20"/>
      <c r="P166" s="20"/>
      <c r="Q166" s="20"/>
      <c r="R166" s="20"/>
      <c r="S166" s="20"/>
      <c r="T166" s="20"/>
      <c r="U166" s="20"/>
      <c r="V166" s="20"/>
      <c r="W166" s="20"/>
      <c r="X166" s="20"/>
      <c r="Y166" s="20"/>
    </row>
    <row r="167" spans="1:25">
      <c r="A167" s="20"/>
      <c r="B167" s="20"/>
      <c r="C167" s="20"/>
      <c r="D167" s="20"/>
      <c r="E167" s="20"/>
      <c r="F167" s="20"/>
      <c r="G167" s="20"/>
      <c r="H167" s="20"/>
      <c r="I167" s="20"/>
      <c r="J167" s="20"/>
      <c r="K167" s="20"/>
      <c r="L167" s="20"/>
      <c r="M167" s="20"/>
      <c r="N167" s="20"/>
      <c r="O167" s="20"/>
      <c r="P167" s="20"/>
      <c r="Q167" s="20"/>
      <c r="R167" s="20"/>
      <c r="S167" s="20"/>
      <c r="T167" s="20"/>
      <c r="U167" s="20"/>
      <c r="V167" s="20"/>
      <c r="W167" s="20"/>
      <c r="X167" s="20"/>
      <c r="Y167" s="20"/>
    </row>
    <row r="168" spans="1:25">
      <c r="A168" s="20"/>
      <c r="B168" s="20"/>
      <c r="C168" s="20"/>
      <c r="D168" s="20"/>
      <c r="E168" s="20"/>
      <c r="F168" s="20"/>
      <c r="G168" s="20"/>
      <c r="H168" s="20"/>
      <c r="I168" s="20"/>
      <c r="J168" s="20"/>
      <c r="K168" s="20"/>
      <c r="L168" s="20"/>
      <c r="M168" s="20"/>
      <c r="N168" s="20"/>
      <c r="O168" s="20"/>
      <c r="P168" s="20"/>
      <c r="Q168" s="20"/>
      <c r="R168" s="20"/>
      <c r="S168" s="20"/>
      <c r="T168" s="20"/>
      <c r="U168" s="20"/>
      <c r="V168" s="20"/>
      <c r="W168" s="20"/>
      <c r="X168" s="20"/>
      <c r="Y168" s="20"/>
    </row>
    <row r="169" spans="1:25">
      <c r="A169" s="20"/>
      <c r="B169" s="20"/>
      <c r="C169" s="20"/>
      <c r="D169" s="20"/>
      <c r="E169" s="20"/>
      <c r="F169" s="20"/>
      <c r="G169" s="20"/>
      <c r="H169" s="20"/>
      <c r="I169" s="20"/>
      <c r="J169" s="20"/>
      <c r="K169" s="20"/>
      <c r="L169" s="20"/>
      <c r="M169" s="20"/>
      <c r="N169" s="20"/>
      <c r="O169" s="20"/>
      <c r="P169" s="20"/>
      <c r="Q169" s="20"/>
      <c r="R169" s="20"/>
      <c r="S169" s="20"/>
      <c r="T169" s="20"/>
      <c r="U169" s="20"/>
      <c r="V169" s="20"/>
      <c r="W169" s="20"/>
      <c r="X169" s="20"/>
      <c r="Y169" s="20"/>
    </row>
    <row r="170" spans="1:25">
      <c r="A170" s="20"/>
      <c r="B170" s="20"/>
      <c r="C170" s="20"/>
      <c r="D170" s="20"/>
      <c r="E170" s="20"/>
      <c r="F170" s="20"/>
      <c r="G170" s="20"/>
      <c r="H170" s="20"/>
      <c r="I170" s="20"/>
      <c r="J170" s="20"/>
      <c r="K170" s="20"/>
      <c r="L170" s="20"/>
      <c r="M170" s="20"/>
      <c r="N170" s="20"/>
      <c r="O170" s="20"/>
      <c r="P170" s="20"/>
      <c r="Q170" s="20"/>
      <c r="R170" s="20"/>
      <c r="S170" s="20"/>
      <c r="T170" s="20"/>
      <c r="U170" s="20"/>
      <c r="V170" s="20"/>
      <c r="W170" s="20"/>
      <c r="X170" s="20"/>
      <c r="Y170" s="20"/>
    </row>
    <row r="171" spans="1:25">
      <c r="A171" s="20"/>
      <c r="B171" s="20"/>
      <c r="C171" s="20"/>
      <c r="D171" s="20"/>
      <c r="E171" s="20"/>
      <c r="F171" s="20"/>
      <c r="G171" s="20"/>
      <c r="H171" s="20"/>
      <c r="I171" s="20"/>
      <c r="J171" s="20"/>
      <c r="K171" s="20"/>
      <c r="L171" s="20"/>
      <c r="M171" s="20"/>
      <c r="N171" s="20"/>
      <c r="O171" s="20"/>
      <c r="P171" s="20"/>
      <c r="Q171" s="20"/>
      <c r="R171" s="20"/>
      <c r="S171" s="20"/>
      <c r="T171" s="20"/>
      <c r="U171" s="20"/>
      <c r="V171" s="20"/>
      <c r="W171" s="20"/>
      <c r="X171" s="20"/>
      <c r="Y171" s="20"/>
    </row>
    <row r="172" spans="1:25">
      <c r="A172" s="20"/>
      <c r="B172" s="20"/>
      <c r="C172" s="20"/>
      <c r="D172" s="20"/>
      <c r="E172" s="20"/>
      <c r="F172" s="20"/>
      <c r="G172" s="20"/>
      <c r="H172" s="20"/>
      <c r="I172" s="20"/>
      <c r="J172" s="20"/>
      <c r="K172" s="20"/>
      <c r="L172" s="20"/>
      <c r="M172" s="20"/>
      <c r="N172" s="20"/>
      <c r="O172" s="20"/>
      <c r="P172" s="20"/>
      <c r="Q172" s="20"/>
      <c r="R172" s="20"/>
      <c r="S172" s="20"/>
      <c r="T172" s="20"/>
      <c r="U172" s="20"/>
      <c r="V172" s="20"/>
      <c r="W172" s="20"/>
      <c r="X172" s="20"/>
      <c r="Y172" s="20"/>
    </row>
    <row r="173" spans="1:25">
      <c r="A173" s="20"/>
      <c r="B173" s="20"/>
      <c r="C173" s="20"/>
      <c r="D173" s="20"/>
      <c r="E173" s="20"/>
      <c r="F173" s="20"/>
      <c r="G173" s="20"/>
      <c r="H173" s="20"/>
      <c r="I173" s="20"/>
      <c r="J173" s="20"/>
      <c r="K173" s="20"/>
      <c r="L173" s="20"/>
      <c r="M173" s="20"/>
      <c r="N173" s="20"/>
      <c r="O173" s="20"/>
      <c r="P173" s="20"/>
      <c r="Q173" s="20"/>
      <c r="R173" s="20"/>
      <c r="S173" s="20"/>
      <c r="T173" s="20"/>
      <c r="U173" s="20"/>
      <c r="V173" s="20"/>
      <c r="W173" s="20"/>
      <c r="X173" s="20"/>
      <c r="Y173" s="20"/>
    </row>
    <row r="174" spans="1:25">
      <c r="A174" s="20"/>
      <c r="B174" s="20"/>
      <c r="C174" s="20"/>
      <c r="D174" s="20"/>
      <c r="E174" s="20"/>
      <c r="F174" s="20"/>
      <c r="G174" s="20"/>
      <c r="H174" s="20"/>
      <c r="I174" s="20"/>
      <c r="J174" s="20"/>
      <c r="K174" s="20"/>
      <c r="L174" s="20"/>
      <c r="M174" s="20"/>
      <c r="N174" s="20"/>
      <c r="O174" s="20"/>
      <c r="P174" s="20"/>
      <c r="Q174" s="20"/>
      <c r="R174" s="20"/>
      <c r="S174" s="20"/>
      <c r="T174" s="20"/>
      <c r="U174" s="20"/>
      <c r="V174" s="20"/>
      <c r="W174" s="20"/>
      <c r="X174" s="20"/>
      <c r="Y174" s="20"/>
    </row>
    <row r="175" spans="1:25">
      <c r="A175" s="20"/>
      <c r="B175" s="20"/>
      <c r="C175" s="20"/>
      <c r="D175" s="20"/>
      <c r="E175" s="20"/>
      <c r="F175" s="20"/>
      <c r="G175" s="20"/>
      <c r="H175" s="20"/>
      <c r="I175" s="20"/>
      <c r="J175" s="20"/>
      <c r="K175" s="20"/>
      <c r="L175" s="20"/>
      <c r="M175" s="20"/>
      <c r="N175" s="20"/>
      <c r="O175" s="20"/>
      <c r="P175" s="20"/>
      <c r="Q175" s="20"/>
      <c r="R175" s="20"/>
      <c r="S175" s="20"/>
      <c r="T175" s="20"/>
      <c r="U175" s="20"/>
      <c r="V175" s="20"/>
      <c r="W175" s="20"/>
      <c r="X175" s="20"/>
      <c r="Y175" s="20"/>
    </row>
    <row r="176" spans="1:25">
      <c r="A176" s="20"/>
      <c r="B176" s="20"/>
      <c r="C176" s="20"/>
      <c r="D176" s="20"/>
      <c r="E176" s="20"/>
      <c r="F176" s="20"/>
      <c r="G176" s="20"/>
      <c r="H176" s="20"/>
      <c r="I176" s="20"/>
      <c r="J176" s="20"/>
      <c r="K176" s="20"/>
      <c r="L176" s="20"/>
      <c r="M176" s="20"/>
      <c r="N176" s="20"/>
      <c r="O176" s="20"/>
      <c r="P176" s="20"/>
      <c r="Q176" s="20"/>
      <c r="R176" s="20"/>
      <c r="S176" s="20"/>
      <c r="T176" s="20"/>
      <c r="U176" s="20"/>
      <c r="V176" s="20"/>
      <c r="W176" s="20"/>
      <c r="X176" s="20"/>
      <c r="Y176" s="20"/>
    </row>
    <row r="177" spans="1:25">
      <c r="A177" s="20"/>
      <c r="B177" s="20"/>
      <c r="C177" s="20"/>
      <c r="D177" s="20"/>
      <c r="E177" s="20"/>
      <c r="F177" s="20"/>
      <c r="G177" s="20"/>
      <c r="H177" s="20"/>
      <c r="I177" s="20"/>
      <c r="J177" s="20"/>
      <c r="K177" s="20"/>
      <c r="L177" s="20"/>
      <c r="M177" s="20"/>
      <c r="N177" s="20"/>
      <c r="O177" s="20"/>
      <c r="P177" s="20"/>
      <c r="Q177" s="20"/>
      <c r="R177" s="20"/>
      <c r="S177" s="20"/>
      <c r="T177" s="20"/>
      <c r="U177" s="20"/>
      <c r="V177" s="20"/>
      <c r="W177" s="20"/>
      <c r="X177" s="20"/>
      <c r="Y177" s="20"/>
    </row>
    <row r="178" spans="1:25">
      <c r="A178" s="20"/>
      <c r="B178" s="20"/>
      <c r="C178" s="20"/>
      <c r="D178" s="20"/>
      <c r="E178" s="20"/>
      <c r="F178" s="20"/>
      <c r="G178" s="20"/>
      <c r="H178" s="20"/>
      <c r="I178" s="20"/>
      <c r="J178" s="20"/>
      <c r="K178" s="20"/>
      <c r="L178" s="20"/>
      <c r="M178" s="20"/>
      <c r="N178" s="20"/>
      <c r="O178" s="20"/>
      <c r="P178" s="20"/>
      <c r="Q178" s="20"/>
      <c r="R178" s="20"/>
      <c r="S178" s="20"/>
      <c r="T178" s="20"/>
      <c r="U178" s="20"/>
      <c r="V178" s="20"/>
      <c r="W178" s="20"/>
      <c r="X178" s="20"/>
      <c r="Y178" s="20"/>
    </row>
    <row r="179" spans="1:25">
      <c r="A179" s="20"/>
      <c r="B179" s="20"/>
      <c r="C179" s="20"/>
      <c r="D179" s="20"/>
      <c r="E179" s="20"/>
      <c r="F179" s="20"/>
      <c r="G179" s="20"/>
      <c r="H179" s="20"/>
      <c r="I179" s="20"/>
      <c r="J179" s="20"/>
      <c r="K179" s="20"/>
      <c r="L179" s="20"/>
      <c r="M179" s="20"/>
      <c r="N179" s="20"/>
      <c r="O179" s="20"/>
      <c r="P179" s="20"/>
      <c r="Q179" s="20"/>
      <c r="R179" s="20"/>
      <c r="S179" s="20"/>
      <c r="T179" s="20"/>
      <c r="U179" s="20"/>
      <c r="V179" s="20"/>
      <c r="W179" s="20"/>
      <c r="X179" s="20"/>
      <c r="Y179" s="20"/>
    </row>
    <row r="180" spans="1:25">
      <c r="A180" s="20"/>
      <c r="B180" s="20"/>
      <c r="C180" s="20"/>
      <c r="D180" s="20"/>
      <c r="E180" s="20"/>
      <c r="F180" s="20"/>
      <c r="G180" s="20"/>
      <c r="H180" s="20"/>
      <c r="I180" s="20"/>
      <c r="J180" s="20"/>
      <c r="K180" s="20"/>
      <c r="L180" s="20"/>
      <c r="M180" s="20"/>
      <c r="N180" s="20"/>
      <c r="O180" s="20"/>
      <c r="P180" s="20"/>
      <c r="Q180" s="20"/>
      <c r="R180" s="20"/>
      <c r="S180" s="20"/>
      <c r="T180" s="20"/>
      <c r="U180" s="20"/>
      <c r="V180" s="20"/>
      <c r="W180" s="20"/>
      <c r="X180" s="20"/>
      <c r="Y180" s="20"/>
    </row>
    <row r="181" spans="1:25">
      <c r="A181" s="20"/>
      <c r="B181" s="20"/>
      <c r="C181" s="20"/>
      <c r="D181" s="20"/>
      <c r="E181" s="20"/>
      <c r="F181" s="20"/>
      <c r="G181" s="20"/>
      <c r="H181" s="20"/>
      <c r="I181" s="20"/>
      <c r="J181" s="20"/>
      <c r="K181" s="20"/>
      <c r="L181" s="20"/>
      <c r="M181" s="20"/>
      <c r="N181" s="20"/>
      <c r="O181" s="20"/>
      <c r="P181" s="20"/>
      <c r="Q181" s="20"/>
      <c r="R181" s="20"/>
      <c r="S181" s="20"/>
      <c r="T181" s="20"/>
      <c r="U181" s="20"/>
      <c r="V181" s="20"/>
      <c r="W181" s="20"/>
      <c r="X181" s="20"/>
      <c r="Y181" s="20"/>
    </row>
    <row r="182" spans="1:25">
      <c r="A182" s="20"/>
      <c r="B182" s="20"/>
      <c r="C182" s="20"/>
      <c r="D182" s="20"/>
      <c r="E182" s="20"/>
      <c r="F182" s="20"/>
      <c r="G182" s="20"/>
      <c r="H182" s="20"/>
      <c r="I182" s="20"/>
      <c r="J182" s="20"/>
      <c r="K182" s="20"/>
      <c r="L182" s="20"/>
      <c r="M182" s="20"/>
      <c r="N182" s="20"/>
      <c r="O182" s="20"/>
      <c r="P182" s="20"/>
      <c r="Q182" s="20"/>
      <c r="R182" s="20"/>
      <c r="S182" s="20"/>
      <c r="T182" s="20"/>
      <c r="U182" s="20"/>
      <c r="V182" s="20"/>
      <c r="W182" s="20"/>
      <c r="X182" s="20"/>
      <c r="Y182" s="20"/>
    </row>
    <row r="183" spans="1:25">
      <c r="A183" s="20"/>
      <c r="B183" s="20"/>
      <c r="C183" s="20"/>
      <c r="D183" s="20"/>
      <c r="E183" s="20"/>
      <c r="F183" s="20"/>
      <c r="G183" s="20"/>
      <c r="H183" s="20"/>
      <c r="I183" s="20"/>
      <c r="J183" s="20"/>
      <c r="K183" s="20"/>
      <c r="L183" s="20"/>
      <c r="M183" s="20"/>
      <c r="N183" s="20"/>
      <c r="O183" s="20"/>
      <c r="P183" s="20"/>
      <c r="Q183" s="20"/>
      <c r="R183" s="20"/>
      <c r="S183" s="20"/>
      <c r="T183" s="20"/>
      <c r="U183" s="20"/>
      <c r="V183" s="20"/>
      <c r="W183" s="20"/>
      <c r="X183" s="20"/>
      <c r="Y183" s="20"/>
    </row>
    <row r="184" spans="1:25">
      <c r="A184" s="20"/>
      <c r="B184" s="20"/>
      <c r="C184" s="20"/>
      <c r="D184" s="20"/>
      <c r="E184" s="20"/>
      <c r="F184" s="20"/>
      <c r="G184" s="20"/>
      <c r="H184" s="20"/>
      <c r="I184" s="20"/>
      <c r="J184" s="20"/>
      <c r="K184" s="20"/>
      <c r="L184" s="20"/>
      <c r="M184" s="20"/>
      <c r="N184" s="20"/>
      <c r="O184" s="20"/>
      <c r="P184" s="20"/>
      <c r="Q184" s="20"/>
      <c r="R184" s="20"/>
      <c r="S184" s="20"/>
      <c r="T184" s="20"/>
      <c r="U184" s="20"/>
      <c r="V184" s="20"/>
      <c r="W184" s="20"/>
      <c r="X184" s="20"/>
      <c r="Y184" s="20"/>
    </row>
    <row r="185" spans="1:25">
      <c r="A185" s="20"/>
      <c r="B185" s="20"/>
      <c r="C185" s="20"/>
      <c r="D185" s="20"/>
      <c r="E185" s="20"/>
      <c r="F185" s="20"/>
      <c r="G185" s="20"/>
      <c r="H185" s="20"/>
      <c r="I185" s="20"/>
      <c r="J185" s="20"/>
      <c r="K185" s="20"/>
      <c r="L185" s="20"/>
      <c r="M185" s="20"/>
      <c r="N185" s="20"/>
      <c r="O185" s="20"/>
      <c r="P185" s="20"/>
      <c r="Q185" s="20"/>
      <c r="R185" s="20"/>
      <c r="S185" s="20"/>
      <c r="T185" s="20"/>
      <c r="U185" s="20"/>
      <c r="V185" s="20"/>
      <c r="W185" s="20"/>
      <c r="X185" s="20"/>
      <c r="Y185" s="20"/>
    </row>
    <row r="186" spans="1:25">
      <c r="A186" s="20"/>
      <c r="B186" s="20"/>
      <c r="C186" s="20"/>
      <c r="D186" s="20"/>
      <c r="E186" s="20"/>
      <c r="F186" s="20"/>
      <c r="G186" s="20"/>
      <c r="H186" s="20"/>
      <c r="I186" s="20"/>
      <c r="J186" s="20"/>
      <c r="K186" s="20"/>
      <c r="L186" s="20"/>
      <c r="M186" s="20"/>
      <c r="N186" s="20"/>
      <c r="O186" s="20"/>
      <c r="P186" s="20"/>
      <c r="Q186" s="20"/>
      <c r="R186" s="20"/>
      <c r="S186" s="20"/>
      <c r="T186" s="20"/>
      <c r="U186" s="20"/>
      <c r="V186" s="20"/>
      <c r="W186" s="20"/>
      <c r="X186" s="20"/>
      <c r="Y186" s="20"/>
    </row>
    <row r="187" spans="1:25">
      <c r="A187" s="20"/>
      <c r="B187" s="20"/>
      <c r="C187" s="20"/>
      <c r="D187" s="20"/>
      <c r="E187" s="20"/>
      <c r="F187" s="20"/>
      <c r="G187" s="20"/>
      <c r="H187" s="20"/>
      <c r="I187" s="20"/>
      <c r="J187" s="20"/>
      <c r="K187" s="20"/>
      <c r="L187" s="20"/>
      <c r="M187" s="20"/>
      <c r="N187" s="20"/>
      <c r="O187" s="20"/>
      <c r="P187" s="20"/>
      <c r="Q187" s="20"/>
      <c r="R187" s="20"/>
      <c r="S187" s="20"/>
      <c r="T187" s="20"/>
      <c r="U187" s="20"/>
      <c r="V187" s="20"/>
      <c r="W187" s="20"/>
      <c r="X187" s="20"/>
      <c r="Y187" s="20"/>
    </row>
    <row r="188" spans="1:25">
      <c r="A188" s="20"/>
      <c r="B188" s="20"/>
      <c r="C188" s="20"/>
      <c r="D188" s="20"/>
      <c r="E188" s="20"/>
      <c r="F188" s="20"/>
      <c r="G188" s="20"/>
      <c r="H188" s="20"/>
      <c r="I188" s="20"/>
      <c r="J188" s="20"/>
      <c r="K188" s="20"/>
      <c r="L188" s="20"/>
      <c r="M188" s="20"/>
      <c r="N188" s="20"/>
      <c r="O188" s="20"/>
      <c r="P188" s="20"/>
      <c r="Q188" s="20"/>
      <c r="R188" s="20"/>
      <c r="S188" s="20"/>
      <c r="T188" s="20"/>
      <c r="U188" s="20"/>
      <c r="V188" s="20"/>
      <c r="W188" s="20"/>
      <c r="X188" s="20"/>
      <c r="Y188" s="20"/>
    </row>
    <row r="189" spans="1:25">
      <c r="A189" s="20"/>
      <c r="B189" s="20"/>
      <c r="C189" s="20"/>
      <c r="D189" s="20"/>
      <c r="E189" s="20"/>
      <c r="F189" s="20"/>
      <c r="G189" s="20"/>
      <c r="H189" s="20"/>
      <c r="I189" s="20"/>
      <c r="J189" s="20"/>
      <c r="K189" s="20"/>
      <c r="L189" s="20"/>
      <c r="M189" s="20"/>
      <c r="N189" s="20"/>
      <c r="O189" s="20"/>
      <c r="P189" s="20"/>
      <c r="Q189" s="20"/>
      <c r="R189" s="20"/>
      <c r="S189" s="20"/>
      <c r="T189" s="20"/>
      <c r="U189" s="20"/>
      <c r="V189" s="20"/>
      <c r="W189" s="20"/>
      <c r="X189" s="20"/>
      <c r="Y189" s="20"/>
    </row>
    <row r="190" spans="1:25">
      <c r="A190" s="20"/>
      <c r="B190" s="20"/>
      <c r="C190" s="20"/>
      <c r="D190" s="20"/>
      <c r="E190" s="20"/>
      <c r="F190" s="20"/>
      <c r="G190" s="20"/>
      <c r="H190" s="20"/>
      <c r="I190" s="20"/>
      <c r="J190" s="20"/>
      <c r="K190" s="20"/>
      <c r="L190" s="20"/>
      <c r="M190" s="20"/>
      <c r="N190" s="20"/>
      <c r="O190" s="20"/>
      <c r="P190" s="20"/>
      <c r="Q190" s="20"/>
      <c r="R190" s="20"/>
      <c r="S190" s="20"/>
      <c r="T190" s="20"/>
      <c r="U190" s="20"/>
      <c r="V190" s="20"/>
      <c r="W190" s="20"/>
      <c r="X190" s="20"/>
      <c r="Y190" s="20"/>
    </row>
    <row r="191" spans="1:25">
      <c r="A191" s="20"/>
      <c r="B191" s="20"/>
      <c r="C191" s="20"/>
      <c r="D191" s="20"/>
      <c r="E191" s="20"/>
      <c r="F191" s="20"/>
      <c r="G191" s="20"/>
      <c r="H191" s="20"/>
      <c r="I191" s="20"/>
      <c r="J191" s="20"/>
      <c r="K191" s="20"/>
      <c r="L191" s="20"/>
      <c r="M191" s="20"/>
      <c r="N191" s="20"/>
      <c r="O191" s="20"/>
      <c r="P191" s="20"/>
      <c r="Q191" s="20"/>
      <c r="R191" s="20"/>
      <c r="S191" s="20"/>
      <c r="T191" s="20"/>
      <c r="U191" s="20"/>
      <c r="V191" s="20"/>
      <c r="W191" s="20"/>
      <c r="X191" s="20"/>
      <c r="Y191" s="20"/>
    </row>
    <row r="192" spans="1:25">
      <c r="A192" s="20"/>
      <c r="B192" s="20"/>
      <c r="C192" s="20"/>
      <c r="D192" s="20"/>
      <c r="E192" s="20"/>
      <c r="F192" s="20"/>
      <c r="G192" s="20"/>
      <c r="H192" s="20"/>
      <c r="I192" s="20"/>
      <c r="J192" s="20"/>
      <c r="K192" s="20"/>
      <c r="L192" s="20"/>
      <c r="M192" s="20"/>
      <c r="N192" s="20"/>
      <c r="O192" s="20"/>
      <c r="P192" s="20"/>
      <c r="Q192" s="20"/>
      <c r="R192" s="20"/>
      <c r="S192" s="20"/>
      <c r="T192" s="20"/>
      <c r="U192" s="20"/>
      <c r="V192" s="20"/>
      <c r="W192" s="20"/>
      <c r="X192" s="20"/>
      <c r="Y192" s="20"/>
    </row>
    <row r="193" spans="1:25">
      <c r="A193" s="20"/>
      <c r="B193" s="20"/>
      <c r="C193" s="20"/>
      <c r="D193" s="20"/>
      <c r="E193" s="20"/>
      <c r="F193" s="20"/>
      <c r="G193" s="20"/>
      <c r="H193" s="20"/>
      <c r="I193" s="20"/>
      <c r="J193" s="20"/>
      <c r="K193" s="20"/>
      <c r="L193" s="20"/>
      <c r="M193" s="20"/>
      <c r="N193" s="20"/>
      <c r="O193" s="20"/>
      <c r="P193" s="20"/>
      <c r="Q193" s="20"/>
      <c r="R193" s="20"/>
      <c r="S193" s="20"/>
      <c r="T193" s="20"/>
      <c r="U193" s="20"/>
      <c r="V193" s="20"/>
      <c r="W193" s="20"/>
      <c r="X193" s="20"/>
      <c r="Y193" s="20"/>
    </row>
    <row r="194" spans="1:25">
      <c r="A194" s="20"/>
      <c r="B194" s="20"/>
      <c r="C194" s="20"/>
      <c r="D194" s="20"/>
      <c r="E194" s="20"/>
      <c r="F194" s="20"/>
      <c r="G194" s="20"/>
      <c r="H194" s="20"/>
      <c r="I194" s="20"/>
      <c r="J194" s="20"/>
      <c r="K194" s="20"/>
      <c r="L194" s="20"/>
      <c r="M194" s="20"/>
      <c r="N194" s="20"/>
      <c r="O194" s="20"/>
      <c r="P194" s="20"/>
      <c r="Q194" s="20"/>
      <c r="R194" s="20"/>
      <c r="S194" s="20"/>
      <c r="T194" s="20"/>
      <c r="U194" s="20"/>
      <c r="V194" s="20"/>
      <c r="W194" s="20"/>
      <c r="X194" s="20"/>
      <c r="Y194" s="20"/>
    </row>
    <row r="195" spans="1:25">
      <c r="A195" s="20"/>
      <c r="B195" s="20"/>
      <c r="C195" s="20"/>
      <c r="D195" s="20"/>
      <c r="E195" s="20"/>
      <c r="F195" s="20"/>
      <c r="G195" s="20"/>
      <c r="H195" s="20"/>
      <c r="I195" s="20"/>
      <c r="J195" s="20"/>
      <c r="K195" s="20"/>
      <c r="L195" s="20"/>
      <c r="M195" s="20"/>
      <c r="N195" s="20"/>
      <c r="O195" s="20"/>
      <c r="P195" s="20"/>
      <c r="Q195" s="20"/>
      <c r="R195" s="20"/>
      <c r="S195" s="20"/>
      <c r="T195" s="20"/>
      <c r="U195" s="20"/>
      <c r="V195" s="20"/>
      <c r="W195" s="20"/>
      <c r="X195" s="20"/>
      <c r="Y195" s="20"/>
    </row>
    <row r="196" spans="1:25">
      <c r="A196" s="20"/>
      <c r="B196" s="20"/>
      <c r="C196" s="20"/>
      <c r="D196" s="20"/>
      <c r="E196" s="20"/>
      <c r="F196" s="20"/>
      <c r="G196" s="20"/>
      <c r="H196" s="20"/>
      <c r="I196" s="20"/>
      <c r="J196" s="20"/>
      <c r="K196" s="20"/>
      <c r="L196" s="20"/>
      <c r="M196" s="20"/>
      <c r="N196" s="20"/>
      <c r="O196" s="20"/>
      <c r="P196" s="20"/>
      <c r="Q196" s="20"/>
      <c r="R196" s="20"/>
      <c r="S196" s="20"/>
      <c r="T196" s="20"/>
      <c r="U196" s="20"/>
      <c r="V196" s="20"/>
      <c r="W196" s="20"/>
      <c r="X196" s="20"/>
      <c r="Y196" s="20"/>
    </row>
    <row r="197" spans="1:25">
      <c r="A197" s="20"/>
      <c r="B197" s="20"/>
      <c r="C197" s="20"/>
      <c r="D197" s="20"/>
      <c r="E197" s="20"/>
      <c r="F197" s="20"/>
      <c r="G197" s="20"/>
      <c r="H197" s="20"/>
      <c r="I197" s="20"/>
      <c r="J197" s="20"/>
      <c r="K197" s="20"/>
      <c r="L197" s="20"/>
      <c r="M197" s="20"/>
      <c r="N197" s="20"/>
      <c r="O197" s="20"/>
      <c r="P197" s="20"/>
      <c r="Q197" s="20"/>
      <c r="R197" s="20"/>
      <c r="S197" s="20"/>
      <c r="T197" s="20"/>
      <c r="U197" s="20"/>
      <c r="V197" s="20"/>
      <c r="W197" s="20"/>
      <c r="X197" s="20"/>
      <c r="Y197" s="20"/>
    </row>
    <row r="198" spans="1:25">
      <c r="A198" s="20"/>
      <c r="B198" s="20"/>
      <c r="C198" s="20"/>
      <c r="D198" s="20"/>
      <c r="E198" s="20"/>
      <c r="F198" s="20"/>
      <c r="G198" s="20"/>
      <c r="H198" s="20"/>
      <c r="I198" s="20"/>
      <c r="J198" s="20"/>
      <c r="K198" s="20"/>
      <c r="L198" s="20"/>
      <c r="M198" s="20"/>
      <c r="N198" s="20"/>
      <c r="O198" s="20"/>
      <c r="P198" s="20"/>
      <c r="Q198" s="20"/>
      <c r="R198" s="20"/>
      <c r="S198" s="20"/>
      <c r="T198" s="20"/>
      <c r="U198" s="20"/>
      <c r="V198" s="20"/>
      <c r="W198" s="20"/>
      <c r="X198" s="20"/>
      <c r="Y198" s="20"/>
    </row>
    <row r="199" spans="1:25">
      <c r="A199" s="20"/>
      <c r="B199" s="20"/>
      <c r="C199" s="20"/>
      <c r="D199" s="20"/>
      <c r="E199" s="20"/>
      <c r="F199" s="20"/>
      <c r="G199" s="20"/>
      <c r="H199" s="20"/>
      <c r="I199" s="20"/>
      <c r="J199" s="20"/>
      <c r="K199" s="20"/>
      <c r="L199" s="20"/>
      <c r="M199" s="20"/>
      <c r="N199" s="20"/>
      <c r="O199" s="20"/>
      <c r="P199" s="20"/>
      <c r="Q199" s="20"/>
      <c r="R199" s="20"/>
      <c r="S199" s="20"/>
      <c r="T199" s="20"/>
      <c r="U199" s="20"/>
      <c r="V199" s="20"/>
      <c r="W199" s="20"/>
      <c r="X199" s="20"/>
      <c r="Y199" s="20"/>
    </row>
    <row r="200" spans="1:25">
      <c r="A200" s="20"/>
      <c r="B200" s="20"/>
      <c r="C200" s="20"/>
      <c r="D200" s="20"/>
      <c r="E200" s="20"/>
      <c r="F200" s="20"/>
      <c r="G200" s="20"/>
      <c r="H200" s="20"/>
      <c r="I200" s="20"/>
      <c r="J200" s="20"/>
      <c r="K200" s="20"/>
      <c r="L200" s="20"/>
      <c r="M200" s="20"/>
      <c r="N200" s="20"/>
      <c r="O200" s="20"/>
      <c r="P200" s="20"/>
      <c r="Q200" s="20"/>
      <c r="R200" s="20"/>
      <c r="S200" s="20"/>
      <c r="T200" s="20"/>
      <c r="U200" s="20"/>
      <c r="V200" s="20"/>
      <c r="W200" s="20"/>
      <c r="X200" s="20"/>
      <c r="Y200" s="20"/>
    </row>
    <row r="201" spans="1:25">
      <c r="A201" s="20"/>
      <c r="B201" s="20"/>
      <c r="C201" s="20"/>
      <c r="D201" s="20"/>
      <c r="E201" s="20"/>
      <c r="F201" s="20"/>
      <c r="G201" s="20"/>
      <c r="H201" s="20"/>
      <c r="I201" s="20"/>
      <c r="J201" s="20"/>
      <c r="K201" s="20"/>
      <c r="L201" s="20"/>
      <c r="M201" s="20"/>
      <c r="N201" s="20"/>
      <c r="O201" s="20"/>
      <c r="P201" s="20"/>
      <c r="Q201" s="20"/>
      <c r="R201" s="20"/>
      <c r="S201" s="20"/>
      <c r="T201" s="20"/>
      <c r="U201" s="20"/>
      <c r="V201" s="20"/>
      <c r="W201" s="20"/>
      <c r="X201" s="20"/>
      <c r="Y201" s="20"/>
    </row>
    <row r="202" spans="1:25">
      <c r="A202" s="20"/>
      <c r="B202" s="20"/>
      <c r="C202" s="20"/>
      <c r="D202" s="20"/>
      <c r="E202" s="20"/>
      <c r="F202" s="20"/>
      <c r="G202" s="20"/>
      <c r="H202" s="20"/>
      <c r="I202" s="20"/>
      <c r="J202" s="20"/>
      <c r="K202" s="20"/>
      <c r="L202" s="20"/>
      <c r="M202" s="20"/>
      <c r="N202" s="20"/>
      <c r="O202" s="20"/>
      <c r="P202" s="20"/>
      <c r="Q202" s="20"/>
      <c r="R202" s="20"/>
      <c r="S202" s="20"/>
      <c r="T202" s="20"/>
      <c r="U202" s="20"/>
      <c r="V202" s="20"/>
      <c r="W202" s="20"/>
      <c r="X202" s="20"/>
      <c r="Y202" s="20"/>
    </row>
    <row r="203" spans="1:25">
      <c r="A203" s="20"/>
      <c r="B203" s="20"/>
      <c r="C203" s="20"/>
      <c r="D203" s="20"/>
      <c r="E203" s="20"/>
      <c r="F203" s="20"/>
      <c r="G203" s="20"/>
      <c r="H203" s="20"/>
      <c r="I203" s="20"/>
      <c r="J203" s="20"/>
      <c r="K203" s="20"/>
      <c r="L203" s="20"/>
      <c r="M203" s="20"/>
      <c r="N203" s="20"/>
      <c r="O203" s="20"/>
      <c r="P203" s="20"/>
      <c r="Q203" s="20"/>
      <c r="R203" s="20"/>
      <c r="S203" s="20"/>
      <c r="T203" s="20"/>
      <c r="U203" s="20"/>
      <c r="V203" s="20"/>
      <c r="W203" s="20"/>
      <c r="X203" s="20"/>
      <c r="Y203" s="20"/>
    </row>
    <row r="204" spans="1:25">
      <c r="A204" s="20"/>
      <c r="B204" s="20"/>
      <c r="C204" s="20"/>
      <c r="D204" s="20"/>
      <c r="E204" s="20"/>
      <c r="F204" s="20"/>
      <c r="G204" s="20"/>
      <c r="H204" s="20"/>
      <c r="I204" s="20"/>
      <c r="J204" s="20"/>
      <c r="K204" s="20"/>
      <c r="L204" s="20"/>
      <c r="M204" s="20"/>
      <c r="N204" s="20"/>
      <c r="O204" s="20"/>
      <c r="P204" s="20"/>
      <c r="Q204" s="20"/>
      <c r="R204" s="20"/>
      <c r="S204" s="20"/>
      <c r="T204" s="20"/>
      <c r="U204" s="20"/>
      <c r="V204" s="20"/>
      <c r="W204" s="20"/>
      <c r="X204" s="20"/>
      <c r="Y204" s="20"/>
    </row>
    <row r="205" spans="1:25">
      <c r="A205" s="20"/>
      <c r="B205" s="20"/>
      <c r="C205" s="20"/>
      <c r="D205" s="20"/>
      <c r="E205" s="20"/>
      <c r="F205" s="20"/>
      <c r="G205" s="20"/>
      <c r="H205" s="20"/>
      <c r="I205" s="20"/>
      <c r="J205" s="20"/>
      <c r="K205" s="20"/>
      <c r="L205" s="20"/>
      <c r="M205" s="20"/>
      <c r="N205" s="20"/>
      <c r="O205" s="20"/>
      <c r="P205" s="20"/>
      <c r="Q205" s="20"/>
      <c r="R205" s="20"/>
      <c r="S205" s="20"/>
      <c r="T205" s="20"/>
      <c r="U205" s="20"/>
      <c r="V205" s="20"/>
      <c r="W205" s="20"/>
      <c r="X205" s="20"/>
      <c r="Y205" s="20"/>
    </row>
    <row r="206" spans="1:25">
      <c r="A206" s="20"/>
      <c r="B206" s="20"/>
      <c r="C206" s="20"/>
      <c r="D206" s="20"/>
      <c r="E206" s="20"/>
      <c r="F206" s="20"/>
      <c r="G206" s="20"/>
      <c r="H206" s="20"/>
      <c r="I206" s="20"/>
      <c r="J206" s="20"/>
      <c r="K206" s="20"/>
      <c r="L206" s="20"/>
      <c r="M206" s="20"/>
      <c r="N206" s="20"/>
      <c r="O206" s="20"/>
      <c r="P206" s="20"/>
      <c r="Q206" s="20"/>
      <c r="R206" s="20"/>
      <c r="S206" s="20"/>
      <c r="T206" s="20"/>
      <c r="U206" s="20"/>
      <c r="V206" s="20"/>
      <c r="W206" s="20"/>
      <c r="X206" s="20"/>
      <c r="Y206" s="20"/>
    </row>
    <row r="207" spans="1:25">
      <c r="A207" s="20"/>
      <c r="B207" s="20"/>
      <c r="C207" s="20"/>
      <c r="D207" s="20"/>
      <c r="E207" s="20"/>
      <c r="F207" s="20"/>
      <c r="G207" s="20"/>
      <c r="H207" s="20"/>
      <c r="I207" s="20"/>
      <c r="J207" s="20"/>
      <c r="K207" s="20"/>
      <c r="L207" s="20"/>
      <c r="M207" s="20"/>
      <c r="N207" s="20"/>
      <c r="O207" s="20"/>
      <c r="P207" s="20"/>
      <c r="Q207" s="20"/>
      <c r="R207" s="20"/>
      <c r="S207" s="20"/>
      <c r="T207" s="20"/>
      <c r="U207" s="20"/>
      <c r="V207" s="20"/>
      <c r="W207" s="20"/>
      <c r="X207" s="20"/>
      <c r="Y207" s="20"/>
    </row>
    <row r="208" spans="1:25">
      <c r="A208" s="20"/>
      <c r="B208" s="20"/>
      <c r="C208" s="20"/>
      <c r="D208" s="20"/>
      <c r="E208" s="20"/>
      <c r="F208" s="20"/>
      <c r="G208" s="20"/>
      <c r="H208" s="20"/>
      <c r="I208" s="20"/>
      <c r="J208" s="20"/>
      <c r="K208" s="20"/>
      <c r="L208" s="20"/>
      <c r="M208" s="20"/>
      <c r="N208" s="20"/>
      <c r="O208" s="20"/>
      <c r="P208" s="20"/>
      <c r="Q208" s="20"/>
      <c r="R208" s="20"/>
      <c r="S208" s="20"/>
      <c r="T208" s="20"/>
      <c r="U208" s="20"/>
      <c r="V208" s="20"/>
      <c r="W208" s="20"/>
      <c r="X208" s="20"/>
      <c r="Y208" s="20"/>
    </row>
    <row r="209" spans="1:25">
      <c r="A209" s="20"/>
      <c r="B209" s="20"/>
      <c r="C209" s="20"/>
      <c r="D209" s="20"/>
      <c r="E209" s="20"/>
      <c r="F209" s="20"/>
      <c r="G209" s="20"/>
      <c r="H209" s="20"/>
      <c r="I209" s="20"/>
      <c r="J209" s="20"/>
      <c r="K209" s="20"/>
      <c r="L209" s="20"/>
      <c r="M209" s="20"/>
      <c r="N209" s="20"/>
      <c r="O209" s="20"/>
      <c r="P209" s="20"/>
      <c r="Q209" s="20"/>
      <c r="R209" s="20"/>
      <c r="S209" s="20"/>
      <c r="T209" s="20"/>
      <c r="U209" s="20"/>
      <c r="V209" s="20"/>
      <c r="W209" s="20"/>
      <c r="X209" s="20"/>
      <c r="Y209" s="20"/>
    </row>
    <row r="210" spans="1:25">
      <c r="A210" s="20"/>
      <c r="B210" s="20"/>
      <c r="C210" s="20"/>
      <c r="D210" s="20"/>
      <c r="E210" s="20"/>
      <c r="F210" s="20"/>
      <c r="G210" s="20"/>
      <c r="H210" s="20"/>
      <c r="I210" s="20"/>
      <c r="J210" s="20"/>
      <c r="K210" s="20"/>
      <c r="L210" s="20"/>
      <c r="M210" s="20"/>
      <c r="N210" s="20"/>
      <c r="O210" s="20"/>
      <c r="P210" s="20"/>
      <c r="Q210" s="20"/>
      <c r="R210" s="20"/>
      <c r="S210" s="20"/>
      <c r="T210" s="20"/>
      <c r="U210" s="20"/>
      <c r="V210" s="20"/>
      <c r="W210" s="20"/>
      <c r="X210" s="20"/>
      <c r="Y210" s="20"/>
    </row>
    <row r="211" spans="1:25">
      <c r="A211" s="20"/>
      <c r="B211" s="20"/>
      <c r="C211" s="20"/>
      <c r="D211" s="20"/>
      <c r="E211" s="20"/>
      <c r="F211" s="20"/>
      <c r="G211" s="20"/>
      <c r="H211" s="20"/>
      <c r="I211" s="20"/>
      <c r="J211" s="20"/>
      <c r="K211" s="20"/>
      <c r="L211" s="20"/>
      <c r="M211" s="20"/>
      <c r="N211" s="20"/>
      <c r="O211" s="20"/>
      <c r="P211" s="20"/>
      <c r="Q211" s="20"/>
      <c r="R211" s="20"/>
      <c r="S211" s="20"/>
      <c r="T211" s="20"/>
      <c r="U211" s="20"/>
      <c r="V211" s="20"/>
      <c r="W211" s="20"/>
      <c r="X211" s="20"/>
      <c r="Y211" s="20"/>
    </row>
    <row r="212" spans="1:25">
      <c r="A212" s="20"/>
      <c r="B212" s="20"/>
      <c r="C212" s="20"/>
      <c r="D212" s="20"/>
      <c r="E212" s="20"/>
      <c r="F212" s="20"/>
      <c r="G212" s="20"/>
      <c r="H212" s="20"/>
      <c r="I212" s="20"/>
      <c r="J212" s="20"/>
      <c r="K212" s="20"/>
      <c r="L212" s="20"/>
      <c r="M212" s="20"/>
      <c r="N212" s="20"/>
      <c r="O212" s="20"/>
      <c r="P212" s="20"/>
      <c r="Q212" s="20"/>
      <c r="R212" s="20"/>
      <c r="S212" s="20"/>
      <c r="T212" s="20"/>
      <c r="U212" s="20"/>
      <c r="V212" s="20"/>
      <c r="W212" s="20"/>
      <c r="X212" s="20"/>
      <c r="Y212" s="20"/>
    </row>
    <row r="213" spans="1:25">
      <c r="A213" s="20"/>
      <c r="B213" s="20"/>
      <c r="C213" s="20"/>
      <c r="D213" s="20"/>
      <c r="E213" s="20"/>
      <c r="F213" s="20"/>
      <c r="G213" s="20"/>
      <c r="H213" s="20"/>
      <c r="I213" s="20"/>
      <c r="J213" s="20"/>
      <c r="K213" s="20"/>
      <c r="L213" s="20"/>
      <c r="M213" s="20"/>
      <c r="N213" s="20"/>
      <c r="O213" s="20"/>
      <c r="P213" s="20"/>
      <c r="Q213" s="20"/>
      <c r="R213" s="20"/>
      <c r="S213" s="20"/>
      <c r="T213" s="20"/>
      <c r="U213" s="20"/>
      <c r="V213" s="20"/>
      <c r="W213" s="20"/>
      <c r="X213" s="20"/>
      <c r="Y213" s="20"/>
    </row>
    <row r="214" spans="1:25">
      <c r="A214" s="20"/>
      <c r="B214" s="20"/>
      <c r="C214" s="20"/>
      <c r="D214" s="20"/>
      <c r="E214" s="20"/>
      <c r="F214" s="20"/>
      <c r="G214" s="20"/>
      <c r="H214" s="20"/>
      <c r="I214" s="20"/>
      <c r="J214" s="20"/>
      <c r="K214" s="20"/>
      <c r="L214" s="20"/>
      <c r="M214" s="20"/>
      <c r="N214" s="20"/>
      <c r="O214" s="20"/>
      <c r="P214" s="20"/>
      <c r="Q214" s="20"/>
      <c r="R214" s="20"/>
      <c r="S214" s="20"/>
      <c r="T214" s="20"/>
      <c r="U214" s="20"/>
      <c r="V214" s="20"/>
      <c r="W214" s="20"/>
      <c r="X214" s="20"/>
      <c r="Y214" s="20"/>
    </row>
    <row r="215" spans="1:25">
      <c r="A215" s="20"/>
      <c r="B215" s="20"/>
      <c r="C215" s="20"/>
      <c r="D215" s="20"/>
      <c r="E215" s="20"/>
      <c r="F215" s="20"/>
      <c r="G215" s="20"/>
      <c r="H215" s="20"/>
      <c r="I215" s="20"/>
      <c r="J215" s="20"/>
      <c r="K215" s="20"/>
      <c r="L215" s="20"/>
      <c r="M215" s="20"/>
      <c r="N215" s="20"/>
      <c r="O215" s="20"/>
      <c r="P215" s="20"/>
      <c r="Q215" s="20"/>
      <c r="R215" s="20"/>
      <c r="S215" s="20"/>
      <c r="T215" s="20"/>
      <c r="U215" s="20"/>
      <c r="V215" s="20"/>
      <c r="W215" s="20"/>
      <c r="X215" s="20"/>
      <c r="Y215" s="20"/>
    </row>
    <row r="216" spans="1:25">
      <c r="A216" s="20"/>
      <c r="B216" s="20"/>
      <c r="C216" s="20"/>
      <c r="D216" s="20"/>
      <c r="E216" s="20"/>
      <c r="F216" s="20"/>
      <c r="G216" s="20"/>
      <c r="H216" s="20"/>
      <c r="I216" s="20"/>
      <c r="J216" s="20"/>
      <c r="K216" s="20"/>
      <c r="L216" s="20"/>
      <c r="M216" s="20"/>
      <c r="N216" s="20"/>
      <c r="O216" s="20"/>
      <c r="P216" s="20"/>
      <c r="Q216" s="20"/>
      <c r="R216" s="20"/>
      <c r="S216" s="20"/>
      <c r="T216" s="20"/>
      <c r="U216" s="20"/>
      <c r="V216" s="20"/>
      <c r="W216" s="20"/>
      <c r="X216" s="20"/>
      <c r="Y216" s="20"/>
    </row>
    <row r="217" spans="1:25">
      <c r="A217" s="20"/>
      <c r="B217" s="20"/>
      <c r="C217" s="20"/>
      <c r="D217" s="20"/>
      <c r="E217" s="20"/>
      <c r="F217" s="20"/>
      <c r="G217" s="20"/>
      <c r="H217" s="20"/>
      <c r="I217" s="20"/>
      <c r="J217" s="20"/>
      <c r="K217" s="20"/>
      <c r="L217" s="20"/>
      <c r="M217" s="20"/>
      <c r="N217" s="20"/>
      <c r="O217" s="20"/>
      <c r="P217" s="20"/>
      <c r="Q217" s="20"/>
      <c r="R217" s="20"/>
      <c r="S217" s="20"/>
      <c r="T217" s="20"/>
      <c r="U217" s="20"/>
      <c r="V217" s="20"/>
      <c r="W217" s="20"/>
      <c r="X217" s="20"/>
      <c r="Y217" s="20"/>
    </row>
    <row r="218" spans="1:25">
      <c r="A218" s="20"/>
      <c r="B218" s="20"/>
      <c r="C218" s="20"/>
      <c r="D218" s="20"/>
      <c r="E218" s="20"/>
      <c r="F218" s="20"/>
      <c r="G218" s="20"/>
      <c r="H218" s="20"/>
      <c r="I218" s="20"/>
      <c r="J218" s="20"/>
      <c r="K218" s="20"/>
      <c r="L218" s="20"/>
      <c r="M218" s="20"/>
      <c r="N218" s="20"/>
      <c r="O218" s="20"/>
      <c r="P218" s="20"/>
      <c r="Q218" s="20"/>
      <c r="R218" s="20"/>
      <c r="S218" s="20"/>
      <c r="T218" s="20"/>
      <c r="U218" s="20"/>
      <c r="V218" s="20"/>
      <c r="W218" s="20"/>
      <c r="X218" s="20"/>
      <c r="Y218" s="20"/>
    </row>
    <row r="219" spans="1:25">
      <c r="A219" s="20"/>
      <c r="B219" s="20"/>
      <c r="C219" s="20"/>
      <c r="D219" s="20"/>
      <c r="E219" s="20"/>
      <c r="F219" s="20"/>
      <c r="G219" s="20"/>
      <c r="H219" s="20"/>
      <c r="I219" s="20"/>
      <c r="J219" s="20"/>
      <c r="K219" s="20"/>
      <c r="L219" s="20"/>
      <c r="M219" s="20"/>
      <c r="N219" s="20"/>
      <c r="O219" s="20"/>
      <c r="P219" s="20"/>
      <c r="Q219" s="20"/>
      <c r="R219" s="20"/>
      <c r="S219" s="20"/>
      <c r="T219" s="20"/>
      <c r="U219" s="20"/>
      <c r="V219" s="20"/>
      <c r="W219" s="20"/>
      <c r="X219" s="20"/>
      <c r="Y219" s="20"/>
    </row>
    <row r="220" spans="1:25">
      <c r="A220" s="20"/>
      <c r="B220" s="20"/>
      <c r="C220" s="20"/>
      <c r="D220" s="20"/>
      <c r="E220" s="20"/>
      <c r="F220" s="20"/>
      <c r="G220" s="20"/>
      <c r="H220" s="20"/>
      <c r="I220" s="20"/>
      <c r="J220" s="20"/>
      <c r="K220" s="20"/>
      <c r="L220" s="20"/>
      <c r="M220" s="20"/>
      <c r="N220" s="20"/>
      <c r="O220" s="20"/>
      <c r="P220" s="20"/>
      <c r="Q220" s="20"/>
      <c r="R220" s="20"/>
      <c r="S220" s="20"/>
      <c r="T220" s="20"/>
      <c r="U220" s="20"/>
      <c r="V220" s="20"/>
      <c r="W220" s="20"/>
      <c r="X220" s="20"/>
      <c r="Y220" s="20"/>
    </row>
    <row r="221" spans="1:25">
      <c r="A221" s="20"/>
      <c r="B221" s="20"/>
      <c r="C221" s="20"/>
      <c r="D221" s="20"/>
      <c r="E221" s="20"/>
      <c r="F221" s="20"/>
      <c r="G221" s="20"/>
      <c r="H221" s="20"/>
      <c r="I221" s="20"/>
      <c r="J221" s="20"/>
      <c r="K221" s="20"/>
      <c r="L221" s="20"/>
      <c r="M221" s="20"/>
      <c r="N221" s="20"/>
      <c r="O221" s="20"/>
      <c r="P221" s="20"/>
      <c r="Q221" s="20"/>
      <c r="R221" s="20"/>
      <c r="S221" s="20"/>
      <c r="T221" s="20"/>
      <c r="U221" s="20"/>
      <c r="V221" s="20"/>
      <c r="W221" s="20"/>
      <c r="X221" s="20"/>
      <c r="Y221" s="20"/>
    </row>
    <row r="222" spans="1:25">
      <c r="A222" s="20"/>
      <c r="B222" s="20"/>
      <c r="C222" s="20"/>
      <c r="D222" s="20"/>
      <c r="E222" s="20"/>
      <c r="F222" s="20"/>
      <c r="G222" s="20"/>
      <c r="H222" s="20"/>
      <c r="I222" s="20"/>
      <c r="J222" s="20"/>
      <c r="K222" s="20"/>
      <c r="L222" s="20"/>
      <c r="M222" s="20"/>
      <c r="N222" s="20"/>
      <c r="O222" s="20"/>
      <c r="P222" s="20"/>
      <c r="Q222" s="20"/>
      <c r="R222" s="20"/>
      <c r="S222" s="20"/>
      <c r="T222" s="20"/>
      <c r="U222" s="20"/>
      <c r="V222" s="20"/>
      <c r="W222" s="20"/>
      <c r="X222" s="20"/>
      <c r="Y222" s="20"/>
    </row>
    <row r="223" spans="1:25">
      <c r="A223" s="20"/>
      <c r="B223" s="20"/>
      <c r="C223" s="20"/>
      <c r="D223" s="20"/>
      <c r="E223" s="20"/>
      <c r="F223" s="20"/>
      <c r="G223" s="20"/>
      <c r="H223" s="20"/>
      <c r="I223" s="20"/>
      <c r="J223" s="20"/>
      <c r="K223" s="20"/>
      <c r="L223" s="20"/>
      <c r="M223" s="20"/>
      <c r="N223" s="20"/>
      <c r="O223" s="20"/>
      <c r="P223" s="20"/>
      <c r="Q223" s="20"/>
      <c r="R223" s="20"/>
      <c r="S223" s="20"/>
      <c r="T223" s="20"/>
      <c r="U223" s="20"/>
      <c r="V223" s="20"/>
      <c r="W223" s="20"/>
      <c r="X223" s="20"/>
      <c r="Y223" s="20"/>
    </row>
    <row r="224" spans="1:25">
      <c r="A224" s="20"/>
      <c r="B224" s="20"/>
      <c r="C224" s="20"/>
      <c r="D224" s="20"/>
      <c r="E224" s="20"/>
      <c r="F224" s="20"/>
      <c r="G224" s="20"/>
      <c r="H224" s="20"/>
      <c r="I224" s="20"/>
      <c r="J224" s="20"/>
      <c r="K224" s="20"/>
      <c r="L224" s="20"/>
      <c r="M224" s="20"/>
      <c r="N224" s="20"/>
      <c r="O224" s="20"/>
      <c r="P224" s="20"/>
      <c r="Q224" s="20"/>
      <c r="R224" s="20"/>
      <c r="S224" s="20"/>
      <c r="T224" s="20"/>
      <c r="U224" s="20"/>
      <c r="V224" s="20"/>
      <c r="W224" s="20"/>
      <c r="X224" s="20"/>
      <c r="Y224" s="20"/>
    </row>
    <row r="225" spans="1:25">
      <c r="A225" s="20"/>
      <c r="B225" s="20"/>
      <c r="C225" s="20"/>
      <c r="D225" s="20"/>
      <c r="E225" s="20"/>
      <c r="F225" s="20"/>
      <c r="G225" s="20"/>
      <c r="H225" s="20"/>
      <c r="I225" s="20"/>
      <c r="J225" s="20"/>
      <c r="K225" s="20"/>
      <c r="L225" s="20"/>
      <c r="M225" s="20"/>
      <c r="N225" s="20"/>
      <c r="O225" s="20"/>
      <c r="P225" s="20"/>
      <c r="Q225" s="20"/>
      <c r="R225" s="20"/>
      <c r="S225" s="20"/>
      <c r="T225" s="20"/>
      <c r="U225" s="20"/>
      <c r="V225" s="20"/>
      <c r="W225" s="20"/>
      <c r="X225" s="20"/>
      <c r="Y225" s="20"/>
    </row>
    <row r="226" spans="1:25">
      <c r="A226" s="20"/>
      <c r="B226" s="20"/>
      <c r="C226" s="20"/>
      <c r="D226" s="20"/>
      <c r="E226" s="20"/>
      <c r="F226" s="20"/>
      <c r="G226" s="20"/>
      <c r="H226" s="20"/>
      <c r="I226" s="20"/>
      <c r="J226" s="20"/>
      <c r="K226" s="20"/>
      <c r="L226" s="20"/>
      <c r="M226" s="20"/>
      <c r="N226" s="20"/>
      <c r="O226" s="20"/>
      <c r="P226" s="20"/>
      <c r="Q226" s="20"/>
      <c r="R226" s="20"/>
      <c r="S226" s="20"/>
      <c r="T226" s="20"/>
      <c r="U226" s="20"/>
      <c r="V226" s="20"/>
      <c r="W226" s="20"/>
      <c r="X226" s="20"/>
      <c r="Y226" s="20"/>
    </row>
    <row r="227" spans="1:25">
      <c r="A227" s="20"/>
      <c r="B227" s="20"/>
      <c r="C227" s="20"/>
      <c r="D227" s="20"/>
      <c r="E227" s="20"/>
      <c r="F227" s="20"/>
      <c r="G227" s="20"/>
      <c r="H227" s="20"/>
      <c r="I227" s="20"/>
      <c r="J227" s="20"/>
      <c r="K227" s="20"/>
      <c r="L227" s="20"/>
      <c r="M227" s="20"/>
      <c r="N227" s="20"/>
      <c r="O227" s="20"/>
      <c r="P227" s="20"/>
      <c r="Q227" s="20"/>
      <c r="R227" s="20"/>
      <c r="S227" s="20"/>
      <c r="T227" s="20"/>
      <c r="U227" s="20"/>
      <c r="V227" s="20"/>
      <c r="W227" s="20"/>
      <c r="X227" s="20"/>
      <c r="Y227" s="20"/>
    </row>
    <row r="228" spans="1:25">
      <c r="A228" s="20"/>
      <c r="B228" s="20"/>
      <c r="C228" s="20"/>
      <c r="D228" s="20"/>
      <c r="E228" s="20"/>
      <c r="F228" s="20"/>
      <c r="G228" s="20"/>
      <c r="H228" s="20"/>
      <c r="I228" s="20"/>
      <c r="J228" s="20"/>
      <c r="K228" s="20"/>
      <c r="L228" s="20"/>
      <c r="M228" s="20"/>
      <c r="N228" s="20"/>
      <c r="O228" s="20"/>
      <c r="P228" s="20"/>
      <c r="Q228" s="20"/>
      <c r="R228" s="20"/>
      <c r="S228" s="20"/>
      <c r="T228" s="20"/>
      <c r="U228" s="20"/>
      <c r="V228" s="20"/>
      <c r="W228" s="20"/>
      <c r="X228" s="20"/>
      <c r="Y228" s="20"/>
    </row>
    <row r="229" spans="1:25">
      <c r="A229" s="20"/>
      <c r="B229" s="20"/>
      <c r="C229" s="20"/>
      <c r="D229" s="20"/>
      <c r="E229" s="20"/>
      <c r="F229" s="20"/>
      <c r="G229" s="20"/>
      <c r="H229" s="20"/>
      <c r="I229" s="20"/>
      <c r="J229" s="20"/>
      <c r="K229" s="20"/>
      <c r="L229" s="20"/>
      <c r="M229" s="20"/>
      <c r="N229" s="20"/>
      <c r="O229" s="20"/>
      <c r="P229" s="20"/>
      <c r="Q229" s="20"/>
      <c r="R229" s="20"/>
      <c r="S229" s="20"/>
      <c r="T229" s="20"/>
      <c r="U229" s="20"/>
      <c r="V229" s="20"/>
      <c r="W229" s="20"/>
      <c r="X229" s="20"/>
      <c r="Y229" s="20"/>
    </row>
    <row r="230" spans="1:25">
      <c r="A230" s="20"/>
      <c r="B230" s="20"/>
      <c r="C230" s="20"/>
      <c r="D230" s="20"/>
      <c r="E230" s="20"/>
      <c r="F230" s="20"/>
      <c r="G230" s="20"/>
      <c r="H230" s="20"/>
      <c r="I230" s="20"/>
      <c r="J230" s="20"/>
      <c r="K230" s="20"/>
      <c r="L230" s="20"/>
      <c r="M230" s="20"/>
      <c r="N230" s="20"/>
      <c r="O230" s="20"/>
      <c r="P230" s="20"/>
      <c r="Q230" s="20"/>
      <c r="R230" s="20"/>
      <c r="S230" s="20"/>
      <c r="T230" s="20"/>
      <c r="U230" s="20"/>
      <c r="V230" s="20"/>
      <c r="W230" s="20"/>
      <c r="X230" s="20"/>
      <c r="Y230" s="20"/>
    </row>
    <row r="231" spans="1:25">
      <c r="A231" s="20"/>
      <c r="B231" s="20"/>
      <c r="C231" s="20"/>
      <c r="D231" s="20"/>
      <c r="E231" s="20"/>
      <c r="F231" s="20"/>
      <c r="G231" s="20"/>
      <c r="H231" s="20"/>
      <c r="I231" s="20"/>
      <c r="J231" s="20"/>
      <c r="K231" s="20"/>
      <c r="L231" s="20"/>
      <c r="M231" s="20"/>
      <c r="N231" s="20"/>
      <c r="O231" s="20"/>
      <c r="P231" s="20"/>
      <c r="Q231" s="20"/>
      <c r="R231" s="20"/>
      <c r="S231" s="20"/>
      <c r="T231" s="20"/>
      <c r="U231" s="20"/>
      <c r="V231" s="20"/>
      <c r="W231" s="20"/>
      <c r="X231" s="20"/>
      <c r="Y231" s="20"/>
    </row>
    <row r="232" spans="1:25">
      <c r="A232" s="20"/>
      <c r="B232" s="20"/>
      <c r="C232" s="20"/>
      <c r="D232" s="20"/>
      <c r="E232" s="20"/>
      <c r="F232" s="20"/>
      <c r="G232" s="20"/>
      <c r="H232" s="20"/>
      <c r="I232" s="20"/>
      <c r="J232" s="20"/>
      <c r="K232" s="20"/>
      <c r="L232" s="20"/>
      <c r="M232" s="20"/>
      <c r="N232" s="20"/>
      <c r="O232" s="20"/>
      <c r="P232" s="20"/>
      <c r="Q232" s="20"/>
      <c r="R232" s="20"/>
      <c r="S232" s="20"/>
      <c r="T232" s="20"/>
      <c r="U232" s="20"/>
      <c r="V232" s="20"/>
      <c r="W232" s="20"/>
      <c r="X232" s="20"/>
      <c r="Y232" s="20"/>
    </row>
    <row r="233" spans="1:25">
      <c r="A233" s="20"/>
      <c r="B233" s="20"/>
      <c r="C233" s="20"/>
      <c r="D233" s="20"/>
      <c r="E233" s="20"/>
      <c r="F233" s="20"/>
      <c r="G233" s="20"/>
      <c r="H233" s="20"/>
      <c r="I233" s="20"/>
      <c r="J233" s="20"/>
      <c r="K233" s="20"/>
      <c r="L233" s="20"/>
      <c r="M233" s="20"/>
      <c r="N233" s="20"/>
      <c r="O233" s="20"/>
      <c r="P233" s="20"/>
      <c r="Q233" s="20"/>
      <c r="R233" s="20"/>
      <c r="S233" s="20"/>
      <c r="T233" s="20"/>
      <c r="U233" s="20"/>
      <c r="V233" s="20"/>
      <c r="W233" s="20"/>
      <c r="X233" s="20"/>
      <c r="Y233" s="20"/>
    </row>
    <row r="234" spans="1:25">
      <c r="A234" s="20"/>
      <c r="B234" s="20"/>
      <c r="C234" s="20"/>
      <c r="D234" s="20"/>
      <c r="E234" s="20"/>
      <c r="F234" s="20"/>
      <c r="G234" s="20"/>
      <c r="H234" s="20"/>
      <c r="I234" s="20"/>
      <c r="J234" s="20"/>
      <c r="K234" s="20"/>
      <c r="L234" s="20"/>
      <c r="M234" s="20"/>
      <c r="N234" s="20"/>
      <c r="O234" s="20"/>
      <c r="P234" s="20"/>
      <c r="Q234" s="20"/>
      <c r="R234" s="20"/>
      <c r="S234" s="20"/>
      <c r="T234" s="20"/>
      <c r="U234" s="20"/>
      <c r="V234" s="20"/>
      <c r="W234" s="20"/>
      <c r="X234" s="20"/>
      <c r="Y234" s="20"/>
    </row>
    <row r="235" spans="1:25">
      <c r="A235" s="20"/>
      <c r="B235" s="20"/>
      <c r="C235" s="20"/>
      <c r="D235" s="20"/>
      <c r="E235" s="20"/>
      <c r="F235" s="20"/>
      <c r="G235" s="20"/>
      <c r="H235" s="20"/>
      <c r="I235" s="20"/>
      <c r="J235" s="20"/>
      <c r="K235" s="20"/>
      <c r="L235" s="20"/>
      <c r="M235" s="20"/>
      <c r="N235" s="20"/>
      <c r="O235" s="20"/>
      <c r="P235" s="20"/>
      <c r="Q235" s="20"/>
      <c r="R235" s="20"/>
      <c r="S235" s="20"/>
      <c r="T235" s="20"/>
      <c r="U235" s="20"/>
      <c r="V235" s="20"/>
      <c r="W235" s="20"/>
      <c r="X235" s="20"/>
      <c r="Y235" s="20"/>
    </row>
    <row r="236" spans="1:25">
      <c r="A236" s="20"/>
      <c r="B236" s="20"/>
      <c r="C236" s="20"/>
      <c r="D236" s="20"/>
      <c r="E236" s="20"/>
      <c r="F236" s="20"/>
      <c r="G236" s="20"/>
      <c r="H236" s="20"/>
      <c r="I236" s="20"/>
      <c r="J236" s="20"/>
      <c r="K236" s="20"/>
      <c r="L236" s="20"/>
      <c r="M236" s="20"/>
      <c r="N236" s="20"/>
      <c r="O236" s="20"/>
      <c r="P236" s="20"/>
      <c r="Q236" s="20"/>
      <c r="R236" s="20"/>
      <c r="S236" s="20"/>
      <c r="T236" s="20"/>
      <c r="U236" s="20"/>
      <c r="V236" s="20"/>
      <c r="W236" s="20"/>
      <c r="X236" s="20"/>
      <c r="Y236" s="20"/>
    </row>
    <row r="237" spans="1:25">
      <c r="A237" s="20"/>
      <c r="B237" s="20"/>
      <c r="C237" s="20"/>
      <c r="D237" s="20"/>
      <c r="E237" s="20"/>
      <c r="F237" s="20"/>
      <c r="G237" s="20"/>
      <c r="H237" s="20"/>
      <c r="I237" s="20"/>
      <c r="J237" s="20"/>
      <c r="K237" s="20"/>
      <c r="L237" s="20"/>
      <c r="M237" s="20"/>
      <c r="N237" s="20"/>
      <c r="O237" s="20"/>
      <c r="P237" s="20"/>
      <c r="Q237" s="20"/>
      <c r="R237" s="20"/>
      <c r="S237" s="20"/>
      <c r="T237" s="20"/>
      <c r="U237" s="20"/>
      <c r="V237" s="20"/>
      <c r="W237" s="20"/>
      <c r="X237" s="20"/>
      <c r="Y237" s="20"/>
    </row>
    <row r="238" spans="1:25">
      <c r="A238" s="20"/>
      <c r="B238" s="20"/>
      <c r="C238" s="20"/>
      <c r="D238" s="20"/>
      <c r="E238" s="20"/>
      <c r="F238" s="20"/>
      <c r="G238" s="20"/>
      <c r="H238" s="20"/>
      <c r="I238" s="20"/>
      <c r="J238" s="20"/>
      <c r="K238" s="20"/>
      <c r="L238" s="20"/>
      <c r="M238" s="20"/>
      <c r="N238" s="20"/>
      <c r="O238" s="20"/>
      <c r="P238" s="20"/>
      <c r="Q238" s="20"/>
      <c r="R238" s="20"/>
      <c r="S238" s="20"/>
      <c r="T238" s="20"/>
      <c r="U238" s="20"/>
      <c r="V238" s="20"/>
      <c r="W238" s="20"/>
      <c r="X238" s="20"/>
      <c r="Y238" s="20"/>
    </row>
    <row r="239" spans="1:25">
      <c r="A239" s="20"/>
      <c r="B239" s="20"/>
      <c r="C239" s="20"/>
      <c r="D239" s="20"/>
      <c r="E239" s="20"/>
      <c r="F239" s="20"/>
      <c r="G239" s="20"/>
      <c r="H239" s="20"/>
      <c r="I239" s="20"/>
      <c r="J239" s="20"/>
      <c r="K239" s="20"/>
      <c r="L239" s="20"/>
      <c r="M239" s="20"/>
      <c r="N239" s="20"/>
      <c r="O239" s="20"/>
      <c r="P239" s="20"/>
      <c r="Q239" s="20"/>
      <c r="R239" s="20"/>
      <c r="S239" s="20"/>
      <c r="T239" s="20"/>
      <c r="U239" s="20"/>
      <c r="V239" s="20"/>
      <c r="W239" s="20"/>
      <c r="X239" s="20"/>
      <c r="Y239" s="20"/>
    </row>
    <row r="240" spans="1:25">
      <c r="A240" s="20"/>
      <c r="B240" s="20"/>
      <c r="C240" s="20"/>
      <c r="D240" s="20"/>
      <c r="E240" s="20"/>
      <c r="F240" s="20"/>
      <c r="G240" s="20"/>
      <c r="H240" s="20"/>
      <c r="I240" s="20"/>
      <c r="J240" s="20"/>
      <c r="K240" s="20"/>
      <c r="L240" s="20"/>
      <c r="M240" s="20"/>
      <c r="N240" s="20"/>
      <c r="O240" s="20"/>
      <c r="P240" s="20"/>
      <c r="Q240" s="20"/>
      <c r="R240" s="20"/>
      <c r="S240" s="20"/>
      <c r="T240" s="20"/>
      <c r="U240" s="20"/>
      <c r="V240" s="20"/>
      <c r="W240" s="20"/>
      <c r="X240" s="20"/>
      <c r="Y240" s="20"/>
    </row>
    <row r="241" spans="1:25">
      <c r="A241" s="20"/>
      <c r="B241" s="20"/>
      <c r="C241" s="20"/>
      <c r="D241" s="20"/>
      <c r="E241" s="20"/>
      <c r="F241" s="20"/>
      <c r="G241" s="20"/>
      <c r="H241" s="20"/>
      <c r="I241" s="20"/>
      <c r="J241" s="20"/>
      <c r="K241" s="20"/>
      <c r="L241" s="20"/>
      <c r="M241" s="20"/>
      <c r="N241" s="20"/>
      <c r="O241" s="20"/>
      <c r="P241" s="20"/>
      <c r="Q241" s="20"/>
      <c r="R241" s="20"/>
      <c r="S241" s="20"/>
      <c r="T241" s="20"/>
      <c r="U241" s="20"/>
      <c r="V241" s="20"/>
      <c r="W241" s="20"/>
      <c r="X241" s="20"/>
      <c r="Y241" s="20"/>
    </row>
    <row r="242" spans="1:25">
      <c r="A242" s="20"/>
      <c r="B242" s="20"/>
      <c r="C242" s="20"/>
      <c r="D242" s="20"/>
      <c r="E242" s="20"/>
      <c r="F242" s="20"/>
      <c r="G242" s="20"/>
      <c r="H242" s="20"/>
      <c r="I242" s="20"/>
      <c r="J242" s="20"/>
      <c r="K242" s="20"/>
      <c r="L242" s="20"/>
      <c r="M242" s="20"/>
      <c r="N242" s="20"/>
      <c r="O242" s="20"/>
      <c r="P242" s="20"/>
      <c r="Q242" s="20"/>
      <c r="R242" s="20"/>
      <c r="S242" s="20"/>
      <c r="T242" s="20"/>
      <c r="U242" s="20"/>
      <c r="V242" s="20"/>
      <c r="W242" s="20"/>
      <c r="X242" s="20"/>
      <c r="Y242" s="20"/>
    </row>
    <row r="243" spans="1:25">
      <c r="A243" s="20"/>
      <c r="B243" s="20"/>
      <c r="C243" s="20"/>
      <c r="D243" s="20"/>
      <c r="E243" s="20"/>
      <c r="F243" s="20"/>
      <c r="G243" s="20"/>
      <c r="H243" s="20"/>
      <c r="I243" s="20"/>
      <c r="J243" s="20"/>
      <c r="K243" s="20"/>
      <c r="L243" s="20"/>
      <c r="M243" s="20"/>
      <c r="N243" s="20"/>
      <c r="O243" s="20"/>
      <c r="P243" s="20"/>
      <c r="Q243" s="20"/>
      <c r="R243" s="20"/>
      <c r="S243" s="20"/>
      <c r="T243" s="20"/>
      <c r="U243" s="20"/>
      <c r="V243" s="20"/>
      <c r="W243" s="20"/>
      <c r="X243" s="20"/>
      <c r="Y243" s="20"/>
    </row>
    <row r="244" spans="1:25">
      <c r="A244" s="20"/>
      <c r="B244" s="20"/>
      <c r="C244" s="20"/>
      <c r="D244" s="20"/>
      <c r="E244" s="20"/>
      <c r="F244" s="20"/>
      <c r="G244" s="20"/>
      <c r="H244" s="20"/>
      <c r="I244" s="20"/>
      <c r="J244" s="20"/>
      <c r="K244" s="20"/>
      <c r="L244" s="20"/>
      <c r="M244" s="20"/>
      <c r="N244" s="20"/>
      <c r="O244" s="20"/>
    </row>
    <row r="245" spans="1:25">
      <c r="A245" s="20"/>
      <c r="B245" s="20"/>
      <c r="C245" s="20"/>
      <c r="D245" s="20"/>
      <c r="E245" s="20"/>
      <c r="F245" s="20"/>
      <c r="G245" s="20"/>
      <c r="H245" s="20"/>
      <c r="I245" s="20"/>
      <c r="J245" s="20"/>
      <c r="K245" s="20"/>
      <c r="L245" s="20"/>
      <c r="M245" s="20"/>
      <c r="N245" s="20"/>
      <c r="O245" s="20"/>
    </row>
    <row r="246" spans="1:25">
      <c r="A246" s="20"/>
      <c r="B246" s="20"/>
      <c r="C246" s="20"/>
      <c r="D246" s="20"/>
      <c r="E246" s="20"/>
      <c r="F246" s="20"/>
      <c r="G246" s="20"/>
      <c r="H246" s="20"/>
      <c r="I246" s="20"/>
      <c r="J246" s="20"/>
      <c r="K246" s="20"/>
      <c r="L246" s="20"/>
      <c r="M246" s="20"/>
      <c r="N246" s="20"/>
      <c r="O246" s="20"/>
    </row>
    <row r="247" spans="1:25">
      <c r="A247" s="20"/>
      <c r="B247" s="20"/>
      <c r="C247" s="20"/>
      <c r="D247" s="20"/>
      <c r="E247" s="20"/>
      <c r="F247" s="20"/>
      <c r="G247" s="20"/>
      <c r="H247" s="20"/>
      <c r="I247" s="20"/>
      <c r="J247" s="20"/>
      <c r="K247" s="20"/>
      <c r="L247" s="20"/>
      <c r="M247" s="20"/>
      <c r="N247" s="20"/>
      <c r="O247" s="20"/>
    </row>
    <row r="248" spans="1:25">
      <c r="A248" s="20"/>
      <c r="B248" s="20"/>
      <c r="C248" s="20"/>
      <c r="D248" s="20"/>
      <c r="E248" s="20"/>
      <c r="F248" s="20"/>
      <c r="G248" s="20"/>
      <c r="H248" s="20"/>
      <c r="I248" s="20"/>
      <c r="J248" s="20"/>
      <c r="K248" s="20"/>
      <c r="L248" s="20"/>
      <c r="M248" s="20"/>
      <c r="N248" s="20"/>
      <c r="O248" s="20"/>
    </row>
    <row r="249" spans="1:25">
      <c r="A249" s="20"/>
      <c r="B249" s="20"/>
      <c r="C249" s="20"/>
      <c r="D249" s="20"/>
      <c r="E249" s="20"/>
      <c r="F249" s="20"/>
      <c r="G249" s="20"/>
      <c r="H249" s="20"/>
      <c r="I249" s="20"/>
      <c r="J249" s="20"/>
      <c r="K249" s="20"/>
      <c r="L249" s="20"/>
      <c r="M249" s="20"/>
      <c r="N249" s="20"/>
      <c r="O249" s="20"/>
    </row>
    <row r="250" spans="1:25">
      <c r="A250" s="20"/>
      <c r="B250" s="20"/>
      <c r="C250" s="20"/>
      <c r="D250" s="20"/>
      <c r="E250" s="20"/>
      <c r="F250" s="20"/>
      <c r="G250" s="20"/>
      <c r="H250" s="20"/>
      <c r="I250" s="20"/>
      <c r="J250" s="20"/>
      <c r="K250" s="20"/>
      <c r="L250" s="20"/>
      <c r="M250" s="20"/>
      <c r="N250" s="20"/>
      <c r="O250" s="20"/>
    </row>
    <row r="251" spans="1:25">
      <c r="A251" s="20"/>
      <c r="B251" s="20"/>
      <c r="C251" s="20"/>
      <c r="D251" s="20"/>
      <c r="E251" s="20"/>
      <c r="F251" s="20"/>
      <c r="G251" s="20"/>
      <c r="H251" s="20"/>
      <c r="I251" s="20"/>
      <c r="J251" s="20"/>
      <c r="K251" s="20"/>
      <c r="L251" s="20"/>
      <c r="M251" s="20"/>
      <c r="N251" s="20"/>
      <c r="O251" s="20"/>
    </row>
    <row r="252" spans="1:25">
      <c r="A252" s="20"/>
      <c r="B252" s="20"/>
      <c r="C252" s="20"/>
      <c r="D252" s="20"/>
      <c r="E252" s="20"/>
      <c r="F252" s="20"/>
      <c r="G252" s="20"/>
      <c r="H252" s="20"/>
      <c r="I252" s="20"/>
      <c r="J252" s="20"/>
      <c r="K252" s="20"/>
      <c r="L252" s="20"/>
      <c r="M252" s="20"/>
      <c r="N252" s="20"/>
      <c r="O252" s="20"/>
    </row>
    <row r="253" spans="1:25">
      <c r="A253" s="20"/>
      <c r="B253" s="20"/>
      <c r="C253" s="20"/>
      <c r="D253" s="20"/>
      <c r="E253" s="20"/>
      <c r="F253" s="20"/>
      <c r="G253" s="20"/>
      <c r="H253" s="20"/>
      <c r="I253" s="20"/>
      <c r="J253" s="20"/>
      <c r="K253" s="20"/>
      <c r="L253" s="20"/>
      <c r="M253" s="20"/>
      <c r="N253" s="20"/>
      <c r="O253" s="20"/>
    </row>
    <row r="254" spans="1:25">
      <c r="A254" s="20"/>
      <c r="B254" s="20"/>
      <c r="C254" s="20"/>
      <c r="D254" s="20"/>
      <c r="E254" s="20"/>
      <c r="F254" s="20"/>
      <c r="G254" s="20"/>
      <c r="H254" s="20"/>
      <c r="I254" s="20"/>
      <c r="J254" s="20"/>
      <c r="K254" s="20"/>
      <c r="L254" s="20"/>
      <c r="M254" s="20"/>
      <c r="N254" s="20"/>
      <c r="O254" s="20"/>
    </row>
    <row r="255" spans="1:25">
      <c r="A255" s="20"/>
      <c r="B255" s="20"/>
      <c r="C255" s="20"/>
      <c r="D255" s="20"/>
      <c r="E255" s="20"/>
      <c r="F255" s="20"/>
      <c r="G255" s="20"/>
      <c r="H255" s="20"/>
      <c r="I255" s="20"/>
      <c r="J255" s="20"/>
      <c r="K255" s="20"/>
      <c r="L255" s="20"/>
      <c r="M255" s="20"/>
      <c r="N255" s="20"/>
      <c r="O255" s="20"/>
    </row>
    <row r="256" spans="1:25">
      <c r="A256" s="20"/>
      <c r="B256" s="20"/>
      <c r="C256" s="20"/>
      <c r="D256" s="20"/>
      <c r="E256" s="20"/>
      <c r="F256" s="20"/>
      <c r="G256" s="20"/>
      <c r="H256" s="20"/>
      <c r="I256" s="20"/>
      <c r="J256" s="20"/>
      <c r="K256" s="20"/>
      <c r="L256" s="20"/>
      <c r="M256" s="20"/>
      <c r="N256" s="20"/>
      <c r="O256" s="20"/>
    </row>
    <row r="257" spans="1:15">
      <c r="A257" s="20"/>
      <c r="B257" s="20"/>
      <c r="C257" s="20"/>
      <c r="D257" s="20"/>
      <c r="E257" s="20"/>
      <c r="F257" s="20"/>
      <c r="G257" s="20"/>
      <c r="H257" s="20"/>
      <c r="I257" s="20"/>
      <c r="J257" s="20"/>
      <c r="K257" s="20"/>
      <c r="L257" s="20"/>
      <c r="M257" s="20"/>
      <c r="N257" s="20"/>
      <c r="O257" s="20"/>
    </row>
    <row r="258" spans="1:15">
      <c r="A258" s="20"/>
      <c r="B258" s="20"/>
      <c r="C258" s="20"/>
      <c r="D258" s="20"/>
      <c r="E258" s="20"/>
      <c r="F258" s="20"/>
      <c r="G258" s="20"/>
      <c r="H258" s="20"/>
      <c r="I258" s="20"/>
      <c r="J258" s="20"/>
      <c r="K258" s="20"/>
      <c r="L258" s="20"/>
      <c r="M258" s="20"/>
      <c r="N258" s="20"/>
      <c r="O258" s="20"/>
    </row>
    <row r="259" spans="1:15">
      <c r="A259" s="20"/>
      <c r="B259" s="20"/>
      <c r="C259" s="20"/>
      <c r="D259" s="20"/>
      <c r="E259" s="20"/>
      <c r="F259" s="20"/>
      <c r="G259" s="20"/>
      <c r="H259" s="20"/>
      <c r="I259" s="20"/>
      <c r="J259" s="20"/>
      <c r="K259" s="20"/>
      <c r="L259" s="20"/>
      <c r="M259" s="20"/>
      <c r="N259" s="20"/>
      <c r="O259" s="20"/>
    </row>
    <row r="260" spans="1:15">
      <c r="A260" s="20"/>
      <c r="B260" s="20"/>
      <c r="C260" s="20"/>
      <c r="D260" s="20"/>
      <c r="E260" s="20"/>
      <c r="F260" s="20"/>
      <c r="G260" s="20"/>
      <c r="H260" s="20"/>
      <c r="I260" s="20"/>
      <c r="J260" s="20"/>
      <c r="K260" s="20"/>
      <c r="L260" s="20"/>
      <c r="M260" s="20"/>
      <c r="N260" s="20"/>
      <c r="O260" s="20"/>
    </row>
    <row r="261" spans="1:15">
      <c r="A261" s="20"/>
      <c r="B261" s="20"/>
      <c r="C261" s="20"/>
      <c r="D261" s="20"/>
      <c r="E261" s="20"/>
      <c r="F261" s="20"/>
      <c r="G261" s="20"/>
      <c r="H261" s="20"/>
      <c r="I261" s="20"/>
      <c r="J261" s="20"/>
      <c r="K261" s="20"/>
      <c r="L261" s="20"/>
      <c r="M261" s="20"/>
      <c r="N261" s="20"/>
      <c r="O261" s="20"/>
    </row>
    <row r="262" spans="1:15">
      <c r="A262" s="20"/>
      <c r="B262" s="20"/>
      <c r="C262" s="20"/>
      <c r="D262" s="20"/>
      <c r="E262" s="20"/>
      <c r="F262" s="20"/>
      <c r="G262" s="20"/>
      <c r="H262" s="20"/>
      <c r="I262" s="20"/>
      <c r="J262" s="20"/>
      <c r="K262" s="20"/>
      <c r="L262" s="20"/>
      <c r="M262" s="20"/>
      <c r="N262" s="20"/>
      <c r="O262" s="20"/>
    </row>
    <row r="263" spans="1:15">
      <c r="A263" s="20"/>
      <c r="B263" s="20"/>
      <c r="C263" s="20"/>
      <c r="D263" s="20"/>
      <c r="E263" s="20"/>
      <c r="F263" s="20"/>
      <c r="G263" s="20"/>
      <c r="H263" s="20"/>
      <c r="I263" s="20"/>
      <c r="J263" s="20"/>
      <c r="K263" s="20"/>
      <c r="L263" s="20"/>
      <c r="M263" s="20"/>
      <c r="N263" s="20"/>
      <c r="O263" s="20"/>
    </row>
    <row r="264" spans="1:15">
      <c r="A264" s="20"/>
      <c r="B264" s="20"/>
      <c r="C264" s="20"/>
      <c r="D264" s="20"/>
      <c r="E264" s="20"/>
      <c r="F264" s="20"/>
      <c r="G264" s="20"/>
      <c r="H264" s="20"/>
      <c r="I264" s="20"/>
      <c r="J264" s="20"/>
      <c r="K264" s="20"/>
      <c r="L264" s="20"/>
      <c r="M264" s="20"/>
      <c r="N264" s="20"/>
      <c r="O264" s="20"/>
    </row>
    <row r="265" spans="1:15">
      <c r="A265" s="20"/>
      <c r="B265" s="20"/>
      <c r="C265" s="20"/>
      <c r="D265" s="20"/>
      <c r="E265" s="20"/>
      <c r="F265" s="20"/>
      <c r="G265" s="20"/>
      <c r="H265" s="20"/>
      <c r="I265" s="20"/>
      <c r="J265" s="20"/>
      <c r="K265" s="20"/>
      <c r="L265" s="20"/>
      <c r="M265" s="20"/>
      <c r="N265" s="20"/>
      <c r="O265" s="20"/>
    </row>
    <row r="266" spans="1:15">
      <c r="A266" s="20"/>
      <c r="B266" s="20"/>
      <c r="C266" s="20"/>
      <c r="D266" s="20"/>
      <c r="E266" s="20"/>
      <c r="F266" s="20"/>
      <c r="G266" s="20"/>
      <c r="H266" s="20"/>
      <c r="I266" s="20"/>
      <c r="J266" s="20"/>
      <c r="K266" s="20"/>
      <c r="L266" s="20"/>
      <c r="M266" s="20"/>
      <c r="N266" s="20"/>
      <c r="O266" s="20"/>
    </row>
    <row r="267" spans="1:15">
      <c r="A267" s="20"/>
      <c r="B267" s="20"/>
      <c r="C267" s="20"/>
      <c r="D267" s="20"/>
      <c r="E267" s="20"/>
      <c r="F267" s="20"/>
      <c r="G267" s="20"/>
      <c r="H267" s="20"/>
      <c r="I267" s="20"/>
      <c r="J267" s="20"/>
      <c r="K267" s="20"/>
      <c r="L267" s="20"/>
      <c r="M267" s="20"/>
      <c r="N267" s="20"/>
      <c r="O267" s="20"/>
    </row>
    <row r="268" spans="1:15">
      <c r="A268" s="20"/>
      <c r="B268" s="20"/>
      <c r="C268" s="20"/>
      <c r="D268" s="20"/>
      <c r="E268" s="20"/>
      <c r="F268" s="20"/>
      <c r="G268" s="20"/>
      <c r="H268" s="20"/>
      <c r="I268" s="20"/>
      <c r="J268" s="20"/>
      <c r="K268" s="20"/>
      <c r="L268" s="20"/>
      <c r="M268" s="20"/>
      <c r="N268" s="20"/>
      <c r="O268" s="20"/>
    </row>
    <row r="269" spans="1:15">
      <c r="A269" s="20"/>
      <c r="B269" s="20"/>
      <c r="C269" s="20"/>
      <c r="D269" s="20"/>
      <c r="E269" s="20"/>
      <c r="F269" s="20"/>
      <c r="G269" s="20"/>
      <c r="H269" s="20"/>
      <c r="I269" s="20"/>
      <c r="J269" s="20"/>
      <c r="K269" s="20"/>
      <c r="L269" s="20"/>
      <c r="M269" s="20"/>
      <c r="N269" s="20"/>
      <c r="O269" s="20"/>
    </row>
    <row r="270" spans="1:15">
      <c r="A270" s="20"/>
      <c r="B270" s="20"/>
      <c r="C270" s="20"/>
      <c r="D270" s="20"/>
      <c r="E270" s="20"/>
      <c r="F270" s="20"/>
      <c r="G270" s="20"/>
      <c r="H270" s="20"/>
      <c r="I270" s="20"/>
      <c r="J270" s="20"/>
      <c r="K270" s="20"/>
      <c r="L270" s="20"/>
      <c r="M270" s="20"/>
      <c r="N270" s="20"/>
      <c r="O270" s="20"/>
    </row>
    <row r="271" spans="1:15">
      <c r="A271" s="20"/>
      <c r="B271" s="20"/>
      <c r="C271" s="20"/>
      <c r="D271" s="20"/>
      <c r="E271" s="20"/>
      <c r="F271" s="20"/>
      <c r="G271" s="20"/>
      <c r="H271" s="20"/>
      <c r="I271" s="20"/>
      <c r="J271" s="20"/>
      <c r="K271" s="20"/>
      <c r="L271" s="20"/>
      <c r="M271" s="20"/>
      <c r="N271" s="20"/>
      <c r="O271" s="20"/>
    </row>
    <row r="272" spans="1:15">
      <c r="A272" s="20"/>
      <c r="B272" s="20"/>
      <c r="C272" s="20"/>
      <c r="D272" s="20"/>
      <c r="E272" s="20"/>
      <c r="F272" s="20"/>
      <c r="G272" s="20"/>
      <c r="H272" s="20"/>
      <c r="I272" s="20"/>
      <c r="J272" s="20"/>
      <c r="K272" s="20"/>
      <c r="L272" s="20"/>
      <c r="M272" s="20"/>
      <c r="N272" s="20"/>
      <c r="O272" s="20"/>
    </row>
    <row r="273" spans="1:15">
      <c r="A273" s="20"/>
      <c r="B273" s="20"/>
      <c r="C273" s="20"/>
      <c r="D273" s="20"/>
      <c r="E273" s="20"/>
      <c r="F273" s="20"/>
      <c r="G273" s="20"/>
      <c r="H273" s="20"/>
      <c r="I273" s="20"/>
      <c r="J273" s="20"/>
      <c r="K273" s="20"/>
      <c r="L273" s="20"/>
      <c r="M273" s="20"/>
      <c r="N273" s="20"/>
      <c r="O273" s="20"/>
    </row>
    <row r="274" spans="1:15">
      <c r="A274" s="20"/>
      <c r="B274" s="20"/>
      <c r="C274" s="20"/>
      <c r="D274" s="20"/>
      <c r="E274" s="20"/>
      <c r="F274" s="20"/>
      <c r="G274" s="20"/>
      <c r="H274" s="20"/>
      <c r="I274" s="20"/>
      <c r="J274" s="20"/>
      <c r="K274" s="20"/>
      <c r="L274" s="20"/>
      <c r="M274" s="20"/>
      <c r="N274" s="20"/>
      <c r="O274" s="20"/>
    </row>
    <row r="275" spans="1:15">
      <c r="A275" s="20"/>
      <c r="B275" s="20"/>
      <c r="C275" s="20"/>
      <c r="D275" s="20"/>
      <c r="E275" s="20"/>
      <c r="F275" s="20"/>
      <c r="G275" s="20"/>
      <c r="H275" s="20"/>
      <c r="I275" s="20"/>
      <c r="J275" s="20"/>
      <c r="K275" s="20"/>
      <c r="L275" s="20"/>
      <c r="M275" s="20"/>
      <c r="N275" s="20"/>
      <c r="O275" s="20"/>
    </row>
    <row r="276" spans="1:15">
      <c r="A276" s="20"/>
      <c r="B276" s="20"/>
      <c r="C276" s="20"/>
      <c r="D276" s="20"/>
      <c r="E276" s="20"/>
      <c r="F276" s="20"/>
      <c r="G276" s="20"/>
      <c r="H276" s="20"/>
      <c r="I276" s="20"/>
      <c r="J276" s="20"/>
      <c r="K276" s="20"/>
      <c r="L276" s="20"/>
      <c r="M276" s="20"/>
      <c r="N276" s="20"/>
      <c r="O276" s="20"/>
    </row>
    <row r="277" spans="1:15">
      <c r="A277" s="20"/>
      <c r="B277" s="20"/>
      <c r="C277" s="20"/>
      <c r="D277" s="20"/>
      <c r="E277" s="20"/>
      <c r="F277" s="20"/>
      <c r="G277" s="20"/>
      <c r="H277" s="20"/>
      <c r="I277" s="20"/>
      <c r="J277" s="20"/>
      <c r="K277" s="20"/>
      <c r="L277" s="20"/>
      <c r="M277" s="20"/>
      <c r="N277" s="20"/>
      <c r="O277" s="20"/>
    </row>
    <row r="278" spans="1:15">
      <c r="A278" s="20"/>
      <c r="B278" s="20"/>
      <c r="C278" s="20"/>
      <c r="D278" s="20"/>
      <c r="E278" s="20"/>
      <c r="F278" s="20"/>
      <c r="G278" s="20"/>
      <c r="H278" s="20"/>
      <c r="I278" s="20"/>
      <c r="J278" s="20"/>
      <c r="K278" s="20"/>
      <c r="L278" s="20"/>
      <c r="M278" s="20"/>
      <c r="N278" s="20"/>
      <c r="O278" s="20"/>
    </row>
    <row r="279" spans="1:15">
      <c r="A279" s="20"/>
      <c r="B279" s="20"/>
      <c r="C279" s="20"/>
      <c r="D279" s="20"/>
      <c r="E279" s="20"/>
      <c r="F279" s="20"/>
      <c r="G279" s="20"/>
      <c r="H279" s="20"/>
      <c r="I279" s="20"/>
      <c r="J279" s="20"/>
      <c r="K279" s="20"/>
      <c r="L279" s="20"/>
      <c r="M279" s="20"/>
      <c r="N279" s="20"/>
      <c r="O279" s="20"/>
    </row>
    <row r="280" spans="1:15">
      <c r="A280" s="20"/>
      <c r="B280" s="20"/>
      <c r="C280" s="20"/>
      <c r="D280" s="20"/>
      <c r="E280" s="20"/>
      <c r="F280" s="20"/>
      <c r="G280" s="20"/>
      <c r="H280" s="20"/>
      <c r="I280" s="20"/>
      <c r="J280" s="20"/>
      <c r="K280" s="20"/>
      <c r="L280" s="20"/>
      <c r="M280" s="20"/>
      <c r="N280" s="20"/>
      <c r="O280" s="20"/>
    </row>
    <row r="281" spans="1:15">
      <c r="A281" s="20"/>
      <c r="B281" s="20"/>
      <c r="C281" s="20"/>
      <c r="D281" s="20"/>
      <c r="E281" s="20"/>
      <c r="F281" s="20"/>
      <c r="G281" s="20"/>
      <c r="H281" s="20"/>
      <c r="I281" s="20"/>
      <c r="J281" s="20"/>
      <c r="K281" s="20"/>
      <c r="L281" s="20"/>
      <c r="M281" s="20"/>
      <c r="N281" s="20"/>
      <c r="O281" s="20"/>
    </row>
    <row r="282" spans="1:15">
      <c r="A282" s="20"/>
      <c r="B282" s="20"/>
      <c r="C282" s="20"/>
      <c r="D282" s="20"/>
      <c r="E282" s="20"/>
      <c r="F282" s="20"/>
      <c r="G282" s="20"/>
      <c r="H282" s="20"/>
      <c r="I282" s="20"/>
      <c r="J282" s="20"/>
      <c r="K282" s="20"/>
      <c r="L282" s="20"/>
      <c r="M282" s="20"/>
      <c r="N282" s="20"/>
      <c r="O282" s="20"/>
    </row>
    <row r="283" spans="1:15">
      <c r="A283" s="20"/>
      <c r="B283" s="20"/>
      <c r="C283" s="20"/>
      <c r="D283" s="20"/>
      <c r="E283" s="20"/>
      <c r="F283" s="20"/>
      <c r="G283" s="20"/>
      <c r="H283" s="20"/>
      <c r="I283" s="20"/>
      <c r="J283" s="20"/>
      <c r="K283" s="20"/>
      <c r="L283" s="20"/>
      <c r="M283" s="20"/>
      <c r="N283" s="20"/>
      <c r="O283" s="20"/>
    </row>
    <row r="284" spans="1:15">
      <c r="A284" s="20"/>
      <c r="B284" s="20"/>
      <c r="C284" s="20"/>
      <c r="D284" s="20"/>
      <c r="E284" s="20"/>
      <c r="F284" s="20"/>
      <c r="G284" s="20"/>
      <c r="H284" s="20"/>
      <c r="I284" s="20"/>
      <c r="J284" s="20"/>
      <c r="K284" s="20"/>
      <c r="L284" s="20"/>
      <c r="M284" s="20"/>
      <c r="N284" s="20"/>
      <c r="O284" s="20"/>
    </row>
    <row r="285" spans="1:15">
      <c r="A285" s="20"/>
      <c r="B285" s="20"/>
      <c r="C285" s="20"/>
      <c r="D285" s="20"/>
      <c r="E285" s="20"/>
      <c r="F285" s="20"/>
      <c r="G285" s="20"/>
      <c r="H285" s="20"/>
      <c r="I285" s="20"/>
      <c r="J285" s="20"/>
      <c r="K285" s="20"/>
      <c r="L285" s="20"/>
      <c r="M285" s="20"/>
      <c r="N285" s="20"/>
      <c r="O285" s="20"/>
    </row>
    <row r="286" spans="1:15">
      <c r="A286" s="20"/>
      <c r="B286" s="20"/>
      <c r="C286" s="20"/>
      <c r="D286" s="20"/>
      <c r="E286" s="20"/>
      <c r="F286" s="20"/>
      <c r="G286" s="20"/>
      <c r="H286" s="20"/>
      <c r="I286" s="20"/>
      <c r="J286" s="20"/>
      <c r="K286" s="20"/>
      <c r="L286" s="20"/>
      <c r="M286" s="20"/>
      <c r="N286" s="20"/>
      <c r="O286" s="20"/>
    </row>
    <row r="287" spans="1:15">
      <c r="A287" s="20"/>
      <c r="B287" s="20"/>
      <c r="C287" s="20"/>
      <c r="D287" s="20"/>
      <c r="E287" s="20"/>
      <c r="F287" s="20"/>
      <c r="G287" s="20"/>
      <c r="H287" s="20"/>
      <c r="I287" s="20"/>
      <c r="J287" s="20"/>
      <c r="K287" s="20"/>
      <c r="L287" s="20"/>
      <c r="M287" s="20"/>
      <c r="N287" s="20"/>
      <c r="O287" s="20"/>
    </row>
    <row r="288" spans="1:15">
      <c r="A288" s="20"/>
      <c r="B288" s="20"/>
      <c r="C288" s="20"/>
      <c r="D288" s="20"/>
      <c r="E288" s="20"/>
      <c r="F288" s="20"/>
      <c r="G288" s="20"/>
      <c r="H288" s="20"/>
      <c r="I288" s="20"/>
      <c r="J288" s="20"/>
      <c r="K288" s="20"/>
      <c r="L288" s="20"/>
      <c r="M288" s="20"/>
      <c r="N288" s="20"/>
      <c r="O288" s="20"/>
    </row>
    <row r="289" spans="1:15">
      <c r="A289" s="20"/>
      <c r="B289" s="20"/>
      <c r="C289" s="20"/>
      <c r="D289" s="20"/>
      <c r="E289" s="20"/>
      <c r="F289" s="20"/>
      <c r="G289" s="20"/>
      <c r="H289" s="20"/>
      <c r="I289" s="20"/>
      <c r="J289" s="20"/>
      <c r="K289" s="20"/>
      <c r="L289" s="20"/>
      <c r="M289" s="20"/>
      <c r="N289" s="20"/>
      <c r="O289" s="20"/>
    </row>
    <row r="290" spans="1:15">
      <c r="A290" s="20"/>
      <c r="B290" s="20"/>
      <c r="C290" s="20"/>
      <c r="D290" s="20"/>
      <c r="E290" s="20"/>
      <c r="F290" s="20"/>
      <c r="G290" s="20"/>
      <c r="H290" s="20"/>
      <c r="I290" s="20"/>
      <c r="J290" s="20"/>
      <c r="K290" s="20"/>
      <c r="L290" s="20"/>
      <c r="M290" s="20"/>
      <c r="N290" s="20"/>
      <c r="O290" s="20"/>
    </row>
    <row r="291" spans="1:15">
      <c r="A291" s="20"/>
      <c r="B291" s="20"/>
      <c r="C291" s="20"/>
      <c r="D291" s="20"/>
      <c r="E291" s="20"/>
      <c r="F291" s="20"/>
      <c r="G291" s="20"/>
      <c r="H291" s="20"/>
      <c r="I291" s="20"/>
      <c r="J291" s="20"/>
      <c r="K291" s="20"/>
      <c r="L291" s="20"/>
      <c r="M291" s="20"/>
      <c r="N291" s="20"/>
      <c r="O291" s="20"/>
    </row>
    <row r="292" spans="1:15">
      <c r="A292" s="20"/>
      <c r="B292" s="20"/>
      <c r="C292" s="20"/>
      <c r="D292" s="20"/>
      <c r="E292" s="20"/>
      <c r="F292" s="20"/>
      <c r="G292" s="20"/>
      <c r="H292" s="20"/>
      <c r="I292" s="20"/>
      <c r="J292" s="20"/>
      <c r="K292" s="20"/>
      <c r="L292" s="20"/>
      <c r="M292" s="20"/>
      <c r="N292" s="20"/>
      <c r="O292" s="20"/>
    </row>
    <row r="293" spans="1:15">
      <c r="A293" s="20"/>
      <c r="B293" s="20"/>
      <c r="C293" s="20"/>
      <c r="D293" s="20"/>
      <c r="E293" s="20"/>
      <c r="F293" s="20"/>
      <c r="G293" s="20"/>
      <c r="H293" s="20"/>
      <c r="I293" s="20"/>
      <c r="J293" s="20"/>
      <c r="K293" s="20"/>
      <c r="L293" s="20"/>
      <c r="M293" s="20"/>
      <c r="N293" s="20"/>
      <c r="O293" s="20"/>
    </row>
    <row r="294" spans="1:15">
      <c r="A294" s="20"/>
      <c r="B294" s="20"/>
      <c r="C294" s="20"/>
      <c r="D294" s="20"/>
      <c r="E294" s="20"/>
      <c r="F294" s="20"/>
      <c r="G294" s="20"/>
      <c r="H294" s="20"/>
      <c r="I294" s="20"/>
      <c r="J294" s="20"/>
      <c r="K294" s="20"/>
      <c r="L294" s="20"/>
      <c r="M294" s="20"/>
      <c r="N294" s="20"/>
      <c r="O294" s="20"/>
    </row>
    <row r="295" spans="1:15">
      <c r="A295" s="20"/>
      <c r="B295" s="20"/>
      <c r="C295" s="20"/>
      <c r="D295" s="20"/>
      <c r="E295" s="20"/>
      <c r="F295" s="20"/>
      <c r="G295" s="20"/>
      <c r="H295" s="20"/>
      <c r="I295" s="20"/>
      <c r="J295" s="20"/>
      <c r="K295" s="20"/>
      <c r="L295" s="20"/>
      <c r="M295" s="20"/>
      <c r="N295" s="20"/>
      <c r="O295" s="20"/>
    </row>
    <row r="296" spans="1:15">
      <c r="A296" s="20"/>
      <c r="B296" s="20"/>
      <c r="C296" s="20"/>
      <c r="D296" s="20"/>
      <c r="E296" s="20"/>
      <c r="F296" s="20"/>
      <c r="G296" s="20"/>
      <c r="H296" s="20"/>
      <c r="I296" s="20"/>
      <c r="J296" s="20"/>
      <c r="K296" s="20"/>
      <c r="L296" s="20"/>
      <c r="M296" s="20"/>
      <c r="N296" s="20"/>
      <c r="O296" s="20"/>
    </row>
    <row r="297" spans="1:15">
      <c r="A297" s="20"/>
      <c r="B297" s="20"/>
      <c r="C297" s="20"/>
      <c r="D297" s="20"/>
      <c r="E297" s="20"/>
      <c r="F297" s="20"/>
      <c r="G297" s="20"/>
      <c r="H297" s="20"/>
      <c r="I297" s="20"/>
      <c r="J297" s="20"/>
      <c r="K297" s="20"/>
      <c r="L297" s="20"/>
      <c r="M297" s="20"/>
      <c r="N297" s="20"/>
      <c r="O297" s="20"/>
    </row>
    <row r="298" spans="1:15">
      <c r="A298" s="20"/>
      <c r="B298" s="20"/>
      <c r="C298" s="20"/>
      <c r="D298" s="20"/>
      <c r="E298" s="20"/>
      <c r="F298" s="20"/>
      <c r="G298" s="20"/>
      <c r="H298" s="20"/>
      <c r="I298" s="20"/>
      <c r="J298" s="20"/>
      <c r="K298" s="20"/>
      <c r="L298" s="20"/>
      <c r="M298" s="20"/>
      <c r="N298" s="20"/>
      <c r="O298" s="20"/>
    </row>
    <row r="299" spans="1:15">
      <c r="A299" s="20"/>
      <c r="B299" s="20"/>
      <c r="C299" s="20"/>
      <c r="D299" s="20"/>
      <c r="E299" s="20"/>
      <c r="F299" s="20"/>
      <c r="G299" s="20"/>
      <c r="H299" s="20"/>
      <c r="I299" s="20"/>
      <c r="J299" s="20"/>
      <c r="K299" s="20"/>
      <c r="L299" s="20"/>
      <c r="M299" s="20"/>
      <c r="N299" s="20"/>
      <c r="O299" s="20"/>
    </row>
    <row r="300" spans="1:15">
      <c r="A300" s="20"/>
      <c r="B300" s="20"/>
      <c r="C300" s="20"/>
      <c r="D300" s="20"/>
      <c r="E300" s="20"/>
      <c r="F300" s="20"/>
      <c r="G300" s="20"/>
      <c r="H300" s="20"/>
      <c r="I300" s="20"/>
      <c r="J300" s="20"/>
      <c r="K300" s="20"/>
      <c r="L300" s="20"/>
      <c r="M300" s="20"/>
      <c r="N300" s="20"/>
      <c r="O300" s="20"/>
    </row>
    <row r="301" spans="1:15">
      <c r="A301" s="20"/>
      <c r="B301" s="20"/>
      <c r="C301" s="20"/>
      <c r="D301" s="20"/>
      <c r="E301" s="20"/>
      <c r="F301" s="20"/>
      <c r="G301" s="20"/>
      <c r="H301" s="20"/>
      <c r="I301" s="20"/>
      <c r="J301" s="20"/>
      <c r="K301" s="20"/>
      <c r="L301" s="20"/>
      <c r="M301" s="20"/>
      <c r="N301" s="20"/>
      <c r="O301" s="20"/>
    </row>
    <row r="302" spans="1:15">
      <c r="A302" s="20"/>
      <c r="B302" s="20"/>
      <c r="C302" s="20"/>
      <c r="D302" s="20"/>
      <c r="E302" s="20"/>
      <c r="F302" s="20"/>
      <c r="G302" s="20"/>
      <c r="H302" s="20"/>
      <c r="I302" s="20"/>
      <c r="J302" s="20"/>
      <c r="K302" s="20"/>
      <c r="L302" s="20"/>
      <c r="M302" s="20"/>
      <c r="N302" s="20"/>
      <c r="O302" s="20"/>
    </row>
    <row r="303" spans="1:15">
      <c r="A303" s="20"/>
      <c r="B303" s="20"/>
      <c r="C303" s="20"/>
      <c r="D303" s="20"/>
      <c r="E303" s="20"/>
      <c r="F303" s="20"/>
      <c r="G303" s="20"/>
      <c r="H303" s="20"/>
      <c r="I303" s="20"/>
      <c r="J303" s="20"/>
      <c r="K303" s="20"/>
      <c r="L303" s="20"/>
      <c r="M303" s="20"/>
      <c r="N303" s="20"/>
      <c r="O303" s="20"/>
    </row>
    <row r="304" spans="1:15">
      <c r="A304" s="20"/>
      <c r="B304" s="20"/>
      <c r="C304" s="20"/>
      <c r="D304" s="20"/>
      <c r="E304" s="20"/>
      <c r="F304" s="20"/>
      <c r="G304" s="20"/>
      <c r="H304" s="20"/>
      <c r="I304" s="20"/>
      <c r="J304" s="20"/>
      <c r="K304" s="20"/>
      <c r="L304" s="20"/>
      <c r="M304" s="20"/>
      <c r="N304" s="20"/>
      <c r="O304" s="20"/>
    </row>
    <row r="305" spans="1:15">
      <c r="A305" s="20"/>
      <c r="B305" s="20"/>
      <c r="C305" s="20"/>
      <c r="D305" s="20"/>
      <c r="E305" s="20"/>
      <c r="F305" s="20"/>
      <c r="G305" s="20"/>
      <c r="H305" s="20"/>
      <c r="I305" s="20"/>
      <c r="J305" s="20"/>
      <c r="K305" s="20"/>
      <c r="L305" s="20"/>
      <c r="M305" s="20"/>
      <c r="N305" s="20"/>
      <c r="O305" s="20"/>
    </row>
    <row r="306" spans="1:15">
      <c r="A306" s="20"/>
      <c r="B306" s="20"/>
      <c r="C306" s="20"/>
      <c r="D306" s="20"/>
      <c r="E306" s="20"/>
      <c r="F306" s="20"/>
      <c r="G306" s="20"/>
      <c r="H306" s="20"/>
      <c r="I306" s="20"/>
      <c r="J306" s="20"/>
      <c r="K306" s="20"/>
      <c r="L306" s="20"/>
      <c r="M306" s="20"/>
      <c r="N306" s="20"/>
      <c r="O306" s="20"/>
    </row>
  </sheetData>
  <sheetProtection algorithmName="SHA-512" hashValue="ckCZtR4pcFYOg/mxnwSaNAuVVlRW4I/Q89VgkkNEBu8P7KfcPDUKt7npcZljz3OTtt81ykmGVhdnjmKfJPyGZg==" saltValue="a2evXw30NcmCQj0ityBzNg==" spinCount="100000" sheet="1" selectLockedCells="1"/>
  <mergeCells count="21">
    <mergeCell ref="L33:M33"/>
    <mergeCell ref="A3:O3"/>
    <mergeCell ref="A4:O4"/>
    <mergeCell ref="D6:F6"/>
    <mergeCell ref="D8:F8"/>
    <mergeCell ref="M6:N6"/>
    <mergeCell ref="L14:M14"/>
    <mergeCell ref="L17:M17"/>
    <mergeCell ref="L20:M20"/>
    <mergeCell ref="L22:M22"/>
    <mergeCell ref="L24:M24"/>
    <mergeCell ref="L27:M27"/>
    <mergeCell ref="L36:M36"/>
    <mergeCell ref="L38:M38"/>
    <mergeCell ref="L43:M43"/>
    <mergeCell ref="L58:M58"/>
    <mergeCell ref="L61:M61"/>
    <mergeCell ref="L46:M46"/>
    <mergeCell ref="L49:M49"/>
    <mergeCell ref="L51:M51"/>
    <mergeCell ref="L53:M53"/>
  </mergeCells>
  <phoneticPr fontId="2" type="noConversion"/>
  <conditionalFormatting sqref="L14:M14 L17:M17 L20:M20 L24:M24 L43:M43 L46:M46 L49:M49">
    <cfRule type="cellIs" dxfId="86" priority="3" stopIfTrue="1" operator="equal">
      <formula>0</formula>
    </cfRule>
  </conditionalFormatting>
  <conditionalFormatting sqref="A1:Y306">
    <cfRule type="expression" dxfId="85" priority="2" stopIfTrue="1">
      <formula>AND(A1&lt;&gt;"",OR(A1=0,A1="0"))</formula>
    </cfRule>
  </conditionalFormatting>
  <hyperlinks>
    <hyperlink ref="P58" location="'Guía de trabajo'!A33" display="'Guía de trabajo'!A33" xr:uid="{00000000-0004-0000-0800-000000000000}"/>
  </hyperlinks>
  <pageMargins left="0.70866141732283472" right="0.74803149606299213" top="0.74803149606299213" bottom="0.98425196850393704" header="0.47244094488188981" footer="0"/>
  <pageSetup paperSize="9" scale="91" orientation="portrait" blackAndWhite="1" horizontalDpi="120" verticalDpi="144" r:id="rId1"/>
  <headerFooter alignWithMargins="0">
    <oddHeader xml:space="preserve">&amp;LPREFECTURA NAVAL ARGENTINA
</oddHeader>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oja11"/>
  <dimension ref="A1:AC236"/>
  <sheetViews>
    <sheetView zoomScale="130" zoomScaleNormal="130" zoomScaleSheetLayoutView="110" workbookViewId="0">
      <selection activeCell="J42" sqref="J42"/>
    </sheetView>
  </sheetViews>
  <sheetFormatPr baseColWidth="10" defaultRowHeight="13.2"/>
  <cols>
    <col min="1" max="2" width="5.6640625" customWidth="1"/>
    <col min="3" max="3" width="1.44140625" customWidth="1"/>
    <col min="4" max="4" width="4.88671875" customWidth="1"/>
    <col min="5" max="6" width="5.6640625" customWidth="1"/>
    <col min="7" max="7" width="1.33203125" customWidth="1"/>
    <col min="8" max="8" width="5.6640625" customWidth="1"/>
    <col min="9" max="9" width="7" customWidth="1"/>
    <col min="10" max="10" width="5.6640625" customWidth="1"/>
    <col min="11" max="11" width="1.33203125" customWidth="1"/>
    <col min="12" max="12" width="5.6640625" customWidth="1"/>
    <col min="13" max="13" width="1.44140625" customWidth="1"/>
    <col min="14" max="14" width="5.6640625" customWidth="1"/>
    <col min="15" max="15" width="2" customWidth="1"/>
    <col min="16" max="16" width="5.6640625" customWidth="1"/>
    <col min="17" max="17" width="1.109375" customWidth="1"/>
    <col min="18" max="18" width="5.6640625" customWidth="1"/>
    <col min="19" max="19" width="2.6640625" customWidth="1"/>
    <col min="20" max="20" width="5.6640625" customWidth="1"/>
  </cols>
  <sheetData>
    <row r="1" spans="1:29" ht="13.8" thickBot="1">
      <c r="A1" s="3"/>
      <c r="B1" s="3"/>
      <c r="C1" s="3"/>
      <c r="D1" s="3"/>
      <c r="E1" s="3"/>
      <c r="F1" s="3"/>
      <c r="G1" s="3"/>
      <c r="H1" s="3"/>
      <c r="I1" s="3"/>
      <c r="J1" s="3"/>
      <c r="K1" s="3"/>
      <c r="L1" s="3"/>
      <c r="M1" s="3"/>
      <c r="N1" s="3"/>
      <c r="O1" s="3"/>
      <c r="P1" s="3"/>
      <c r="Q1" s="3"/>
      <c r="R1" s="3"/>
      <c r="S1" s="3"/>
      <c r="T1" s="20"/>
      <c r="U1" s="20"/>
      <c r="V1" s="20"/>
      <c r="W1" s="20"/>
      <c r="X1" s="20"/>
      <c r="Y1" s="20"/>
      <c r="Z1" s="20"/>
      <c r="AA1" s="20"/>
      <c r="AB1" s="20"/>
      <c r="AC1" s="20"/>
    </row>
    <row r="2" spans="1:29" ht="13.8" thickTop="1">
      <c r="A2" s="192"/>
      <c r="B2" s="191"/>
      <c r="C2" s="191"/>
      <c r="D2" s="191"/>
      <c r="E2" s="191"/>
      <c r="F2" s="191"/>
      <c r="G2" s="191"/>
      <c r="H2" s="191"/>
      <c r="I2" s="191"/>
      <c r="J2" s="191"/>
      <c r="K2" s="191"/>
      <c r="L2" s="191"/>
      <c r="M2" s="191"/>
      <c r="N2" s="191"/>
      <c r="O2" s="191"/>
      <c r="P2" s="191"/>
      <c r="Q2" s="191"/>
      <c r="R2" s="191"/>
      <c r="S2" s="200"/>
      <c r="T2" s="20"/>
      <c r="U2" s="20"/>
      <c r="V2" s="20"/>
      <c r="W2" s="20"/>
      <c r="X2" s="20"/>
      <c r="Y2" s="20"/>
      <c r="Z2" s="20"/>
      <c r="AA2" s="20"/>
      <c r="AB2" s="20"/>
      <c r="AC2" s="20"/>
    </row>
    <row r="3" spans="1:29">
      <c r="A3" s="193"/>
      <c r="B3" s="168"/>
      <c r="C3" s="168"/>
      <c r="D3" s="168"/>
      <c r="E3" s="374" t="s">
        <v>525</v>
      </c>
      <c r="F3" s="375"/>
      <c r="G3" s="375"/>
      <c r="H3" s="375"/>
      <c r="I3" s="375"/>
      <c r="J3" s="375"/>
      <c r="K3" s="375"/>
      <c r="L3" s="375"/>
      <c r="M3" s="375"/>
      <c r="N3" s="375"/>
      <c r="O3" s="375"/>
      <c r="P3" s="168"/>
      <c r="Q3" s="168"/>
      <c r="R3" s="168"/>
      <c r="S3" s="201"/>
      <c r="T3" s="20"/>
      <c r="U3" s="20"/>
      <c r="V3" s="20"/>
      <c r="W3" s="20"/>
      <c r="X3" s="20"/>
      <c r="Y3" s="20"/>
      <c r="Z3" s="20"/>
      <c r="AA3" s="20"/>
      <c r="AB3" s="20"/>
      <c r="AC3" s="20"/>
    </row>
    <row r="4" spans="1:29">
      <c r="A4" s="194"/>
      <c r="B4" s="168"/>
      <c r="C4" s="168"/>
      <c r="D4" s="168"/>
      <c r="E4" s="375"/>
      <c r="F4" s="375"/>
      <c r="G4" s="375"/>
      <c r="H4" s="375"/>
      <c r="I4" s="375"/>
      <c r="J4" s="375"/>
      <c r="K4" s="375"/>
      <c r="L4" s="375"/>
      <c r="M4" s="375"/>
      <c r="N4" s="375"/>
      <c r="O4" s="375"/>
      <c r="P4" s="168"/>
      <c r="Q4" s="168"/>
      <c r="R4" s="168"/>
      <c r="S4" s="201"/>
      <c r="T4" s="20"/>
      <c r="U4" s="20"/>
      <c r="V4" s="20"/>
      <c r="W4" s="20"/>
      <c r="X4" s="20"/>
      <c r="Y4" s="20"/>
      <c r="Z4" s="20"/>
      <c r="AA4" s="20"/>
      <c r="AB4" s="20"/>
      <c r="AC4" s="20"/>
    </row>
    <row r="5" spans="1:29">
      <c r="A5" s="193"/>
      <c r="B5" s="168"/>
      <c r="C5" s="168"/>
      <c r="D5" s="168"/>
      <c r="E5" s="168"/>
      <c r="F5" s="168"/>
      <c r="G5" s="168"/>
      <c r="H5" s="168"/>
      <c r="I5" s="168"/>
      <c r="J5" s="168"/>
      <c r="K5" s="168"/>
      <c r="L5" s="168"/>
      <c r="M5" s="168"/>
      <c r="N5" s="168"/>
      <c r="O5" s="168"/>
      <c r="P5" s="168"/>
      <c r="Q5" s="168"/>
      <c r="R5" s="168"/>
      <c r="S5" s="201"/>
      <c r="T5" s="20"/>
      <c r="U5" s="20"/>
      <c r="V5" s="20"/>
      <c r="W5" s="20"/>
      <c r="X5" s="20"/>
      <c r="Y5" s="20"/>
      <c r="Z5" s="20"/>
      <c r="AA5" s="20"/>
      <c r="AB5" s="20"/>
      <c r="AC5" s="20"/>
    </row>
    <row r="6" spans="1:29">
      <c r="A6" s="193"/>
      <c r="B6" s="168"/>
      <c r="C6" s="168"/>
      <c r="D6" s="168"/>
      <c r="E6" s="168"/>
      <c r="F6" s="168"/>
      <c r="G6" s="168"/>
      <c r="H6" s="168"/>
      <c r="I6" s="168"/>
      <c r="J6" s="168"/>
      <c r="K6" s="168"/>
      <c r="L6" s="168"/>
      <c r="M6" s="168"/>
      <c r="N6" s="168"/>
      <c r="O6" s="168"/>
      <c r="P6" s="168"/>
      <c r="Q6" s="168"/>
      <c r="R6" s="168"/>
      <c r="S6" s="201"/>
      <c r="T6" s="20"/>
      <c r="U6" s="20"/>
      <c r="V6" s="20"/>
      <c r="W6" s="20"/>
      <c r="X6" s="20"/>
      <c r="Y6" s="20"/>
      <c r="Z6" s="20"/>
      <c r="AA6" s="20"/>
      <c r="AB6" s="20"/>
      <c r="AC6" s="20"/>
    </row>
    <row r="7" spans="1:29">
      <c r="A7" s="213" t="s">
        <v>0</v>
      </c>
      <c r="B7" s="206"/>
      <c r="C7" s="206"/>
      <c r="D7" s="310">
        <f>IF(Datum!D7="",'Datum Aer'!D7,Datum!D7)</f>
        <v>0</v>
      </c>
      <c r="E7" s="310"/>
      <c r="F7" s="310"/>
      <c r="G7" s="206"/>
      <c r="H7" s="206" t="s">
        <v>1</v>
      </c>
      <c r="I7" s="206"/>
      <c r="J7" s="1">
        <f>IF(Datum!J7="",'Datum Aer'!J7,Datum!J7)</f>
        <v>0</v>
      </c>
      <c r="K7" s="206"/>
      <c r="L7" s="206"/>
      <c r="M7" s="206"/>
      <c r="N7" s="206" t="s">
        <v>2</v>
      </c>
      <c r="O7" s="206"/>
      <c r="P7" s="311">
        <f>IF(Datum!N7="",'Datum Aer'!N7,Datum!N7)</f>
        <v>0</v>
      </c>
      <c r="Q7" s="312"/>
      <c r="R7" s="312"/>
      <c r="S7" s="201"/>
      <c r="T7" s="20"/>
      <c r="U7" s="20"/>
      <c r="V7" s="20"/>
      <c r="W7" s="20"/>
      <c r="X7" s="20"/>
      <c r="Y7" s="20"/>
      <c r="Z7" s="20"/>
      <c r="AA7" s="20"/>
      <c r="AB7" s="20"/>
      <c r="AC7" s="20"/>
    </row>
    <row r="8" spans="1:29">
      <c r="A8" s="193"/>
      <c r="B8" s="168"/>
      <c r="C8" s="168"/>
      <c r="D8" s="168"/>
      <c r="E8" s="168"/>
      <c r="F8" s="168"/>
      <c r="G8" s="168"/>
      <c r="H8" s="168"/>
      <c r="I8" s="168"/>
      <c r="J8" s="168"/>
      <c r="K8" s="168"/>
      <c r="L8" s="168"/>
      <c r="M8" s="168"/>
      <c r="N8" s="168"/>
      <c r="O8" s="168"/>
      <c r="P8" s="168"/>
      <c r="Q8" s="168"/>
      <c r="R8" s="168"/>
      <c r="S8" s="201"/>
      <c r="T8" s="20"/>
      <c r="U8" s="20"/>
      <c r="V8" s="20"/>
      <c r="W8" s="20"/>
      <c r="X8" s="20"/>
      <c r="Y8" s="20"/>
      <c r="Z8" s="20"/>
      <c r="AA8" s="20"/>
      <c r="AB8" s="20"/>
      <c r="AC8" s="20"/>
    </row>
    <row r="9" spans="1:29">
      <c r="A9" s="213" t="s">
        <v>3</v>
      </c>
      <c r="B9" s="206"/>
      <c r="C9" s="206"/>
      <c r="D9" s="310">
        <f>IF(Datum!D9="",'Datum Aer'!D9,Datum!D9)</f>
        <v>0</v>
      </c>
      <c r="E9" s="310"/>
      <c r="F9" s="310"/>
      <c r="G9" s="206"/>
      <c r="H9" s="206" t="s">
        <v>4</v>
      </c>
      <c r="I9" s="206"/>
      <c r="J9" s="1">
        <f>IF(Datum!J9="",'Datum Aer'!J9,Datum!J9)</f>
        <v>0</v>
      </c>
      <c r="K9" s="206"/>
      <c r="L9" s="206" t="s">
        <v>5</v>
      </c>
      <c r="M9" s="206"/>
      <c r="N9" s="168"/>
      <c r="O9" s="168"/>
      <c r="P9" s="206"/>
      <c r="Q9" s="206"/>
      <c r="R9" s="1">
        <f>Datum!P9</f>
        <v>0</v>
      </c>
      <c r="S9" s="222"/>
      <c r="T9" s="20"/>
      <c r="U9" s="20"/>
      <c r="V9" s="20"/>
      <c r="W9" s="20"/>
      <c r="X9" s="20"/>
      <c r="Y9" s="20"/>
      <c r="Z9" s="20"/>
      <c r="AA9" s="20"/>
      <c r="AB9" s="20"/>
      <c r="AC9" s="20"/>
    </row>
    <row r="10" spans="1:29">
      <c r="A10" s="213"/>
      <c r="B10" s="206"/>
      <c r="C10" s="206"/>
      <c r="D10" s="206"/>
      <c r="E10" s="206"/>
      <c r="F10" s="206"/>
      <c r="G10" s="206"/>
      <c r="H10" s="206"/>
      <c r="I10" s="206"/>
      <c r="J10" s="206"/>
      <c r="K10" s="206"/>
      <c r="L10" s="206"/>
      <c r="M10" s="206"/>
      <c r="N10" s="168"/>
      <c r="O10" s="168"/>
      <c r="P10" s="206"/>
      <c r="Q10" s="206"/>
      <c r="R10" s="206"/>
      <c r="S10" s="222"/>
      <c r="T10" s="20"/>
      <c r="U10" s="20"/>
      <c r="V10" s="20"/>
      <c r="W10" s="20"/>
      <c r="X10" s="20"/>
      <c r="Y10" s="20"/>
      <c r="Z10" s="20"/>
      <c r="AA10" s="20"/>
      <c r="AB10" s="20"/>
      <c r="AC10" s="20"/>
    </row>
    <row r="11" spans="1:29">
      <c r="A11" s="213" t="s">
        <v>187</v>
      </c>
      <c r="B11" s="144">
        <f>Datum!J84</f>
        <v>0</v>
      </c>
      <c r="C11" s="207" t="s">
        <v>135</v>
      </c>
      <c r="D11" s="145">
        <f>Datum!L84</f>
        <v>0</v>
      </c>
      <c r="E11" s="206" t="s">
        <v>504</v>
      </c>
      <c r="F11" s="145">
        <f>Datum!N84</f>
        <v>0</v>
      </c>
      <c r="G11" s="207" t="s">
        <v>135</v>
      </c>
      <c r="H11" s="145">
        <f>Datum!P84</f>
        <v>0</v>
      </c>
      <c r="I11" s="206" t="s">
        <v>505</v>
      </c>
      <c r="J11" s="206" t="s">
        <v>187</v>
      </c>
      <c r="K11" s="168"/>
      <c r="L11" s="145">
        <f>Datum!J86</f>
        <v>0</v>
      </c>
      <c r="M11" s="207" t="s">
        <v>135</v>
      </c>
      <c r="N11" s="145">
        <f>Datum!L86</f>
        <v>0</v>
      </c>
      <c r="O11" s="206" t="s">
        <v>504</v>
      </c>
      <c r="P11" s="145">
        <f>Datum!N86</f>
        <v>0</v>
      </c>
      <c r="Q11" s="207" t="s">
        <v>135</v>
      </c>
      <c r="R11" s="145">
        <f>Datum!P86</f>
        <v>0</v>
      </c>
      <c r="S11" s="222" t="s">
        <v>505</v>
      </c>
      <c r="T11" s="20"/>
      <c r="U11" s="20"/>
      <c r="V11" s="20"/>
      <c r="W11" s="20"/>
      <c r="X11" s="20"/>
      <c r="Y11" s="20"/>
      <c r="Z11" s="20"/>
      <c r="AA11" s="20"/>
      <c r="AB11" s="20"/>
      <c r="AC11" s="20"/>
    </row>
    <row r="12" spans="1:29">
      <c r="A12" s="240" t="s">
        <v>188</v>
      </c>
      <c r="B12" s="398" t="s">
        <v>190</v>
      </c>
      <c r="C12" s="399"/>
      <c r="D12" s="168"/>
      <c r="E12" s="399" t="s">
        <v>191</v>
      </c>
      <c r="F12" s="398"/>
      <c r="G12" s="168"/>
      <c r="H12" s="168"/>
      <c r="I12" s="168"/>
      <c r="J12" s="229" t="s">
        <v>189</v>
      </c>
      <c r="K12" s="229"/>
      <c r="L12" s="238"/>
      <c r="M12" s="229" t="s">
        <v>190</v>
      </c>
      <c r="N12" s="168"/>
      <c r="O12" s="168"/>
      <c r="P12" s="168"/>
      <c r="Q12" s="229" t="s">
        <v>191</v>
      </c>
      <c r="R12" s="238"/>
      <c r="S12" s="244"/>
      <c r="T12" s="20"/>
      <c r="U12" s="20"/>
      <c r="V12" s="20"/>
      <c r="W12" s="20"/>
      <c r="X12" s="20"/>
      <c r="Y12" s="20"/>
      <c r="Z12" s="20"/>
      <c r="AA12" s="20"/>
      <c r="AB12" s="20"/>
      <c r="AC12" s="20"/>
    </row>
    <row r="13" spans="1:29">
      <c r="A13" s="193"/>
      <c r="B13" s="168"/>
      <c r="C13" s="168"/>
      <c r="D13" s="168"/>
      <c r="E13" s="168"/>
      <c r="F13" s="168"/>
      <c r="G13" s="168"/>
      <c r="H13" s="168"/>
      <c r="I13" s="168"/>
      <c r="J13" s="168"/>
      <c r="K13" s="168"/>
      <c r="L13" s="168"/>
      <c r="M13" s="168"/>
      <c r="N13" s="168"/>
      <c r="O13" s="168"/>
      <c r="P13" s="168"/>
      <c r="Q13" s="168"/>
      <c r="R13" s="168"/>
      <c r="S13" s="201"/>
      <c r="T13" s="20"/>
      <c r="U13" s="20"/>
      <c r="V13" s="20"/>
      <c r="W13" s="20"/>
      <c r="X13" s="20"/>
      <c r="Y13" s="20"/>
      <c r="Z13" s="20"/>
      <c r="AA13" s="20"/>
      <c r="AB13" s="20"/>
      <c r="AC13" s="20"/>
    </row>
    <row r="14" spans="1:29">
      <c r="A14" s="213" t="s">
        <v>6</v>
      </c>
      <c r="B14" s="168"/>
      <c r="C14" s="168"/>
      <c r="D14" s="15">
        <f>IF(Datum!D11="",'Datum Aer'!D11,Datum!D11)</f>
        <v>0</v>
      </c>
      <c r="E14" s="15"/>
      <c r="F14" s="15"/>
      <c r="G14" s="296"/>
      <c r="H14" s="296"/>
      <c r="I14" s="168"/>
      <c r="J14" s="170" t="s">
        <v>192</v>
      </c>
      <c r="K14" s="170"/>
      <c r="L14" s="168"/>
      <c r="M14" s="168"/>
      <c r="N14" s="400">
        <f>Datum!J25</f>
        <v>0</v>
      </c>
      <c r="O14" s="312"/>
      <c r="P14" s="312"/>
      <c r="Q14" s="312"/>
      <c r="R14" s="312"/>
      <c r="S14" s="201"/>
      <c r="T14" s="20"/>
      <c r="U14" s="20"/>
      <c r="V14" s="20"/>
      <c r="W14" s="20"/>
      <c r="X14" s="20"/>
      <c r="Y14" s="20"/>
      <c r="Z14" s="20"/>
      <c r="AA14" s="20"/>
      <c r="AB14" s="20"/>
      <c r="AC14" s="20"/>
    </row>
    <row r="15" spans="1:29" ht="13.8" thickBot="1">
      <c r="A15" s="193"/>
      <c r="B15" s="168"/>
      <c r="C15" s="168"/>
      <c r="D15" s="168"/>
      <c r="E15" s="168"/>
      <c r="F15" s="168"/>
      <c r="G15" s="168"/>
      <c r="H15" s="168"/>
      <c r="I15" s="168"/>
      <c r="J15" s="168"/>
      <c r="K15" s="168"/>
      <c r="L15" s="168"/>
      <c r="M15" s="168"/>
      <c r="N15" s="168"/>
      <c r="O15" s="168"/>
      <c r="P15" s="168"/>
      <c r="Q15" s="168"/>
      <c r="R15" s="168"/>
      <c r="S15" s="201"/>
      <c r="T15" s="20"/>
      <c r="U15" s="20"/>
      <c r="V15" s="20"/>
      <c r="W15" s="20"/>
      <c r="X15" s="20"/>
      <c r="Y15" s="20"/>
      <c r="Z15" s="20"/>
      <c r="AA15" s="20"/>
      <c r="AB15" s="20"/>
      <c r="AC15" s="20"/>
    </row>
    <row r="16" spans="1:29" ht="13.8" thickBot="1">
      <c r="A16" s="186" t="s">
        <v>193</v>
      </c>
      <c r="B16" s="187"/>
      <c r="C16" s="187"/>
      <c r="D16" s="187"/>
      <c r="E16" s="187"/>
      <c r="F16" s="187"/>
      <c r="G16" s="187"/>
      <c r="H16" s="188"/>
      <c r="I16" s="168"/>
      <c r="J16" s="168"/>
      <c r="K16" s="168"/>
      <c r="L16" s="168"/>
      <c r="M16" s="168"/>
      <c r="N16" s="168"/>
      <c r="O16" s="168"/>
      <c r="P16" s="168"/>
      <c r="Q16" s="168"/>
      <c r="R16" s="168"/>
      <c r="S16" s="201"/>
      <c r="T16" s="20"/>
      <c r="U16" s="20"/>
      <c r="V16" s="20"/>
      <c r="W16" s="20"/>
      <c r="X16" s="20"/>
      <c r="Y16" s="20"/>
      <c r="Z16" s="20"/>
      <c r="AA16" s="20"/>
      <c r="AB16" s="20"/>
      <c r="AC16" s="20"/>
    </row>
    <row r="17" spans="1:29">
      <c r="A17" s="194"/>
      <c r="B17" s="169"/>
      <c r="C17" s="169"/>
      <c r="D17" s="169"/>
      <c r="E17" s="169"/>
      <c r="F17" s="169"/>
      <c r="G17" s="169"/>
      <c r="H17" s="169"/>
      <c r="I17" s="168"/>
      <c r="J17" s="168"/>
      <c r="K17" s="168"/>
      <c r="L17" s="168"/>
      <c r="M17" s="168"/>
      <c r="N17" s="168"/>
      <c r="O17" s="168"/>
      <c r="P17" s="168"/>
      <c r="Q17" s="168"/>
      <c r="R17" s="168"/>
      <c r="S17" s="201"/>
      <c r="T17" s="20"/>
      <c r="U17" s="20"/>
      <c r="V17" s="20"/>
      <c r="W17" s="20"/>
      <c r="X17" s="20"/>
      <c r="Y17" s="20"/>
      <c r="Z17" s="20"/>
      <c r="AA17" s="20"/>
      <c r="AB17" s="20"/>
      <c r="AC17" s="20"/>
    </row>
    <row r="18" spans="1:29">
      <c r="A18" s="193"/>
      <c r="B18" s="168"/>
      <c r="C18" s="168"/>
      <c r="D18" s="168"/>
      <c r="E18" s="168"/>
      <c r="F18" s="168"/>
      <c r="G18" s="168"/>
      <c r="H18" s="168"/>
      <c r="I18" s="168"/>
      <c r="J18" s="177">
        <v>1</v>
      </c>
      <c r="K18" s="177"/>
      <c r="L18" s="177">
        <v>2</v>
      </c>
      <c r="M18" s="177"/>
      <c r="N18" s="177">
        <v>3</v>
      </c>
      <c r="O18" s="177"/>
      <c r="P18" s="177">
        <v>4</v>
      </c>
      <c r="Q18" s="177"/>
      <c r="R18" s="177">
        <v>5</v>
      </c>
      <c r="S18" s="201"/>
      <c r="T18" s="20"/>
      <c r="U18" s="20"/>
      <c r="V18" s="20"/>
      <c r="W18" s="20"/>
      <c r="X18" s="20"/>
      <c r="Y18" s="20"/>
      <c r="Z18" s="20"/>
      <c r="AA18" s="20"/>
      <c r="AB18" s="20"/>
      <c r="AC18" s="20"/>
    </row>
    <row r="19" spans="1:29">
      <c r="A19" s="196">
        <v>1</v>
      </c>
      <c r="B19" s="171" t="s">
        <v>194</v>
      </c>
      <c r="C19" s="170"/>
      <c r="D19" s="170"/>
      <c r="E19" s="170"/>
      <c r="F19" s="170"/>
      <c r="G19" s="170"/>
      <c r="H19" s="170"/>
      <c r="I19" s="170"/>
      <c r="J19" s="8"/>
      <c r="K19" s="229"/>
      <c r="L19" s="8"/>
      <c r="M19" s="229"/>
      <c r="N19" s="10"/>
      <c r="O19" s="229"/>
      <c r="P19" s="10"/>
      <c r="Q19" s="229"/>
      <c r="R19" s="10"/>
      <c r="S19" s="201"/>
      <c r="T19" s="20"/>
      <c r="U19" s="20"/>
      <c r="V19" s="20"/>
      <c r="W19" s="20"/>
      <c r="X19" s="20"/>
      <c r="Y19" s="20"/>
      <c r="Z19" s="20"/>
      <c r="AA19" s="20"/>
      <c r="AB19" s="20"/>
      <c r="AC19" s="20"/>
    </row>
    <row r="20" spans="1:29">
      <c r="A20" s="196"/>
      <c r="B20" s="170"/>
      <c r="C20" s="170"/>
      <c r="D20" s="170"/>
      <c r="E20" s="170"/>
      <c r="F20" s="170"/>
      <c r="G20" s="170"/>
      <c r="H20" s="170"/>
      <c r="I20" s="170"/>
      <c r="J20" s="229"/>
      <c r="K20" s="229"/>
      <c r="L20" s="229"/>
      <c r="M20" s="229"/>
      <c r="N20" s="229"/>
      <c r="O20" s="229"/>
      <c r="P20" s="229"/>
      <c r="Q20" s="229"/>
      <c r="R20" s="229"/>
      <c r="S20" s="201"/>
      <c r="T20" s="20"/>
      <c r="U20" s="20"/>
      <c r="V20" s="20"/>
      <c r="W20" s="20"/>
      <c r="X20" s="20"/>
      <c r="Y20" s="20"/>
      <c r="Z20" s="20"/>
      <c r="AA20" s="20"/>
      <c r="AB20" s="20"/>
      <c r="AC20" s="20"/>
    </row>
    <row r="21" spans="1:29">
      <c r="A21" s="196">
        <v>2</v>
      </c>
      <c r="B21" s="170" t="s">
        <v>195</v>
      </c>
      <c r="C21" s="170"/>
      <c r="D21" s="170"/>
      <c r="E21" s="170"/>
      <c r="F21" s="170"/>
      <c r="G21" s="170"/>
      <c r="H21" s="170"/>
      <c r="I21" s="170"/>
      <c r="J21" s="8"/>
      <c r="K21" s="229"/>
      <c r="L21" s="8"/>
      <c r="M21" s="229"/>
      <c r="N21" s="10"/>
      <c r="O21" s="229"/>
      <c r="P21" s="10"/>
      <c r="Q21" s="229"/>
      <c r="R21" s="10"/>
      <c r="S21" s="201"/>
      <c r="T21" s="20"/>
      <c r="U21" s="20"/>
      <c r="V21" s="20"/>
      <c r="W21" s="20"/>
      <c r="X21" s="20"/>
      <c r="Y21" s="20"/>
      <c r="Z21" s="20"/>
      <c r="AA21" s="20"/>
      <c r="AB21" s="20"/>
      <c r="AC21" s="20"/>
    </row>
    <row r="22" spans="1:29">
      <c r="A22" s="196"/>
      <c r="B22" s="170"/>
      <c r="C22" s="170"/>
      <c r="D22" s="170"/>
      <c r="E22" s="170"/>
      <c r="F22" s="170"/>
      <c r="G22" s="170"/>
      <c r="H22" s="170"/>
      <c r="I22" s="170"/>
      <c r="J22" s="229"/>
      <c r="K22" s="229"/>
      <c r="L22" s="229"/>
      <c r="M22" s="229"/>
      <c r="N22" s="229"/>
      <c r="O22" s="229"/>
      <c r="P22" s="229"/>
      <c r="Q22" s="229"/>
      <c r="R22" s="229"/>
      <c r="S22" s="201"/>
      <c r="T22" s="20"/>
      <c r="U22" s="20"/>
      <c r="V22" s="20"/>
      <c r="W22" s="20"/>
      <c r="X22" s="20"/>
      <c r="Y22" s="20"/>
      <c r="Z22" s="20"/>
      <c r="AA22" s="20"/>
      <c r="AB22" s="20"/>
      <c r="AC22" s="20"/>
    </row>
    <row r="23" spans="1:29">
      <c r="A23" s="196">
        <v>3</v>
      </c>
      <c r="B23" s="171" t="s">
        <v>196</v>
      </c>
      <c r="C23" s="170"/>
      <c r="D23" s="170"/>
      <c r="E23" s="170"/>
      <c r="F23" s="170"/>
      <c r="G23" s="170"/>
      <c r="H23" s="170"/>
      <c r="I23" s="170"/>
      <c r="J23" s="10"/>
      <c r="K23" s="229"/>
      <c r="L23" s="10"/>
      <c r="M23" s="229"/>
      <c r="N23" s="10"/>
      <c r="O23" s="229"/>
      <c r="P23" s="10"/>
      <c r="Q23" s="229"/>
      <c r="R23" s="10"/>
      <c r="S23" s="201"/>
      <c r="T23" s="20"/>
      <c r="U23" s="20"/>
      <c r="V23" s="20"/>
      <c r="W23" s="20"/>
      <c r="X23" s="20"/>
      <c r="Y23" s="20"/>
      <c r="Z23" s="20"/>
      <c r="AA23" s="20"/>
      <c r="AB23" s="20"/>
      <c r="AC23" s="20"/>
    </row>
    <row r="24" spans="1:29">
      <c r="A24" s="196"/>
      <c r="B24" s="170"/>
      <c r="C24" s="170"/>
      <c r="D24" s="170"/>
      <c r="E24" s="170"/>
      <c r="F24" s="170"/>
      <c r="G24" s="170"/>
      <c r="H24" s="170"/>
      <c r="I24" s="170"/>
      <c r="J24" s="229"/>
      <c r="K24" s="229"/>
      <c r="L24" s="229"/>
      <c r="M24" s="229"/>
      <c r="N24" s="229"/>
      <c r="O24" s="229"/>
      <c r="P24" s="229"/>
      <c r="Q24" s="229"/>
      <c r="R24" s="229"/>
      <c r="S24" s="201"/>
      <c r="T24" s="20"/>
      <c r="U24" s="20"/>
      <c r="V24" s="20"/>
      <c r="W24" s="20"/>
      <c r="X24" s="20"/>
      <c r="Y24" s="20"/>
      <c r="Z24" s="20"/>
      <c r="AA24" s="20"/>
      <c r="AB24" s="20"/>
      <c r="AC24" s="20"/>
    </row>
    <row r="25" spans="1:29">
      <c r="A25" s="196">
        <v>4</v>
      </c>
      <c r="B25" s="171" t="s">
        <v>197</v>
      </c>
      <c r="C25" s="170"/>
      <c r="D25" s="170"/>
      <c r="E25" s="170"/>
      <c r="F25" s="170"/>
      <c r="G25" s="170"/>
      <c r="H25" s="170"/>
      <c r="I25" s="170"/>
      <c r="J25" s="11"/>
      <c r="K25" s="229"/>
      <c r="L25" s="11"/>
      <c r="M25" s="229"/>
      <c r="N25" s="10"/>
      <c r="O25" s="229"/>
      <c r="P25" s="10"/>
      <c r="Q25" s="229"/>
      <c r="R25" s="10"/>
      <c r="S25" s="201"/>
      <c r="T25" s="20"/>
      <c r="U25" s="20"/>
      <c r="V25" s="20"/>
      <c r="W25" s="20"/>
      <c r="X25" s="20"/>
      <c r="Y25" s="20"/>
      <c r="Z25" s="20"/>
      <c r="AA25" s="20"/>
      <c r="AB25" s="20"/>
      <c r="AC25" s="20"/>
    </row>
    <row r="26" spans="1:29">
      <c r="A26" s="196"/>
      <c r="B26" s="170"/>
      <c r="C26" s="170"/>
      <c r="D26" s="170"/>
      <c r="E26" s="170"/>
      <c r="F26" s="170"/>
      <c r="G26" s="170"/>
      <c r="H26" s="170"/>
      <c r="I26" s="170"/>
      <c r="J26" s="229"/>
      <c r="K26" s="229"/>
      <c r="L26" s="229"/>
      <c r="M26" s="229"/>
      <c r="N26" s="229"/>
      <c r="O26" s="229"/>
      <c r="P26" s="229"/>
      <c r="Q26" s="229"/>
      <c r="R26" s="229"/>
      <c r="S26" s="201"/>
      <c r="T26" s="20"/>
      <c r="U26" s="20"/>
      <c r="V26" s="20"/>
      <c r="W26" s="20"/>
      <c r="X26" s="20"/>
      <c r="Y26" s="20"/>
      <c r="Z26" s="20"/>
      <c r="AA26" s="20"/>
      <c r="AB26" s="20"/>
      <c r="AC26" s="20"/>
    </row>
    <row r="27" spans="1:29">
      <c r="A27" s="196">
        <v>5</v>
      </c>
      <c r="B27" s="170" t="s">
        <v>198</v>
      </c>
      <c r="C27" s="184"/>
      <c r="D27" s="170"/>
      <c r="E27" s="170"/>
      <c r="F27" s="170"/>
      <c r="G27" s="170"/>
      <c r="H27" s="170"/>
      <c r="I27" s="170"/>
      <c r="J27" s="11"/>
      <c r="K27" s="229"/>
      <c r="L27" s="11"/>
      <c r="M27" s="229"/>
      <c r="N27" s="10"/>
      <c r="O27" s="229"/>
      <c r="P27" s="10"/>
      <c r="Q27" s="229"/>
      <c r="R27" s="10"/>
      <c r="S27" s="201"/>
      <c r="T27" s="20"/>
      <c r="U27" s="20"/>
      <c r="V27" s="20"/>
      <c r="W27" s="20"/>
      <c r="X27" s="20"/>
      <c r="Y27" s="20"/>
      <c r="Z27" s="20"/>
      <c r="AA27" s="20"/>
      <c r="AB27" s="20"/>
      <c r="AC27" s="20"/>
    </row>
    <row r="28" spans="1:29">
      <c r="A28" s="196"/>
      <c r="B28" s="170"/>
      <c r="C28" s="170"/>
      <c r="D28" s="170"/>
      <c r="E28" s="170"/>
      <c r="F28" s="170"/>
      <c r="G28" s="170"/>
      <c r="H28" s="170"/>
      <c r="I28" s="170"/>
      <c r="J28" s="229"/>
      <c r="K28" s="229"/>
      <c r="L28" s="229"/>
      <c r="M28" s="229"/>
      <c r="N28" s="229"/>
      <c r="O28" s="229"/>
      <c r="P28" s="229"/>
      <c r="Q28" s="229"/>
      <c r="R28" s="229"/>
      <c r="S28" s="201"/>
      <c r="T28" s="20"/>
      <c r="U28" s="20"/>
      <c r="V28" s="20"/>
      <c r="W28" s="20"/>
      <c r="X28" s="20"/>
      <c r="Y28" s="20"/>
      <c r="Z28" s="20"/>
      <c r="AA28" s="20"/>
      <c r="AB28" s="20"/>
      <c r="AC28" s="20"/>
    </row>
    <row r="29" spans="1:29">
      <c r="A29" s="196">
        <v>6</v>
      </c>
      <c r="B29" s="171" t="s">
        <v>199</v>
      </c>
      <c r="C29" s="170"/>
      <c r="D29" s="170"/>
      <c r="E29" s="170"/>
      <c r="F29" s="170"/>
      <c r="G29" s="170"/>
      <c r="H29" s="170"/>
      <c r="I29" s="170"/>
      <c r="J29" s="5">
        <f>ROUND(IF(J25&lt;J27,J25*0.85,J27*0.85),2)</f>
        <v>0</v>
      </c>
      <c r="K29" s="229"/>
      <c r="L29" s="9">
        <f>ROUND(IF(L25&lt;L27,L25*0.85,L27*0.85),2)</f>
        <v>0</v>
      </c>
      <c r="M29" s="229"/>
      <c r="N29" s="5">
        <f>ROUND(IF(N25&lt;N27,N25*0.85,N27*0.85),2)</f>
        <v>0</v>
      </c>
      <c r="O29" s="229"/>
      <c r="P29" s="5">
        <f>ROUND(IF(P25&lt;P27,P25*0.85,P27*0.85),2)</f>
        <v>0</v>
      </c>
      <c r="Q29" s="229"/>
      <c r="R29" s="5">
        <f>ROUND(IF(R25&lt;R27,R25*0.85,R27*0.85),2)</f>
        <v>0</v>
      </c>
      <c r="S29" s="201"/>
      <c r="T29" s="20"/>
      <c r="U29" s="20"/>
      <c r="V29" s="20"/>
      <c r="W29" s="20"/>
      <c r="X29" s="20"/>
      <c r="Y29" s="20"/>
      <c r="Z29" s="20"/>
      <c r="AA29" s="20"/>
      <c r="AB29" s="20"/>
      <c r="AC29" s="20"/>
    </row>
    <row r="30" spans="1:29">
      <c r="A30" s="196"/>
      <c r="B30" s="170" t="s">
        <v>318</v>
      </c>
      <c r="C30" s="170"/>
      <c r="D30" s="170"/>
      <c r="E30" s="170"/>
      <c r="F30" s="170"/>
      <c r="G30" s="170"/>
      <c r="H30" s="170"/>
      <c r="I30" s="170"/>
      <c r="J30" s="229"/>
      <c r="K30" s="229"/>
      <c r="L30" s="229"/>
      <c r="M30" s="229"/>
      <c r="N30" s="229"/>
      <c r="O30" s="229"/>
      <c r="P30" s="229"/>
      <c r="Q30" s="229"/>
      <c r="R30" s="229"/>
      <c r="S30" s="201"/>
      <c r="T30" s="20"/>
      <c r="U30" s="20"/>
      <c r="V30" s="20"/>
      <c r="W30" s="20"/>
      <c r="X30" s="20"/>
      <c r="Y30" s="20"/>
      <c r="Z30" s="20"/>
      <c r="AA30" s="20"/>
      <c r="AB30" s="20"/>
      <c r="AC30" s="20"/>
    </row>
    <row r="31" spans="1:29">
      <c r="A31" s="196"/>
      <c r="B31" s="171"/>
      <c r="C31" s="170"/>
      <c r="D31" s="170"/>
      <c r="E31" s="170"/>
      <c r="F31" s="170"/>
      <c r="G31" s="170"/>
      <c r="H31" s="170"/>
      <c r="I31" s="170"/>
      <c r="J31" s="229"/>
      <c r="K31" s="229"/>
      <c r="L31" s="229"/>
      <c r="M31" s="229"/>
      <c r="N31" s="229"/>
      <c r="O31" s="229"/>
      <c r="P31" s="229"/>
      <c r="Q31" s="229"/>
      <c r="R31" s="229"/>
      <c r="S31" s="201"/>
      <c r="T31" s="20"/>
      <c r="U31" s="20"/>
      <c r="V31" s="20"/>
      <c r="W31" s="20"/>
      <c r="X31" s="20"/>
      <c r="Y31" s="20"/>
      <c r="Z31" s="20"/>
      <c r="AA31" s="20"/>
      <c r="AB31" s="20"/>
      <c r="AC31" s="20"/>
    </row>
    <row r="32" spans="1:29">
      <c r="A32" s="196">
        <v>7</v>
      </c>
      <c r="B32" s="170" t="s">
        <v>200</v>
      </c>
      <c r="C32" s="170"/>
      <c r="D32" s="170"/>
      <c r="E32" s="170"/>
      <c r="F32" s="170"/>
      <c r="G32" s="170"/>
      <c r="H32" s="170"/>
      <c r="I32" s="170"/>
      <c r="J32" s="10"/>
      <c r="K32" s="229"/>
      <c r="L32" s="10"/>
      <c r="M32" s="229"/>
      <c r="N32" s="10"/>
      <c r="O32" s="229"/>
      <c r="P32" s="10"/>
      <c r="Q32" s="229"/>
      <c r="R32" s="10"/>
      <c r="S32" s="201"/>
      <c r="T32" s="20"/>
      <c r="U32" s="20"/>
      <c r="V32" s="20"/>
      <c r="W32" s="20"/>
      <c r="X32" s="20"/>
      <c r="Y32" s="20"/>
      <c r="Z32" s="20"/>
      <c r="AA32" s="20"/>
      <c r="AB32" s="20"/>
      <c r="AC32" s="20"/>
    </row>
    <row r="33" spans="1:29">
      <c r="A33" s="241"/>
      <c r="B33" s="184"/>
      <c r="C33" s="170"/>
      <c r="D33" s="170"/>
      <c r="E33" s="170"/>
      <c r="F33" s="170"/>
      <c r="G33" s="170"/>
      <c r="H33" s="170"/>
      <c r="I33" s="170"/>
      <c r="J33" s="229"/>
      <c r="K33" s="229"/>
      <c r="L33" s="229"/>
      <c r="M33" s="229"/>
      <c r="N33" s="229"/>
      <c r="O33" s="229"/>
      <c r="P33" s="229"/>
      <c r="Q33" s="229"/>
      <c r="R33" s="229"/>
      <c r="S33" s="201"/>
      <c r="T33" s="20"/>
      <c r="U33" s="20"/>
      <c r="V33" s="20"/>
      <c r="W33" s="20"/>
      <c r="X33" s="20"/>
      <c r="Y33" s="20"/>
      <c r="Z33" s="20"/>
      <c r="AA33" s="20"/>
      <c r="AB33" s="20"/>
      <c r="AC33" s="20"/>
    </row>
    <row r="34" spans="1:29">
      <c r="A34" s="196">
        <v>8</v>
      </c>
      <c r="B34" s="170" t="s">
        <v>201</v>
      </c>
      <c r="C34" s="170"/>
      <c r="D34" s="170"/>
      <c r="E34" s="170"/>
      <c r="F34" s="170"/>
      <c r="G34" s="170"/>
      <c r="H34" s="170"/>
      <c r="I34" s="170"/>
      <c r="J34" s="11"/>
      <c r="K34" s="229"/>
      <c r="L34" s="11"/>
      <c r="M34" s="229"/>
      <c r="N34" s="10"/>
      <c r="O34" s="229"/>
      <c r="P34" s="10"/>
      <c r="Q34" s="229"/>
      <c r="R34" s="10"/>
      <c r="S34" s="201"/>
      <c r="T34" s="20"/>
      <c r="U34" s="20"/>
      <c r="V34" s="20"/>
      <c r="W34" s="20"/>
      <c r="X34" s="20"/>
      <c r="Y34" s="20"/>
      <c r="Z34" s="20"/>
      <c r="AA34" s="20"/>
      <c r="AB34" s="20"/>
      <c r="AC34" s="20"/>
    </row>
    <row r="35" spans="1:29">
      <c r="A35" s="196"/>
      <c r="B35" s="170" t="s">
        <v>320</v>
      </c>
      <c r="C35" s="170"/>
      <c r="D35" s="170"/>
      <c r="E35" s="170"/>
      <c r="F35" s="170"/>
      <c r="G35" s="170"/>
      <c r="H35" s="170"/>
      <c r="I35" s="170"/>
      <c r="J35" s="229"/>
      <c r="K35" s="229"/>
      <c r="L35" s="229"/>
      <c r="M35" s="229"/>
      <c r="N35" s="229"/>
      <c r="O35" s="229"/>
      <c r="P35" s="229"/>
      <c r="Q35" s="229"/>
      <c r="R35" s="229"/>
      <c r="S35" s="201"/>
      <c r="T35" s="20"/>
      <c r="U35" s="20"/>
      <c r="V35" s="20"/>
      <c r="W35" s="20"/>
      <c r="X35" s="20"/>
      <c r="Y35" s="20"/>
      <c r="Z35" s="20"/>
      <c r="AA35" s="20"/>
      <c r="AB35" s="20"/>
      <c r="AC35" s="20"/>
    </row>
    <row r="36" spans="1:29">
      <c r="A36" s="196">
        <v>9</v>
      </c>
      <c r="B36" s="171" t="s">
        <v>202</v>
      </c>
      <c r="C36" s="170"/>
      <c r="D36" s="170"/>
      <c r="E36" s="170"/>
      <c r="F36" s="170"/>
      <c r="G36" s="170"/>
      <c r="H36" s="170"/>
      <c r="I36" s="170"/>
      <c r="J36" s="11"/>
      <c r="K36" s="229"/>
      <c r="L36" s="11"/>
      <c r="M36" s="229"/>
      <c r="N36" s="10"/>
      <c r="O36" s="229"/>
      <c r="P36" s="10"/>
      <c r="Q36" s="229"/>
      <c r="R36" s="10"/>
      <c r="S36" s="201"/>
      <c r="T36" s="20"/>
      <c r="U36" s="20"/>
      <c r="V36" s="20"/>
      <c r="W36" s="20"/>
      <c r="X36" s="20"/>
      <c r="Y36" s="20"/>
      <c r="Z36" s="20"/>
      <c r="AA36" s="20"/>
      <c r="AB36" s="20"/>
      <c r="AC36" s="20"/>
    </row>
    <row r="37" spans="1:29">
      <c r="A37" s="196"/>
      <c r="B37" s="170" t="s">
        <v>319</v>
      </c>
      <c r="C37" s="170"/>
      <c r="D37" s="170"/>
      <c r="E37" s="170"/>
      <c r="F37" s="170"/>
      <c r="G37" s="170"/>
      <c r="H37" s="170"/>
      <c r="I37" s="170"/>
      <c r="J37" s="229"/>
      <c r="K37" s="229"/>
      <c r="L37" s="229"/>
      <c r="M37" s="229"/>
      <c r="N37" s="229"/>
      <c r="O37" s="229"/>
      <c r="P37" s="229"/>
      <c r="Q37" s="229"/>
      <c r="R37" s="229"/>
      <c r="S37" s="201"/>
      <c r="T37" s="20"/>
      <c r="U37" s="20"/>
      <c r="V37" s="20"/>
      <c r="W37" s="20"/>
      <c r="X37" s="20"/>
      <c r="Y37" s="20"/>
      <c r="Z37" s="20"/>
      <c r="AA37" s="20"/>
      <c r="AB37" s="20"/>
      <c r="AC37" s="20"/>
    </row>
    <row r="38" spans="1:29">
      <c r="A38" s="196"/>
      <c r="B38" s="171"/>
      <c r="C38" s="170"/>
      <c r="D38" s="170"/>
      <c r="E38" s="170"/>
      <c r="F38" s="170"/>
      <c r="G38" s="170"/>
      <c r="H38" s="170"/>
      <c r="I38" s="170"/>
      <c r="J38" s="229"/>
      <c r="K38" s="229"/>
      <c r="L38" s="229"/>
      <c r="M38" s="229"/>
      <c r="N38" s="229"/>
      <c r="O38" s="229"/>
      <c r="P38" s="229"/>
      <c r="Q38" s="229"/>
      <c r="R38" s="229"/>
      <c r="S38" s="201"/>
      <c r="T38" s="20"/>
      <c r="U38" s="20"/>
      <c r="V38" s="20"/>
      <c r="W38" s="20"/>
      <c r="X38" s="20"/>
      <c r="Y38" s="20"/>
      <c r="Z38" s="20"/>
      <c r="AA38" s="20"/>
      <c r="AB38" s="20"/>
      <c r="AC38" s="20"/>
    </row>
    <row r="39" spans="1:29">
      <c r="A39" s="196">
        <v>10</v>
      </c>
      <c r="B39" s="170" t="s">
        <v>203</v>
      </c>
      <c r="C39" s="170"/>
      <c r="D39" s="170"/>
      <c r="E39" s="170"/>
      <c r="F39" s="170"/>
      <c r="G39" s="170"/>
      <c r="H39" s="170"/>
      <c r="I39" s="170"/>
      <c r="J39" s="11"/>
      <c r="K39" s="229"/>
      <c r="L39" s="11"/>
      <c r="M39" s="229"/>
      <c r="N39" s="10"/>
      <c r="O39" s="229"/>
      <c r="P39" s="10"/>
      <c r="Q39" s="229"/>
      <c r="R39" s="10"/>
      <c r="S39" s="201"/>
      <c r="T39" s="20"/>
      <c r="U39" s="20"/>
      <c r="V39" s="20"/>
      <c r="W39" s="20"/>
      <c r="X39" s="20"/>
      <c r="Y39" s="20"/>
      <c r="Z39" s="20"/>
      <c r="AA39" s="20"/>
      <c r="AB39" s="20"/>
      <c r="AC39" s="20"/>
    </row>
    <row r="40" spans="1:29">
      <c r="A40" s="241"/>
      <c r="B40" s="170" t="s">
        <v>321</v>
      </c>
      <c r="C40" s="170"/>
      <c r="D40" s="170"/>
      <c r="E40" s="170"/>
      <c r="F40" s="170"/>
      <c r="G40" s="170"/>
      <c r="H40" s="170"/>
      <c r="I40" s="170"/>
      <c r="J40" s="229"/>
      <c r="K40" s="229"/>
      <c r="L40" s="229"/>
      <c r="M40" s="229"/>
      <c r="N40" s="229"/>
      <c r="O40" s="229"/>
      <c r="P40" s="229"/>
      <c r="Q40" s="229"/>
      <c r="R40" s="229"/>
      <c r="S40" s="201"/>
      <c r="T40" s="20"/>
      <c r="U40" s="20"/>
      <c r="V40" s="20"/>
      <c r="W40" s="20"/>
      <c r="X40" s="20"/>
      <c r="Y40" s="20"/>
      <c r="Z40" s="20"/>
      <c r="AA40" s="20"/>
      <c r="AB40" s="20"/>
      <c r="AC40" s="20"/>
    </row>
    <row r="41" spans="1:29">
      <c r="A41" s="196"/>
      <c r="B41" s="170"/>
      <c r="C41" s="170"/>
      <c r="D41" s="170"/>
      <c r="E41" s="170"/>
      <c r="F41" s="170"/>
      <c r="G41" s="170"/>
      <c r="H41" s="170"/>
      <c r="I41" s="170"/>
      <c r="J41" s="229"/>
      <c r="K41" s="229"/>
      <c r="L41" s="229"/>
      <c r="M41" s="229"/>
      <c r="N41" s="229"/>
      <c r="O41" s="229"/>
      <c r="P41" s="229"/>
      <c r="Q41" s="229"/>
      <c r="R41" s="229"/>
      <c r="S41" s="201"/>
      <c r="T41" s="20"/>
      <c r="U41" s="20"/>
      <c r="V41" s="20"/>
      <c r="W41" s="20"/>
      <c r="X41" s="20"/>
      <c r="Y41" s="20"/>
      <c r="Z41" s="20"/>
      <c r="AA41" s="20"/>
      <c r="AB41" s="20"/>
      <c r="AC41" s="20"/>
    </row>
    <row r="42" spans="1:29">
      <c r="A42" s="196">
        <v>11</v>
      </c>
      <c r="B42" s="170" t="s">
        <v>204</v>
      </c>
      <c r="C42" s="170"/>
      <c r="D42" s="170"/>
      <c r="E42" s="170"/>
      <c r="F42" s="170"/>
      <c r="G42" s="170"/>
      <c r="H42" s="170"/>
      <c r="I42" s="170"/>
      <c r="J42" s="11"/>
      <c r="K42" s="229"/>
      <c r="L42" s="11"/>
      <c r="M42" s="229"/>
      <c r="N42" s="10"/>
      <c r="O42" s="229"/>
      <c r="P42" s="10"/>
      <c r="Q42" s="229"/>
      <c r="R42" s="10"/>
      <c r="S42" s="201"/>
      <c r="T42" s="20"/>
      <c r="U42" s="20"/>
      <c r="V42" s="20"/>
      <c r="W42" s="20"/>
      <c r="X42" s="20"/>
      <c r="Y42" s="20"/>
      <c r="Z42" s="20"/>
      <c r="AA42" s="20"/>
      <c r="AB42" s="20"/>
      <c r="AC42" s="20"/>
    </row>
    <row r="43" spans="1:29">
      <c r="A43" s="196"/>
      <c r="B43" s="171"/>
      <c r="C43" s="170"/>
      <c r="D43" s="170"/>
      <c r="E43" s="170"/>
      <c r="F43" s="170"/>
      <c r="G43" s="170"/>
      <c r="H43" s="170"/>
      <c r="I43" s="170"/>
      <c r="J43" s="229"/>
      <c r="K43" s="229"/>
      <c r="L43" s="229"/>
      <c r="M43" s="229"/>
      <c r="N43" s="229"/>
      <c r="O43" s="229"/>
      <c r="P43" s="229"/>
      <c r="Q43" s="229"/>
      <c r="R43" s="229"/>
      <c r="S43" s="201"/>
      <c r="T43" s="20"/>
      <c r="U43" s="20"/>
      <c r="V43" s="20"/>
      <c r="W43" s="20"/>
      <c r="X43" s="20"/>
      <c r="Y43" s="20"/>
      <c r="Z43" s="20"/>
      <c r="AA43" s="20"/>
      <c r="AB43" s="20"/>
      <c r="AC43" s="20"/>
    </row>
    <row r="44" spans="1:29">
      <c r="A44" s="196">
        <v>12</v>
      </c>
      <c r="B44" s="170" t="s">
        <v>205</v>
      </c>
      <c r="C44" s="170"/>
      <c r="D44" s="170"/>
      <c r="E44" s="170"/>
      <c r="F44" s="170"/>
      <c r="G44" s="170"/>
      <c r="H44" s="170"/>
      <c r="I44" s="170"/>
      <c r="J44" s="9">
        <f>ROUND(J34*J36*J39*J42,1)</f>
        <v>0</v>
      </c>
      <c r="K44" s="229"/>
      <c r="L44" s="9">
        <f>ROUND(L34*L36*L39*L42,1)</f>
        <v>0</v>
      </c>
      <c r="M44" s="229"/>
      <c r="N44" s="5">
        <f>ROUND(N34*N36*N39*N42,1)</f>
        <v>0</v>
      </c>
      <c r="O44" s="229"/>
      <c r="P44" s="5">
        <f>ROUND(P34*P36*P39*P42,1)</f>
        <v>0</v>
      </c>
      <c r="Q44" s="229"/>
      <c r="R44" s="5">
        <f>ROUND(R34*R36*R39*R42,1)</f>
        <v>0</v>
      </c>
      <c r="S44" s="201"/>
      <c r="T44" s="20"/>
      <c r="U44" s="20"/>
      <c r="V44" s="20"/>
      <c r="W44" s="20"/>
      <c r="X44" s="20"/>
      <c r="Y44" s="20"/>
      <c r="Z44" s="20"/>
      <c r="AA44" s="20"/>
      <c r="AB44" s="20"/>
      <c r="AC44" s="20"/>
    </row>
    <row r="45" spans="1:29">
      <c r="A45" s="196"/>
      <c r="B45" s="171"/>
      <c r="C45" s="170"/>
      <c r="D45" s="170"/>
      <c r="E45" s="170"/>
      <c r="F45" s="170"/>
      <c r="G45" s="170"/>
      <c r="H45" s="170"/>
      <c r="I45" s="170"/>
      <c r="J45" s="229"/>
      <c r="K45" s="229"/>
      <c r="L45" s="229"/>
      <c r="M45" s="229"/>
      <c r="N45" s="229"/>
      <c r="O45" s="229"/>
      <c r="P45" s="229"/>
      <c r="Q45" s="229"/>
      <c r="R45" s="229"/>
      <c r="S45" s="201"/>
      <c r="T45" s="20"/>
      <c r="U45" s="20"/>
      <c r="V45" s="20"/>
      <c r="W45" s="20"/>
      <c r="X45" s="20"/>
      <c r="Y45" s="20"/>
      <c r="Z45" s="20"/>
      <c r="AA45" s="20"/>
      <c r="AB45" s="20"/>
      <c r="AC45" s="20"/>
    </row>
    <row r="46" spans="1:29">
      <c r="A46" s="196">
        <v>13</v>
      </c>
      <c r="B46" s="170" t="s">
        <v>206</v>
      </c>
      <c r="C46" s="170"/>
      <c r="D46" s="170"/>
      <c r="E46" s="170"/>
      <c r="F46" s="170"/>
      <c r="G46" s="170"/>
      <c r="H46" s="170"/>
      <c r="I46" s="170"/>
      <c r="J46" s="9">
        <f>J23*J29*J44</f>
        <v>0</v>
      </c>
      <c r="K46" s="229"/>
      <c r="L46" s="9">
        <f>L23*L29*L44</f>
        <v>0</v>
      </c>
      <c r="M46" s="229"/>
      <c r="N46" s="5">
        <f>N23*N29*N44</f>
        <v>0</v>
      </c>
      <c r="O46" s="229"/>
      <c r="P46" s="5">
        <f>P23*P29*P44</f>
        <v>0</v>
      </c>
      <c r="Q46" s="229"/>
      <c r="R46" s="5">
        <f>R23*R29*R44</f>
        <v>0</v>
      </c>
      <c r="S46" s="201"/>
      <c r="T46" s="20"/>
      <c r="U46" s="20"/>
      <c r="V46" s="20"/>
      <c r="W46" s="20"/>
      <c r="X46" s="20"/>
      <c r="Y46" s="20"/>
      <c r="Z46" s="20"/>
      <c r="AA46" s="20"/>
      <c r="AB46" s="20"/>
      <c r="AC46" s="20"/>
    </row>
    <row r="47" spans="1:29">
      <c r="A47" s="241"/>
      <c r="B47" s="170" t="s">
        <v>207</v>
      </c>
      <c r="C47" s="170"/>
      <c r="D47" s="170"/>
      <c r="E47" s="170"/>
      <c r="F47" s="170"/>
      <c r="G47" s="170"/>
      <c r="H47" s="170"/>
      <c r="I47" s="170"/>
      <c r="J47" s="170"/>
      <c r="K47" s="170"/>
      <c r="L47" s="170"/>
      <c r="M47" s="170"/>
      <c r="N47" s="170"/>
      <c r="O47" s="170"/>
      <c r="P47" s="170"/>
      <c r="Q47" s="170"/>
      <c r="R47" s="170"/>
      <c r="S47" s="201"/>
      <c r="T47" s="20"/>
      <c r="U47" s="20"/>
      <c r="V47" s="20"/>
      <c r="W47" s="20"/>
      <c r="X47" s="20"/>
      <c r="Y47" s="20"/>
      <c r="Z47" s="20"/>
      <c r="AA47" s="20"/>
      <c r="AB47" s="20"/>
      <c r="AC47" s="20"/>
    </row>
    <row r="48" spans="1:29">
      <c r="A48" s="196"/>
      <c r="B48" s="170"/>
      <c r="C48" s="170"/>
      <c r="D48" s="170"/>
      <c r="E48" s="170"/>
      <c r="F48" s="170"/>
      <c r="G48" s="170"/>
      <c r="H48" s="170"/>
      <c r="I48" s="170"/>
      <c r="J48" s="170"/>
      <c r="K48" s="170"/>
      <c r="L48" s="170"/>
      <c r="M48" s="170"/>
      <c r="N48" s="170"/>
      <c r="O48" s="170"/>
      <c r="P48" s="170"/>
      <c r="Q48" s="170"/>
      <c r="R48" s="170"/>
      <c r="S48" s="201"/>
      <c r="T48" s="20"/>
      <c r="U48" s="20"/>
      <c r="V48" s="20"/>
      <c r="W48" s="20"/>
      <c r="X48" s="20"/>
      <c r="Y48" s="20"/>
      <c r="Z48" s="20"/>
      <c r="AA48" s="20"/>
      <c r="AB48" s="20"/>
      <c r="AC48" s="20"/>
    </row>
    <row r="49" spans="1:29">
      <c r="A49" s="196">
        <v>14</v>
      </c>
      <c r="B49" s="171" t="s">
        <v>208</v>
      </c>
      <c r="C49" s="170"/>
      <c r="D49" s="170"/>
      <c r="E49" s="170"/>
      <c r="F49" s="170"/>
      <c r="G49" s="170"/>
      <c r="H49" s="170"/>
      <c r="I49" s="170"/>
      <c r="J49" s="170"/>
      <c r="K49" s="170"/>
      <c r="L49" s="362">
        <f>SUM(J46+L46+N46+P46+R46)</f>
        <v>0</v>
      </c>
      <c r="M49" s="312"/>
      <c r="N49" s="312"/>
      <c r="O49" s="312"/>
      <c r="P49" s="312"/>
      <c r="Q49" s="170"/>
      <c r="R49" s="170" t="s">
        <v>184</v>
      </c>
      <c r="S49" s="201"/>
      <c r="T49" s="20"/>
      <c r="U49" s="20"/>
      <c r="V49" s="20"/>
      <c r="W49" s="20"/>
      <c r="X49" s="20"/>
      <c r="Y49" s="20"/>
      <c r="Z49" s="20"/>
      <c r="AA49" s="20"/>
      <c r="AB49" s="20"/>
      <c r="AC49" s="20"/>
    </row>
    <row r="50" spans="1:29">
      <c r="A50" s="196"/>
      <c r="B50" s="170" t="s">
        <v>209</v>
      </c>
      <c r="C50" s="170"/>
      <c r="D50" s="170"/>
      <c r="E50" s="170"/>
      <c r="F50" s="170"/>
      <c r="G50" s="170"/>
      <c r="H50" s="170"/>
      <c r="I50" s="170"/>
      <c r="J50" s="170"/>
      <c r="K50" s="170"/>
      <c r="L50" s="170"/>
      <c r="M50" s="170"/>
      <c r="N50" s="170"/>
      <c r="O50" s="170"/>
      <c r="P50" s="170"/>
      <c r="Q50" s="170"/>
      <c r="R50" s="170"/>
      <c r="S50" s="201"/>
      <c r="T50" s="20"/>
      <c r="U50" s="20"/>
      <c r="V50" s="20"/>
      <c r="W50" s="20"/>
      <c r="X50" s="20"/>
      <c r="Y50" s="20"/>
      <c r="Z50" s="20"/>
      <c r="AA50" s="20"/>
      <c r="AB50" s="20"/>
      <c r="AC50" s="20"/>
    </row>
    <row r="51" spans="1:29">
      <c r="A51" s="196"/>
      <c r="B51" s="171"/>
      <c r="C51" s="170"/>
      <c r="D51" s="170"/>
      <c r="E51" s="170"/>
      <c r="F51" s="170"/>
      <c r="G51" s="170"/>
      <c r="H51" s="170"/>
      <c r="I51" s="170"/>
      <c r="J51" s="170"/>
      <c r="K51" s="170"/>
      <c r="L51" s="229"/>
      <c r="M51" s="229"/>
      <c r="N51" s="170"/>
      <c r="O51" s="170"/>
      <c r="P51" s="170"/>
      <c r="Q51" s="170"/>
      <c r="R51" s="170"/>
      <c r="S51" s="201"/>
      <c r="T51" s="20"/>
      <c r="U51" s="20"/>
      <c r="V51" s="20"/>
      <c r="W51" s="20"/>
      <c r="X51" s="20"/>
      <c r="Y51" s="20"/>
      <c r="Z51" s="20"/>
      <c r="AA51" s="20"/>
      <c r="AB51" s="20"/>
      <c r="AC51" s="20"/>
    </row>
    <row r="52" spans="1:29">
      <c r="A52" s="196">
        <v>15</v>
      </c>
      <c r="B52" s="170" t="s">
        <v>210</v>
      </c>
      <c r="C52" s="170"/>
      <c r="D52" s="170"/>
      <c r="E52" s="170"/>
      <c r="F52" s="170"/>
      <c r="G52" s="170"/>
      <c r="H52" s="170"/>
      <c r="I52" s="170"/>
      <c r="J52" s="170"/>
      <c r="K52" s="170"/>
      <c r="L52" s="170"/>
      <c r="M52" s="170"/>
      <c r="N52" s="306">
        <f>Datum!N98</f>
        <v>0</v>
      </c>
      <c r="O52" s="306"/>
      <c r="P52" s="306"/>
      <c r="Q52" s="170"/>
      <c r="R52" s="170"/>
      <c r="S52" s="201"/>
      <c r="T52" s="20"/>
      <c r="U52" s="20"/>
      <c r="V52" s="20"/>
      <c r="W52" s="20"/>
      <c r="X52" s="20"/>
      <c r="Y52" s="20"/>
      <c r="Z52" s="20"/>
      <c r="AA52" s="20"/>
      <c r="AB52" s="20"/>
      <c r="AC52" s="20"/>
    </row>
    <row r="53" spans="1:29">
      <c r="A53" s="196"/>
      <c r="B53" s="171" t="s">
        <v>211</v>
      </c>
      <c r="C53" s="170"/>
      <c r="D53" s="170"/>
      <c r="E53" s="170"/>
      <c r="F53" s="170"/>
      <c r="G53" s="170"/>
      <c r="H53" s="170"/>
      <c r="I53" s="170"/>
      <c r="J53" s="170"/>
      <c r="K53" s="170"/>
      <c r="L53" s="170"/>
      <c r="M53" s="170"/>
      <c r="N53" s="170"/>
      <c r="O53" s="170"/>
      <c r="P53" s="170"/>
      <c r="Q53" s="170"/>
      <c r="R53" s="170"/>
      <c r="S53" s="204"/>
      <c r="T53" s="42"/>
      <c r="U53" s="20"/>
      <c r="V53" s="20"/>
      <c r="W53" s="20"/>
      <c r="X53" s="20"/>
      <c r="Y53" s="20"/>
      <c r="Z53" s="20"/>
      <c r="AA53" s="20"/>
      <c r="AB53" s="20"/>
      <c r="AC53" s="20"/>
    </row>
    <row r="54" spans="1:29">
      <c r="A54" s="196"/>
      <c r="B54" s="170" t="s">
        <v>212</v>
      </c>
      <c r="C54" s="170"/>
      <c r="D54" s="170"/>
      <c r="E54" s="170"/>
      <c r="F54" s="170"/>
      <c r="G54" s="170"/>
      <c r="H54" s="170"/>
      <c r="I54" s="170"/>
      <c r="J54" s="170"/>
      <c r="K54" s="170"/>
      <c r="L54" s="170"/>
      <c r="M54" s="170"/>
      <c r="N54" s="170"/>
      <c r="O54" s="170"/>
      <c r="P54" s="170"/>
      <c r="Q54" s="170"/>
      <c r="R54" s="170"/>
      <c r="S54" s="204"/>
      <c r="T54" s="42"/>
      <c r="U54" s="20"/>
      <c r="V54" s="20"/>
      <c r="W54" s="20"/>
      <c r="X54" s="20"/>
      <c r="Y54" s="20"/>
      <c r="Z54" s="20"/>
      <c r="AA54" s="20"/>
      <c r="AB54" s="20"/>
      <c r="AC54" s="20"/>
    </row>
    <row r="55" spans="1:29">
      <c r="A55" s="196"/>
      <c r="B55" s="170"/>
      <c r="C55" s="170"/>
      <c r="D55" s="170"/>
      <c r="E55" s="170"/>
      <c r="F55" s="170"/>
      <c r="G55" s="170"/>
      <c r="H55" s="170"/>
      <c r="I55" s="170"/>
      <c r="J55" s="170"/>
      <c r="K55" s="170"/>
      <c r="L55" s="170"/>
      <c r="M55" s="170"/>
      <c r="N55" s="170"/>
      <c r="O55" s="170"/>
      <c r="P55" s="170"/>
      <c r="Q55" s="170"/>
      <c r="R55" s="170"/>
      <c r="S55" s="204"/>
      <c r="T55" s="42"/>
      <c r="U55" s="20"/>
      <c r="V55" s="20"/>
      <c r="W55" s="20"/>
      <c r="X55" s="20"/>
      <c r="Y55" s="20"/>
      <c r="Z55" s="20"/>
      <c r="AA55" s="20"/>
      <c r="AB55" s="20"/>
      <c r="AC55" s="20"/>
    </row>
    <row r="56" spans="1:29">
      <c r="A56" s="196">
        <v>16</v>
      </c>
      <c r="B56" s="170" t="s">
        <v>213</v>
      </c>
      <c r="C56" s="170"/>
      <c r="D56" s="170"/>
      <c r="E56" s="170"/>
      <c r="F56" s="170"/>
      <c r="G56" s="170"/>
      <c r="H56" s="170"/>
      <c r="I56" s="170"/>
      <c r="J56" s="170"/>
      <c r="K56" s="170"/>
      <c r="L56" s="170"/>
      <c r="M56" s="170"/>
      <c r="N56" s="170"/>
      <c r="O56" s="170"/>
      <c r="P56" s="170"/>
      <c r="Q56" s="170"/>
      <c r="R56" s="170"/>
      <c r="S56" s="204"/>
      <c r="T56" s="42"/>
      <c r="U56" s="20"/>
      <c r="V56" s="20"/>
      <c r="W56" s="20"/>
      <c r="X56" s="20"/>
      <c r="Y56" s="20"/>
      <c r="Z56" s="20"/>
      <c r="AA56" s="20"/>
      <c r="AB56" s="20"/>
      <c r="AC56" s="20"/>
    </row>
    <row r="57" spans="1:29">
      <c r="A57" s="195"/>
      <c r="B57" s="184" t="s">
        <v>214</v>
      </c>
      <c r="C57" s="170"/>
      <c r="D57" s="170"/>
      <c r="E57" s="170"/>
      <c r="F57" s="170"/>
      <c r="G57" s="170"/>
      <c r="H57" s="170"/>
      <c r="I57" s="170"/>
      <c r="J57" s="170"/>
      <c r="K57" s="170"/>
      <c r="L57" s="170"/>
      <c r="M57" s="170"/>
      <c r="N57" s="170"/>
      <c r="O57" s="170"/>
      <c r="P57" s="170"/>
      <c r="Q57" s="170"/>
      <c r="R57" s="170"/>
      <c r="S57" s="204"/>
      <c r="T57" s="42"/>
      <c r="U57" s="20"/>
      <c r="V57" s="20"/>
      <c r="W57" s="20"/>
      <c r="X57" s="20"/>
      <c r="Y57" s="20"/>
      <c r="Z57" s="20"/>
      <c r="AA57" s="20"/>
      <c r="AB57" s="20"/>
      <c r="AC57" s="20"/>
    </row>
    <row r="58" spans="1:29">
      <c r="A58" s="195"/>
      <c r="B58" s="170"/>
      <c r="C58" s="170"/>
      <c r="D58" s="170"/>
      <c r="E58" s="170"/>
      <c r="F58" s="170"/>
      <c r="G58" s="170"/>
      <c r="H58" s="170"/>
      <c r="I58" s="170"/>
      <c r="J58" s="170"/>
      <c r="K58" s="170"/>
      <c r="L58" s="170"/>
      <c r="M58" s="170"/>
      <c r="N58" s="170"/>
      <c r="O58" s="170"/>
      <c r="P58" s="170"/>
      <c r="Q58" s="170"/>
      <c r="R58" s="170"/>
      <c r="S58" s="204"/>
      <c r="T58" s="51" t="s">
        <v>337</v>
      </c>
      <c r="U58" s="20"/>
      <c r="V58" s="20"/>
      <c r="W58" s="20"/>
      <c r="X58" s="20"/>
      <c r="Y58" s="20"/>
      <c r="Z58" s="20"/>
      <c r="AA58" s="20"/>
      <c r="AB58" s="20"/>
      <c r="AC58" s="20"/>
    </row>
    <row r="59" spans="1:29" ht="13.8" thickBot="1">
      <c r="A59" s="242"/>
      <c r="B59" s="243"/>
      <c r="C59" s="243"/>
      <c r="D59" s="243"/>
      <c r="E59" s="243"/>
      <c r="F59" s="243"/>
      <c r="G59" s="243"/>
      <c r="H59" s="243"/>
      <c r="I59" s="243"/>
      <c r="J59" s="243"/>
      <c r="K59" s="243"/>
      <c r="L59" s="243"/>
      <c r="M59" s="243"/>
      <c r="N59" s="243"/>
      <c r="O59" s="243"/>
      <c r="P59" s="243"/>
      <c r="Q59" s="243"/>
      <c r="R59" s="243"/>
      <c r="S59" s="245"/>
      <c r="T59" s="42"/>
      <c r="U59" s="20"/>
      <c r="V59" s="20"/>
      <c r="W59" s="20"/>
      <c r="X59" s="20"/>
      <c r="Y59" s="20"/>
      <c r="Z59" s="20"/>
      <c r="AA59" s="20"/>
      <c r="AB59" s="20"/>
      <c r="AC59" s="20"/>
    </row>
    <row r="60" spans="1:29" ht="13.8" thickTop="1">
      <c r="A60" s="42"/>
      <c r="B60" s="42"/>
      <c r="C60" s="42"/>
      <c r="D60" s="42"/>
      <c r="E60" s="42"/>
      <c r="F60" s="42"/>
      <c r="G60" s="42"/>
      <c r="H60" s="42"/>
      <c r="I60" s="42"/>
      <c r="J60" s="42"/>
      <c r="K60" s="42"/>
      <c r="L60" s="42"/>
      <c r="M60" s="42"/>
      <c r="N60" s="42"/>
      <c r="O60" s="42"/>
      <c r="P60" s="42"/>
      <c r="Q60" s="42"/>
      <c r="R60" s="42"/>
      <c r="S60" s="42"/>
      <c r="T60" s="42"/>
      <c r="U60" s="20"/>
      <c r="V60" s="20"/>
      <c r="W60" s="20"/>
      <c r="X60" s="20"/>
      <c r="Y60" s="20"/>
      <c r="Z60" s="20"/>
      <c r="AA60" s="20"/>
      <c r="AB60" s="20"/>
      <c r="AC60" s="20"/>
    </row>
    <row r="61" spans="1:29">
      <c r="A61" s="42"/>
      <c r="B61" s="42"/>
      <c r="C61" s="42"/>
      <c r="D61" s="42"/>
      <c r="E61" s="42"/>
      <c r="F61" s="42"/>
      <c r="G61" s="42"/>
      <c r="H61" s="42"/>
      <c r="I61" s="42"/>
      <c r="J61" s="42"/>
      <c r="K61" s="42"/>
      <c r="L61" s="42"/>
      <c r="M61" s="42"/>
      <c r="N61" s="42"/>
      <c r="O61" s="42"/>
      <c r="P61" s="42"/>
      <c r="Q61" s="42"/>
      <c r="R61" s="42"/>
      <c r="S61" s="42"/>
      <c r="T61" s="42"/>
      <c r="U61" s="20"/>
      <c r="V61" s="20"/>
      <c r="W61" s="20"/>
      <c r="X61" s="20"/>
      <c r="Y61" s="20"/>
      <c r="Z61" s="20"/>
      <c r="AA61" s="20"/>
      <c r="AB61" s="20"/>
      <c r="AC61" s="20"/>
    </row>
    <row r="62" spans="1:29">
      <c r="A62" s="42"/>
      <c r="B62" s="42"/>
      <c r="C62" s="42"/>
      <c r="D62" s="42"/>
      <c r="E62" s="42"/>
      <c r="F62" s="42"/>
      <c r="G62" s="42"/>
      <c r="H62" s="42"/>
      <c r="I62" s="42"/>
      <c r="J62" s="42"/>
      <c r="K62" s="42"/>
      <c r="L62" s="42"/>
      <c r="M62" s="42"/>
      <c r="N62" s="42"/>
      <c r="O62" s="42"/>
      <c r="P62" s="42"/>
      <c r="Q62" s="42"/>
      <c r="R62" s="42"/>
      <c r="S62" s="42"/>
      <c r="T62" s="42"/>
      <c r="U62" s="20"/>
      <c r="V62" s="20"/>
      <c r="W62" s="20"/>
      <c r="X62" s="20"/>
      <c r="Y62" s="20"/>
      <c r="Z62" s="20"/>
      <c r="AA62" s="20"/>
      <c r="AB62" s="20"/>
      <c r="AC62" s="20"/>
    </row>
    <row r="63" spans="1:29">
      <c r="A63" s="42"/>
      <c r="B63" s="42"/>
      <c r="C63" s="42"/>
      <c r="D63" s="42"/>
      <c r="E63" s="42"/>
      <c r="F63" s="42"/>
      <c r="G63" s="42"/>
      <c r="H63" s="42"/>
      <c r="I63" s="42"/>
      <c r="J63" s="42"/>
      <c r="K63" s="42"/>
      <c r="L63" s="42"/>
      <c r="M63" s="42"/>
      <c r="N63" s="42"/>
      <c r="O63" s="42"/>
      <c r="P63" s="42"/>
      <c r="Q63" s="42"/>
      <c r="R63" s="42"/>
      <c r="S63" s="42"/>
      <c r="T63" s="42"/>
      <c r="U63" s="20"/>
      <c r="V63" s="20"/>
      <c r="W63" s="20"/>
      <c r="X63" s="20"/>
      <c r="Y63" s="20"/>
      <c r="Z63" s="20"/>
      <c r="AA63" s="20"/>
      <c r="AB63" s="20"/>
      <c r="AC63" s="20"/>
    </row>
    <row r="64" spans="1:29">
      <c r="A64" s="42"/>
      <c r="B64" s="42"/>
      <c r="C64" s="42"/>
      <c r="D64" s="42"/>
      <c r="E64" s="42"/>
      <c r="F64" s="42"/>
      <c r="G64" s="42"/>
      <c r="H64" s="42"/>
      <c r="I64" s="42"/>
      <c r="J64" s="42"/>
      <c r="K64" s="42"/>
      <c r="L64" s="42"/>
      <c r="M64" s="42"/>
      <c r="N64" s="42"/>
      <c r="O64" s="42"/>
      <c r="P64" s="42"/>
      <c r="Q64" s="42"/>
      <c r="R64" s="42"/>
      <c r="S64" s="42"/>
      <c r="T64" s="42"/>
      <c r="U64" s="20"/>
      <c r="V64" s="20"/>
      <c r="W64" s="20"/>
      <c r="X64" s="20"/>
      <c r="Y64" s="20"/>
      <c r="Z64" s="20"/>
      <c r="AA64" s="20"/>
      <c r="AB64" s="20"/>
      <c r="AC64" s="20"/>
    </row>
    <row r="65" spans="1:29">
      <c r="A65" s="42"/>
      <c r="B65" s="42"/>
      <c r="C65" s="42"/>
      <c r="D65" s="42"/>
      <c r="E65" s="42"/>
      <c r="F65" s="42"/>
      <c r="G65" s="42"/>
      <c r="H65" s="42"/>
      <c r="I65" s="42"/>
      <c r="J65" s="42"/>
      <c r="K65" s="42"/>
      <c r="L65" s="42"/>
      <c r="M65" s="42"/>
      <c r="N65" s="42"/>
      <c r="O65" s="42"/>
      <c r="P65" s="42"/>
      <c r="Q65" s="42"/>
      <c r="R65" s="42"/>
      <c r="S65" s="42"/>
      <c r="T65" s="42"/>
      <c r="U65" s="20"/>
      <c r="V65" s="20"/>
      <c r="W65" s="20"/>
      <c r="X65" s="20"/>
      <c r="Y65" s="20"/>
      <c r="Z65" s="20"/>
      <c r="AA65" s="20"/>
      <c r="AB65" s="20"/>
      <c r="AC65" s="20"/>
    </row>
    <row r="66" spans="1:29">
      <c r="A66" s="41"/>
      <c r="B66" s="41"/>
      <c r="C66" s="42"/>
      <c r="D66" s="42"/>
      <c r="E66" s="42"/>
      <c r="F66" s="42"/>
      <c r="G66" s="42"/>
      <c r="H66" s="42"/>
      <c r="I66" s="42"/>
      <c r="J66" s="42"/>
      <c r="K66" s="42"/>
      <c r="L66" s="42"/>
      <c r="M66" s="42"/>
      <c r="N66" s="42"/>
      <c r="O66" s="42"/>
      <c r="P66" s="42"/>
      <c r="Q66" s="42"/>
      <c r="R66" s="42"/>
      <c r="S66" s="42"/>
      <c r="T66" s="42"/>
      <c r="U66" s="20"/>
      <c r="V66" s="20"/>
      <c r="W66" s="20"/>
      <c r="X66" s="20"/>
      <c r="Y66" s="20"/>
      <c r="Z66" s="20"/>
      <c r="AA66" s="20"/>
      <c r="AB66" s="20"/>
      <c r="AC66" s="20"/>
    </row>
    <row r="67" spans="1:29">
      <c r="A67" s="42"/>
      <c r="B67" s="42"/>
      <c r="C67" s="42"/>
      <c r="D67" s="42"/>
      <c r="E67" s="42"/>
      <c r="F67" s="42"/>
      <c r="G67" s="42"/>
      <c r="H67" s="42"/>
      <c r="I67" s="42"/>
      <c r="J67" s="42"/>
      <c r="K67" s="42"/>
      <c r="L67" s="42"/>
      <c r="M67" s="42"/>
      <c r="N67" s="42"/>
      <c r="O67" s="42"/>
      <c r="P67" s="42"/>
      <c r="Q67" s="42"/>
      <c r="R67" s="42"/>
      <c r="S67" s="42"/>
      <c r="T67" s="42"/>
      <c r="U67" s="20"/>
      <c r="V67" s="20"/>
      <c r="W67" s="20"/>
      <c r="X67" s="20"/>
      <c r="Y67" s="20"/>
      <c r="Z67" s="20"/>
      <c r="AA67" s="20"/>
      <c r="AB67" s="20"/>
      <c r="AC67" s="20"/>
    </row>
    <row r="68" spans="1:29">
      <c r="A68" s="42"/>
      <c r="B68" s="42"/>
      <c r="C68" s="42"/>
      <c r="D68" s="42"/>
      <c r="E68" s="42"/>
      <c r="F68" s="42"/>
      <c r="G68" s="42"/>
      <c r="H68" s="42"/>
      <c r="I68" s="42"/>
      <c r="J68" s="42"/>
      <c r="K68" s="42"/>
      <c r="L68" s="42"/>
      <c r="M68" s="42"/>
      <c r="N68" s="42"/>
      <c r="O68" s="42"/>
      <c r="P68" s="42"/>
      <c r="Q68" s="42"/>
      <c r="R68" s="42"/>
      <c r="S68" s="42"/>
      <c r="T68" s="42"/>
      <c r="U68" s="20"/>
      <c r="V68" s="20"/>
      <c r="W68" s="20"/>
      <c r="X68" s="20"/>
      <c r="Y68" s="20"/>
      <c r="Z68" s="20"/>
      <c r="AA68" s="20"/>
      <c r="AB68" s="20"/>
      <c r="AC68" s="20"/>
    </row>
    <row r="69" spans="1:29">
      <c r="A69" s="42"/>
      <c r="B69" s="42"/>
      <c r="C69" s="42"/>
      <c r="D69" s="42"/>
      <c r="E69" s="42"/>
      <c r="F69" s="42"/>
      <c r="G69" s="42"/>
      <c r="H69" s="42"/>
      <c r="I69" s="42"/>
      <c r="J69" s="42"/>
      <c r="K69" s="42"/>
      <c r="L69" s="42"/>
      <c r="M69" s="42"/>
      <c r="N69" s="42"/>
      <c r="O69" s="42"/>
      <c r="P69" s="42"/>
      <c r="Q69" s="42"/>
      <c r="R69" s="42"/>
      <c r="S69" s="42"/>
      <c r="T69" s="42"/>
      <c r="U69" s="20"/>
      <c r="V69" s="20"/>
      <c r="W69" s="20"/>
      <c r="X69" s="20"/>
      <c r="Y69" s="20"/>
      <c r="Z69" s="20"/>
      <c r="AA69" s="20"/>
      <c r="AB69" s="20"/>
      <c r="AC69" s="20"/>
    </row>
    <row r="70" spans="1:29">
      <c r="A70" s="42"/>
      <c r="B70" s="42"/>
      <c r="C70" s="42"/>
      <c r="D70" s="42"/>
      <c r="E70" s="42"/>
      <c r="F70" s="42"/>
      <c r="G70" s="42"/>
      <c r="H70" s="42"/>
      <c r="I70" s="42"/>
      <c r="J70" s="42"/>
      <c r="K70" s="42"/>
      <c r="L70" s="42"/>
      <c r="M70" s="42"/>
      <c r="N70" s="42"/>
      <c r="O70" s="42"/>
      <c r="P70" s="42"/>
      <c r="Q70" s="42"/>
      <c r="R70" s="42"/>
      <c r="S70" s="42"/>
      <c r="T70" s="42"/>
      <c r="U70" s="20"/>
      <c r="V70" s="20"/>
      <c r="W70" s="20"/>
      <c r="X70" s="20"/>
      <c r="Y70" s="20"/>
      <c r="Z70" s="20"/>
      <c r="AA70" s="20"/>
      <c r="AB70" s="20"/>
      <c r="AC70" s="20"/>
    </row>
    <row r="71" spans="1:29">
      <c r="A71" s="42"/>
      <c r="B71" s="42"/>
      <c r="C71" s="42"/>
      <c r="D71" s="42"/>
      <c r="E71" s="42"/>
      <c r="F71" s="42"/>
      <c r="G71" s="42"/>
      <c r="H71" s="42"/>
      <c r="I71" s="42"/>
      <c r="J71" s="42"/>
      <c r="K71" s="42"/>
      <c r="L71" s="42"/>
      <c r="M71" s="42"/>
      <c r="N71" s="42"/>
      <c r="O71" s="42"/>
      <c r="P71" s="42"/>
      <c r="Q71" s="42"/>
      <c r="R71" s="42"/>
      <c r="S71" s="42"/>
      <c r="T71" s="42"/>
      <c r="U71" s="20"/>
      <c r="V71" s="20"/>
      <c r="W71" s="20"/>
      <c r="X71" s="20"/>
      <c r="Y71" s="20"/>
      <c r="Z71" s="20"/>
      <c r="AA71" s="20"/>
      <c r="AB71" s="20"/>
      <c r="AC71" s="20"/>
    </row>
    <row r="72" spans="1:29">
      <c r="A72" s="42"/>
      <c r="B72" s="42"/>
      <c r="C72" s="42"/>
      <c r="D72" s="42"/>
      <c r="E72" s="42"/>
      <c r="F72" s="42"/>
      <c r="G72" s="42"/>
      <c r="H72" s="42"/>
      <c r="I72" s="42"/>
      <c r="J72" s="42"/>
      <c r="K72" s="42"/>
      <c r="L72" s="42"/>
      <c r="M72" s="42"/>
      <c r="N72" s="42"/>
      <c r="O72" s="42"/>
      <c r="P72" s="42"/>
      <c r="Q72" s="42"/>
      <c r="R72" s="42"/>
      <c r="S72" s="42"/>
      <c r="T72" s="42"/>
      <c r="U72" s="20"/>
      <c r="V72" s="20"/>
      <c r="W72" s="20"/>
      <c r="X72" s="20"/>
      <c r="Y72" s="20"/>
      <c r="Z72" s="20"/>
      <c r="AA72" s="20"/>
      <c r="AB72" s="20"/>
      <c r="AC72" s="20"/>
    </row>
    <row r="73" spans="1:29">
      <c r="A73" s="42"/>
      <c r="B73" s="84"/>
      <c r="C73" s="42"/>
      <c r="D73" s="42"/>
      <c r="E73" s="42"/>
      <c r="F73" s="42"/>
      <c r="G73" s="42"/>
      <c r="H73" s="42"/>
      <c r="I73" s="42"/>
      <c r="J73" s="42"/>
      <c r="K73" s="42"/>
      <c r="L73" s="42"/>
      <c r="M73" s="42"/>
      <c r="N73" s="42"/>
      <c r="O73" s="42"/>
      <c r="P73" s="42"/>
      <c r="Q73" s="42"/>
      <c r="R73" s="42"/>
      <c r="S73" s="42"/>
      <c r="T73" s="42"/>
      <c r="U73" s="20"/>
      <c r="V73" s="20"/>
      <c r="W73" s="20"/>
      <c r="X73" s="20"/>
      <c r="Y73" s="20"/>
      <c r="Z73" s="20"/>
      <c r="AA73" s="20"/>
      <c r="AB73" s="20"/>
      <c r="AC73" s="20"/>
    </row>
    <row r="74" spans="1:29">
      <c r="A74" s="42"/>
      <c r="B74" s="42"/>
      <c r="C74" s="42"/>
      <c r="D74" s="42"/>
      <c r="E74" s="42"/>
      <c r="F74" s="42"/>
      <c r="G74" s="42"/>
      <c r="H74" s="42"/>
      <c r="I74" s="42"/>
      <c r="J74" s="42"/>
      <c r="K74" s="42"/>
      <c r="L74" s="42"/>
      <c r="M74" s="42"/>
      <c r="N74" s="42"/>
      <c r="O74" s="42"/>
      <c r="P74" s="42"/>
      <c r="Q74" s="42"/>
      <c r="R74" s="42"/>
      <c r="S74" s="42"/>
      <c r="T74" s="42"/>
      <c r="U74" s="20"/>
      <c r="V74" s="20"/>
      <c r="W74" s="20"/>
      <c r="X74" s="20"/>
      <c r="Y74" s="20"/>
      <c r="Z74" s="20"/>
      <c r="AA74" s="20"/>
      <c r="AB74" s="20"/>
      <c r="AC74" s="20"/>
    </row>
    <row r="75" spans="1:29">
      <c r="A75" s="42"/>
      <c r="B75" s="84"/>
      <c r="C75" s="42"/>
      <c r="D75" s="42"/>
      <c r="E75" s="42"/>
      <c r="F75" s="42"/>
      <c r="G75" s="42"/>
      <c r="H75" s="42"/>
      <c r="I75" s="42"/>
      <c r="J75" s="42"/>
      <c r="K75" s="42"/>
      <c r="L75" s="42"/>
      <c r="M75" s="42"/>
      <c r="N75" s="42"/>
      <c r="O75" s="42"/>
      <c r="P75" s="42"/>
      <c r="Q75" s="42"/>
      <c r="R75" s="42"/>
      <c r="S75" s="42"/>
      <c r="T75" s="42"/>
      <c r="U75" s="20"/>
      <c r="V75" s="20"/>
      <c r="W75" s="20"/>
      <c r="X75" s="20"/>
      <c r="Y75" s="20"/>
      <c r="Z75" s="20"/>
      <c r="AA75" s="20"/>
      <c r="AB75" s="20"/>
      <c r="AC75" s="20"/>
    </row>
    <row r="76" spans="1:29">
      <c r="A76" s="42"/>
      <c r="B76" s="42"/>
      <c r="C76" s="42"/>
      <c r="D76" s="42"/>
      <c r="E76" s="42"/>
      <c r="F76" s="42"/>
      <c r="G76" s="42"/>
      <c r="H76" s="42"/>
      <c r="I76" s="42"/>
      <c r="J76" s="42"/>
      <c r="K76" s="42"/>
      <c r="L76" s="42"/>
      <c r="M76" s="42"/>
      <c r="N76" s="42"/>
      <c r="O76" s="42"/>
      <c r="P76" s="42"/>
      <c r="Q76" s="42"/>
      <c r="R76" s="42"/>
      <c r="S76" s="42"/>
      <c r="T76" s="42"/>
      <c r="U76" s="20"/>
      <c r="V76" s="20"/>
      <c r="W76" s="20"/>
      <c r="X76" s="20"/>
      <c r="Y76" s="20"/>
      <c r="Z76" s="20"/>
      <c r="AA76" s="20"/>
      <c r="AB76" s="20"/>
      <c r="AC76" s="20"/>
    </row>
    <row r="77" spans="1:29">
      <c r="A77" s="42"/>
      <c r="B77" s="84"/>
      <c r="C77" s="42"/>
      <c r="D77" s="42"/>
      <c r="E77" s="42"/>
      <c r="F77" s="42"/>
      <c r="G77" s="42"/>
      <c r="H77" s="42"/>
      <c r="I77" s="42"/>
      <c r="J77" s="42"/>
      <c r="K77" s="42"/>
      <c r="L77" s="42"/>
      <c r="M77" s="42"/>
      <c r="N77" s="42"/>
      <c r="O77" s="42"/>
      <c r="P77" s="42"/>
      <c r="Q77" s="42"/>
      <c r="R77" s="42"/>
      <c r="S77" s="42"/>
      <c r="T77" s="42"/>
      <c r="U77" s="20"/>
      <c r="V77" s="20"/>
      <c r="W77" s="20"/>
      <c r="X77" s="20"/>
      <c r="Y77" s="20"/>
      <c r="Z77" s="20"/>
      <c r="AA77" s="20"/>
      <c r="AB77" s="20"/>
      <c r="AC77" s="20"/>
    </row>
    <row r="78" spans="1:29">
      <c r="A78" s="42"/>
      <c r="B78" s="42"/>
      <c r="C78" s="41"/>
      <c r="D78" s="42"/>
      <c r="E78" s="42"/>
      <c r="F78" s="42"/>
      <c r="G78" s="42"/>
      <c r="H78" s="42"/>
      <c r="I78" s="42"/>
      <c r="J78" s="42"/>
      <c r="K78" s="42"/>
      <c r="L78" s="42"/>
      <c r="M78" s="42"/>
      <c r="N78" s="42"/>
      <c r="O78" s="42"/>
      <c r="P78" s="42"/>
      <c r="Q78" s="42"/>
      <c r="R78" s="42"/>
      <c r="S78" s="42"/>
      <c r="T78" s="42"/>
      <c r="U78" s="20"/>
      <c r="V78" s="20"/>
      <c r="W78" s="20"/>
      <c r="X78" s="20"/>
      <c r="Y78" s="20"/>
      <c r="Z78" s="20"/>
      <c r="AA78" s="20"/>
      <c r="AB78" s="20"/>
      <c r="AC78" s="20"/>
    </row>
    <row r="79" spans="1:29">
      <c r="A79" s="42"/>
      <c r="B79" s="42"/>
      <c r="C79" s="42"/>
      <c r="D79" s="42"/>
      <c r="E79" s="42"/>
      <c r="F79" s="42"/>
      <c r="G79" s="42"/>
      <c r="H79" s="42"/>
      <c r="I79" s="42"/>
      <c r="J79" s="42"/>
      <c r="K79" s="42"/>
      <c r="L79" s="42"/>
      <c r="M79" s="42"/>
      <c r="N79" s="42"/>
      <c r="O79" s="42"/>
      <c r="P79" s="42"/>
      <c r="Q79" s="42"/>
      <c r="R79" s="42"/>
      <c r="S79" s="42"/>
      <c r="T79" s="42"/>
      <c r="U79" s="20"/>
      <c r="V79" s="20"/>
      <c r="W79" s="20"/>
      <c r="X79" s="20"/>
      <c r="Y79" s="20"/>
      <c r="Z79" s="20"/>
      <c r="AA79" s="20"/>
      <c r="AB79" s="20"/>
      <c r="AC79" s="20"/>
    </row>
    <row r="80" spans="1:29">
      <c r="A80" s="42"/>
      <c r="B80" s="84"/>
      <c r="C80" s="42"/>
      <c r="D80" s="42"/>
      <c r="E80" s="42"/>
      <c r="F80" s="42"/>
      <c r="G80" s="42"/>
      <c r="H80" s="42"/>
      <c r="I80" s="42"/>
      <c r="J80" s="42"/>
      <c r="K80" s="42"/>
      <c r="L80" s="42"/>
      <c r="M80" s="42"/>
      <c r="N80" s="42"/>
      <c r="O80" s="42"/>
      <c r="P80" s="42"/>
      <c r="Q80" s="42"/>
      <c r="R80" s="42"/>
      <c r="S80" s="42"/>
      <c r="T80" s="42"/>
      <c r="U80" s="20"/>
      <c r="V80" s="20"/>
      <c r="W80" s="20"/>
      <c r="X80" s="20"/>
      <c r="Y80" s="20"/>
      <c r="Z80" s="20"/>
      <c r="AA80" s="20"/>
      <c r="AB80" s="20"/>
      <c r="AC80" s="20"/>
    </row>
    <row r="81" spans="1:29">
      <c r="A81" s="42"/>
      <c r="B81" s="42"/>
      <c r="C81" s="41"/>
      <c r="D81" s="42"/>
      <c r="E81" s="42"/>
      <c r="F81" s="42"/>
      <c r="G81" s="42"/>
      <c r="H81" s="42"/>
      <c r="I81" s="42"/>
      <c r="J81" s="42"/>
      <c r="K81" s="42"/>
      <c r="L81" s="42"/>
      <c r="M81" s="42"/>
      <c r="N81" s="42"/>
      <c r="O81" s="42"/>
      <c r="P81" s="42"/>
      <c r="Q81" s="42"/>
      <c r="R81" s="42"/>
      <c r="S81" s="42"/>
      <c r="T81" s="42"/>
      <c r="U81" s="20"/>
      <c r="V81" s="20"/>
      <c r="W81" s="20"/>
      <c r="X81" s="20"/>
      <c r="Y81" s="20"/>
      <c r="Z81" s="20"/>
      <c r="AA81" s="20"/>
      <c r="AB81" s="20"/>
      <c r="AC81" s="20"/>
    </row>
    <row r="82" spans="1:29">
      <c r="A82" s="42"/>
      <c r="B82" s="42"/>
      <c r="C82" s="42"/>
      <c r="D82" s="42"/>
      <c r="E82" s="42"/>
      <c r="F82" s="42"/>
      <c r="G82" s="42"/>
      <c r="H82" s="42"/>
      <c r="I82" s="42"/>
      <c r="J82" s="42"/>
      <c r="K82" s="42"/>
      <c r="L82" s="42"/>
      <c r="M82" s="42"/>
      <c r="N82" s="42"/>
      <c r="O82" s="42"/>
      <c r="P82" s="42"/>
      <c r="Q82" s="42"/>
      <c r="R82" s="42"/>
      <c r="S82" s="42"/>
      <c r="T82" s="42"/>
      <c r="U82" s="20"/>
      <c r="V82" s="20"/>
      <c r="W82" s="20"/>
      <c r="X82" s="20"/>
      <c r="Y82" s="20"/>
      <c r="Z82" s="20"/>
      <c r="AA82" s="20"/>
      <c r="AB82" s="20"/>
      <c r="AC82" s="20"/>
    </row>
    <row r="83" spans="1:29">
      <c r="A83" s="41"/>
      <c r="B83" s="41"/>
      <c r="C83" s="42"/>
      <c r="D83" s="42"/>
      <c r="E83" s="42"/>
      <c r="F83" s="42"/>
      <c r="G83" s="42"/>
      <c r="H83" s="42"/>
      <c r="I83" s="42"/>
      <c r="J83" s="42"/>
      <c r="K83" s="42"/>
      <c r="L83" s="42"/>
      <c r="M83" s="42"/>
      <c r="N83" s="42"/>
      <c r="O83" s="42"/>
      <c r="P83" s="42"/>
      <c r="Q83" s="42"/>
      <c r="R83" s="42"/>
      <c r="S83" s="42"/>
      <c r="T83" s="42"/>
      <c r="U83" s="20"/>
      <c r="V83" s="20"/>
      <c r="W83" s="20"/>
      <c r="X83" s="20"/>
      <c r="Y83" s="20"/>
      <c r="Z83" s="20"/>
      <c r="AA83" s="20"/>
      <c r="AB83" s="20"/>
      <c r="AC83" s="20"/>
    </row>
    <row r="84" spans="1:29">
      <c r="A84" s="42"/>
      <c r="B84" s="42"/>
      <c r="C84" s="42"/>
      <c r="D84" s="42"/>
      <c r="E84" s="42"/>
      <c r="F84" s="42"/>
      <c r="G84" s="42"/>
      <c r="H84" s="42"/>
      <c r="I84" s="42"/>
      <c r="J84" s="42"/>
      <c r="K84" s="42"/>
      <c r="L84" s="42"/>
      <c r="M84" s="42"/>
      <c r="N84" s="42"/>
      <c r="O84" s="42"/>
      <c r="P84" s="42"/>
      <c r="Q84" s="42"/>
      <c r="R84" s="42"/>
      <c r="S84" s="42"/>
      <c r="T84" s="42"/>
      <c r="U84" s="20"/>
      <c r="V84" s="20"/>
      <c r="W84" s="20"/>
      <c r="X84" s="20"/>
      <c r="Y84" s="20"/>
      <c r="Z84" s="20"/>
      <c r="AA84" s="20"/>
      <c r="AB84" s="20"/>
      <c r="AC84" s="20"/>
    </row>
    <row r="85" spans="1:29">
      <c r="A85" s="42"/>
      <c r="B85" s="42"/>
      <c r="C85" s="42"/>
      <c r="D85" s="42"/>
      <c r="E85" s="42"/>
      <c r="F85" s="42"/>
      <c r="G85" s="42"/>
      <c r="H85" s="42"/>
      <c r="I85" s="42"/>
      <c r="J85" s="42"/>
      <c r="K85" s="42"/>
      <c r="L85" s="42"/>
      <c r="M85" s="42"/>
      <c r="N85" s="42"/>
      <c r="O85" s="42"/>
      <c r="P85" s="42"/>
      <c r="Q85" s="42"/>
      <c r="R85" s="42"/>
      <c r="S85" s="42"/>
      <c r="T85" s="42"/>
      <c r="U85" s="20"/>
      <c r="V85" s="20"/>
      <c r="W85" s="20"/>
      <c r="X85" s="20"/>
      <c r="Y85" s="20"/>
      <c r="Z85" s="20"/>
      <c r="AA85" s="20"/>
      <c r="AB85" s="20"/>
      <c r="AC85" s="20"/>
    </row>
    <row r="86" spans="1:29">
      <c r="A86" s="42"/>
      <c r="B86" s="42"/>
      <c r="C86" s="42"/>
      <c r="D86" s="42"/>
      <c r="E86" s="42"/>
      <c r="F86" s="42"/>
      <c r="G86" s="42"/>
      <c r="H86" s="42"/>
      <c r="I86" s="42"/>
      <c r="J86" s="42"/>
      <c r="K86" s="42"/>
      <c r="L86" s="42"/>
      <c r="M86" s="42"/>
      <c r="N86" s="42"/>
      <c r="O86" s="42"/>
      <c r="P86" s="42"/>
      <c r="Q86" s="42"/>
      <c r="R86" s="42"/>
      <c r="S86" s="42"/>
      <c r="T86" s="42"/>
      <c r="U86" s="20"/>
      <c r="V86" s="20"/>
      <c r="W86" s="20"/>
      <c r="X86" s="20"/>
      <c r="Y86" s="20"/>
      <c r="Z86" s="20"/>
      <c r="AA86" s="20"/>
      <c r="AB86" s="20"/>
      <c r="AC86" s="20"/>
    </row>
    <row r="87" spans="1:29">
      <c r="A87" s="42"/>
      <c r="B87" s="84"/>
      <c r="C87" s="42"/>
      <c r="D87" s="42"/>
      <c r="E87" s="42"/>
      <c r="F87" s="42"/>
      <c r="G87" s="42"/>
      <c r="H87" s="42"/>
      <c r="I87" s="42"/>
      <c r="J87" s="42"/>
      <c r="K87" s="42"/>
      <c r="L87" s="42"/>
      <c r="M87" s="42"/>
      <c r="N87" s="42"/>
      <c r="O87" s="42"/>
      <c r="P87" s="42"/>
      <c r="Q87" s="42"/>
      <c r="R87" s="42"/>
      <c r="S87" s="42"/>
      <c r="T87" s="42"/>
      <c r="U87" s="20"/>
      <c r="V87" s="20"/>
      <c r="W87" s="20"/>
      <c r="X87" s="20"/>
      <c r="Y87" s="20"/>
      <c r="Z87" s="20"/>
      <c r="AA87" s="20"/>
      <c r="AB87" s="20"/>
      <c r="AC87" s="20"/>
    </row>
    <row r="88" spans="1:29">
      <c r="A88" s="42"/>
      <c r="B88" s="42"/>
      <c r="C88" s="42"/>
      <c r="D88" s="42"/>
      <c r="E88" s="42"/>
      <c r="F88" s="42"/>
      <c r="G88" s="42"/>
      <c r="H88" s="42"/>
      <c r="I88" s="42"/>
      <c r="J88" s="42"/>
      <c r="K88" s="42"/>
      <c r="L88" s="42"/>
      <c r="M88" s="42"/>
      <c r="N88" s="42"/>
      <c r="O88" s="42"/>
      <c r="P88" s="42"/>
      <c r="Q88" s="42"/>
      <c r="R88" s="42"/>
      <c r="S88" s="42"/>
      <c r="T88" s="42"/>
      <c r="U88" s="20"/>
      <c r="V88" s="20"/>
      <c r="W88" s="20"/>
      <c r="X88" s="20"/>
      <c r="Y88" s="20"/>
      <c r="Z88" s="20"/>
      <c r="AA88" s="20"/>
      <c r="AB88" s="20"/>
      <c r="AC88" s="20"/>
    </row>
    <row r="89" spans="1:29">
      <c r="A89" s="42"/>
      <c r="B89" s="42"/>
      <c r="C89" s="42"/>
      <c r="D89" s="42"/>
      <c r="E89" s="42"/>
      <c r="F89" s="42"/>
      <c r="G89" s="42"/>
      <c r="H89" s="42"/>
      <c r="I89" s="42"/>
      <c r="J89" s="42"/>
      <c r="K89" s="42"/>
      <c r="L89" s="42"/>
      <c r="M89" s="42"/>
      <c r="N89" s="42"/>
      <c r="O89" s="42"/>
      <c r="P89" s="42"/>
      <c r="Q89" s="42"/>
      <c r="R89" s="42"/>
      <c r="S89" s="42"/>
      <c r="T89" s="42"/>
      <c r="U89" s="20"/>
      <c r="V89" s="20"/>
      <c r="W89" s="20"/>
      <c r="X89" s="20"/>
      <c r="Y89" s="20"/>
      <c r="Z89" s="20"/>
      <c r="AA89" s="20"/>
      <c r="AB89" s="20"/>
      <c r="AC89" s="20"/>
    </row>
    <row r="90" spans="1:29">
      <c r="A90" s="42"/>
      <c r="B90" s="84"/>
      <c r="C90" s="42"/>
      <c r="D90" s="42"/>
      <c r="E90" s="42"/>
      <c r="F90" s="42"/>
      <c r="G90" s="42"/>
      <c r="H90" s="42"/>
      <c r="I90" s="42"/>
      <c r="J90" s="42"/>
      <c r="K90" s="42"/>
      <c r="L90" s="42"/>
      <c r="M90" s="42"/>
      <c r="N90" s="42"/>
      <c r="O90" s="42"/>
      <c r="P90" s="42"/>
      <c r="Q90" s="42"/>
      <c r="R90" s="42"/>
      <c r="S90" s="42"/>
      <c r="T90" s="42"/>
      <c r="U90" s="20"/>
      <c r="V90" s="20"/>
      <c r="W90" s="20"/>
      <c r="X90" s="20"/>
      <c r="Y90" s="20"/>
      <c r="Z90" s="20"/>
      <c r="AA90" s="20"/>
      <c r="AB90" s="20"/>
      <c r="AC90" s="20"/>
    </row>
    <row r="91" spans="1:29">
      <c r="A91" s="42"/>
      <c r="B91" s="42"/>
      <c r="C91" s="42"/>
      <c r="D91" s="42"/>
      <c r="E91" s="42"/>
      <c r="F91" s="42"/>
      <c r="G91" s="42"/>
      <c r="H91" s="42"/>
      <c r="I91" s="42"/>
      <c r="J91" s="42"/>
      <c r="K91" s="42"/>
      <c r="L91" s="42"/>
      <c r="M91" s="42"/>
      <c r="N91" s="42"/>
      <c r="O91" s="42"/>
      <c r="P91" s="42"/>
      <c r="Q91" s="42"/>
      <c r="R91" s="42"/>
      <c r="S91" s="42"/>
      <c r="T91" s="42"/>
      <c r="U91" s="20"/>
      <c r="V91" s="20"/>
      <c r="W91" s="20"/>
      <c r="X91" s="20"/>
      <c r="Y91" s="20"/>
      <c r="Z91" s="20"/>
      <c r="AA91" s="20"/>
      <c r="AB91" s="20"/>
      <c r="AC91" s="20"/>
    </row>
    <row r="92" spans="1:29">
      <c r="A92" s="42"/>
      <c r="B92" s="42"/>
      <c r="C92" s="42"/>
      <c r="D92" s="42"/>
      <c r="E92" s="42"/>
      <c r="F92" s="42"/>
      <c r="G92" s="42"/>
      <c r="H92" s="42"/>
      <c r="I92" s="42"/>
      <c r="J92" s="42"/>
      <c r="K92" s="42"/>
      <c r="L92" s="42"/>
      <c r="M92" s="42"/>
      <c r="N92" s="42"/>
      <c r="O92" s="42"/>
      <c r="P92" s="42"/>
      <c r="Q92" s="42"/>
      <c r="R92" s="42"/>
      <c r="S92" s="42"/>
      <c r="T92" s="42"/>
      <c r="U92" s="20"/>
      <c r="V92" s="20"/>
      <c r="W92" s="20"/>
      <c r="X92" s="20"/>
      <c r="Y92" s="20"/>
      <c r="Z92" s="20"/>
      <c r="AA92" s="20"/>
      <c r="AB92" s="20"/>
      <c r="AC92" s="20"/>
    </row>
    <row r="93" spans="1:29">
      <c r="A93" s="42"/>
      <c r="B93" s="84"/>
      <c r="C93" s="84"/>
      <c r="D93" s="42"/>
      <c r="E93" s="42"/>
      <c r="F93" s="42"/>
      <c r="G93" s="42"/>
      <c r="H93" s="42"/>
      <c r="I93" s="42"/>
      <c r="J93" s="42"/>
      <c r="K93" s="42"/>
      <c r="L93" s="42"/>
      <c r="M93" s="42"/>
      <c r="N93" s="42"/>
      <c r="O93" s="42"/>
      <c r="P93" s="42"/>
      <c r="Q93" s="42"/>
      <c r="R93" s="42"/>
      <c r="S93" s="42"/>
      <c r="T93" s="42"/>
      <c r="U93" s="20"/>
      <c r="V93" s="20"/>
      <c r="W93" s="20"/>
      <c r="X93" s="20"/>
      <c r="Y93" s="20"/>
      <c r="Z93" s="20"/>
      <c r="AA93" s="20"/>
      <c r="AB93" s="20"/>
      <c r="AC93" s="20"/>
    </row>
    <row r="94" spans="1:29">
      <c r="A94" s="42"/>
      <c r="B94" s="42"/>
      <c r="C94" s="42"/>
      <c r="D94" s="42"/>
      <c r="E94" s="42"/>
      <c r="F94" s="42"/>
      <c r="G94" s="42"/>
      <c r="H94" s="42"/>
      <c r="I94" s="42"/>
      <c r="J94" s="42"/>
      <c r="K94" s="42"/>
      <c r="L94" s="42"/>
      <c r="M94" s="42"/>
      <c r="N94" s="42"/>
      <c r="O94" s="42"/>
      <c r="P94" s="42"/>
      <c r="Q94" s="42"/>
      <c r="R94" s="42"/>
      <c r="S94" s="42"/>
      <c r="T94" s="42"/>
      <c r="U94" s="20"/>
      <c r="V94" s="20"/>
      <c r="W94" s="20"/>
      <c r="X94" s="20"/>
      <c r="Y94" s="20"/>
      <c r="Z94" s="20"/>
      <c r="AA94" s="20"/>
      <c r="AB94" s="20"/>
      <c r="AC94" s="20"/>
    </row>
    <row r="95" spans="1:29">
      <c r="A95" s="41"/>
      <c r="B95" s="41"/>
      <c r="C95" s="42"/>
      <c r="D95" s="42"/>
      <c r="E95" s="42"/>
      <c r="F95" s="42"/>
      <c r="G95" s="42"/>
      <c r="H95" s="42"/>
      <c r="I95" s="42"/>
      <c r="J95" s="42"/>
      <c r="K95" s="42"/>
      <c r="L95" s="42"/>
      <c r="M95" s="42"/>
      <c r="N95" s="42"/>
      <c r="O95" s="42"/>
      <c r="P95" s="42"/>
      <c r="Q95" s="42"/>
      <c r="R95" s="42"/>
      <c r="S95" s="42"/>
      <c r="T95" s="42"/>
      <c r="U95" s="20"/>
      <c r="V95" s="20"/>
      <c r="W95" s="20"/>
      <c r="X95" s="20"/>
      <c r="Y95" s="20"/>
      <c r="Z95" s="20"/>
      <c r="AA95" s="20"/>
      <c r="AB95" s="20"/>
      <c r="AC95" s="20"/>
    </row>
    <row r="96" spans="1:29">
      <c r="A96" s="42"/>
      <c r="B96" s="42"/>
      <c r="C96" s="42"/>
      <c r="D96" s="42"/>
      <c r="E96" s="42"/>
      <c r="F96" s="42"/>
      <c r="G96" s="42"/>
      <c r="H96" s="42"/>
      <c r="I96" s="42"/>
      <c r="J96" s="42"/>
      <c r="K96" s="42"/>
      <c r="L96" s="42"/>
      <c r="M96" s="42"/>
      <c r="N96" s="42"/>
      <c r="O96" s="42"/>
      <c r="P96" s="42"/>
      <c r="Q96" s="42"/>
      <c r="R96" s="42"/>
      <c r="S96" s="42"/>
      <c r="T96" s="42"/>
      <c r="U96" s="20"/>
      <c r="V96" s="20"/>
      <c r="W96" s="20"/>
      <c r="X96" s="20"/>
      <c r="Y96" s="20"/>
      <c r="Z96" s="20"/>
      <c r="AA96" s="20"/>
      <c r="AB96" s="20"/>
      <c r="AC96" s="20"/>
    </row>
    <row r="97" spans="1:29">
      <c r="A97" s="42"/>
      <c r="B97" s="42"/>
      <c r="C97" s="42"/>
      <c r="D97" s="42"/>
      <c r="E97" s="42"/>
      <c r="F97" s="42"/>
      <c r="G97" s="42"/>
      <c r="H97" s="42"/>
      <c r="I97" s="42"/>
      <c r="J97" s="42"/>
      <c r="K97" s="42"/>
      <c r="L97" s="42"/>
      <c r="M97" s="42"/>
      <c r="N97" s="42"/>
      <c r="O97" s="42"/>
      <c r="P97" s="42"/>
      <c r="Q97" s="42"/>
      <c r="R97" s="42"/>
      <c r="S97" s="42"/>
      <c r="T97" s="42"/>
      <c r="U97" s="20"/>
      <c r="V97" s="20"/>
      <c r="W97" s="20"/>
      <c r="X97" s="20"/>
      <c r="Y97" s="20"/>
      <c r="Z97" s="20"/>
      <c r="AA97" s="20"/>
      <c r="AB97" s="20"/>
      <c r="AC97" s="20"/>
    </row>
    <row r="98" spans="1:29">
      <c r="A98" s="42"/>
      <c r="B98" s="84"/>
      <c r="C98" s="42"/>
      <c r="D98" s="42"/>
      <c r="E98" s="42"/>
      <c r="F98" s="42"/>
      <c r="G98" s="42"/>
      <c r="H98" s="42"/>
      <c r="I98" s="42"/>
      <c r="J98" s="42"/>
      <c r="K98" s="42"/>
      <c r="L98" s="42"/>
      <c r="M98" s="42"/>
      <c r="N98" s="42"/>
      <c r="O98" s="42"/>
      <c r="P98" s="42"/>
      <c r="Q98" s="42"/>
      <c r="R98" s="42"/>
      <c r="S98" s="42"/>
      <c r="T98" s="42"/>
      <c r="U98" s="20"/>
      <c r="V98" s="20"/>
      <c r="W98" s="20"/>
      <c r="X98" s="20"/>
      <c r="Y98" s="20"/>
      <c r="Z98" s="20"/>
      <c r="AA98" s="20"/>
      <c r="AB98" s="20"/>
      <c r="AC98" s="20"/>
    </row>
    <row r="99" spans="1:29">
      <c r="A99" s="42"/>
      <c r="B99" s="42"/>
      <c r="C99" s="42"/>
      <c r="D99" s="42"/>
      <c r="E99" s="42"/>
      <c r="F99" s="42"/>
      <c r="G99" s="42"/>
      <c r="H99" s="42"/>
      <c r="I99" s="42"/>
      <c r="J99" s="42"/>
      <c r="K99" s="42"/>
      <c r="L99" s="42"/>
      <c r="M99" s="42"/>
      <c r="N99" s="42"/>
      <c r="O99" s="42"/>
      <c r="P99" s="42"/>
      <c r="Q99" s="42"/>
      <c r="R99" s="42"/>
      <c r="S99" s="42"/>
      <c r="T99" s="42"/>
      <c r="U99" s="20"/>
      <c r="V99" s="20"/>
      <c r="W99" s="20"/>
      <c r="X99" s="20"/>
      <c r="Y99" s="20"/>
      <c r="Z99" s="20"/>
      <c r="AA99" s="20"/>
      <c r="AB99" s="20"/>
      <c r="AC99" s="20"/>
    </row>
    <row r="100" spans="1:29">
      <c r="A100" s="42"/>
      <c r="B100" s="84"/>
      <c r="C100" s="42"/>
      <c r="D100" s="42"/>
      <c r="E100" s="42"/>
      <c r="F100" s="42"/>
      <c r="G100" s="42"/>
      <c r="H100" s="42"/>
      <c r="I100" s="42"/>
      <c r="J100" s="42"/>
      <c r="K100" s="42"/>
      <c r="L100" s="42"/>
      <c r="M100" s="42"/>
      <c r="N100" s="42"/>
      <c r="O100" s="42"/>
      <c r="P100" s="42"/>
      <c r="Q100" s="42"/>
      <c r="R100" s="42"/>
      <c r="S100" s="42"/>
      <c r="T100" s="42"/>
      <c r="U100" s="20"/>
      <c r="V100" s="20"/>
      <c r="W100" s="20"/>
      <c r="X100" s="20"/>
      <c r="Y100" s="20"/>
      <c r="Z100" s="20"/>
      <c r="AA100" s="20"/>
      <c r="AB100" s="20"/>
      <c r="AC100" s="20"/>
    </row>
    <row r="101" spans="1:29">
      <c r="A101" s="42"/>
      <c r="B101" s="42"/>
      <c r="C101" s="42"/>
      <c r="D101" s="42"/>
      <c r="E101" s="42"/>
      <c r="F101" s="42"/>
      <c r="G101" s="42"/>
      <c r="H101" s="42"/>
      <c r="I101" s="42"/>
      <c r="J101" s="42"/>
      <c r="K101" s="42"/>
      <c r="L101" s="42"/>
      <c r="M101" s="42"/>
      <c r="N101" s="42"/>
      <c r="O101" s="42"/>
      <c r="P101" s="42"/>
      <c r="Q101" s="42"/>
      <c r="R101" s="42"/>
      <c r="S101" s="42"/>
      <c r="T101" s="42"/>
      <c r="U101" s="20"/>
      <c r="V101" s="20"/>
      <c r="W101" s="20"/>
      <c r="X101" s="20"/>
      <c r="Y101" s="20"/>
      <c r="Z101" s="20"/>
      <c r="AA101" s="20"/>
      <c r="AB101" s="20"/>
      <c r="AC101" s="20"/>
    </row>
    <row r="102" spans="1:29">
      <c r="A102" s="42"/>
      <c r="B102" s="84"/>
      <c r="C102" s="42"/>
      <c r="D102" s="42"/>
      <c r="E102" s="42"/>
      <c r="F102" s="42"/>
      <c r="G102" s="42"/>
      <c r="H102" s="42"/>
      <c r="I102" s="42"/>
      <c r="J102" s="42"/>
      <c r="K102" s="42"/>
      <c r="L102" s="42"/>
      <c r="M102" s="42"/>
      <c r="N102" s="42"/>
      <c r="O102" s="42"/>
      <c r="P102" s="42"/>
      <c r="Q102" s="42"/>
      <c r="R102" s="42"/>
      <c r="S102" s="42"/>
      <c r="T102" s="42"/>
      <c r="U102" s="20"/>
      <c r="V102" s="20"/>
      <c r="W102" s="20"/>
      <c r="X102" s="20"/>
      <c r="Y102" s="20"/>
      <c r="Z102" s="20"/>
      <c r="AA102" s="20"/>
      <c r="AB102" s="20"/>
      <c r="AC102" s="20"/>
    </row>
    <row r="103" spans="1:29">
      <c r="A103" s="42"/>
      <c r="B103" s="42"/>
      <c r="C103" s="42"/>
      <c r="D103" s="42"/>
      <c r="E103" s="42"/>
      <c r="F103" s="42"/>
      <c r="G103" s="42"/>
      <c r="H103" s="42"/>
      <c r="I103" s="42"/>
      <c r="J103" s="42"/>
      <c r="K103" s="42"/>
      <c r="L103" s="42"/>
      <c r="M103" s="42"/>
      <c r="N103" s="42"/>
      <c r="O103" s="42"/>
      <c r="P103" s="42"/>
      <c r="Q103" s="42"/>
      <c r="R103" s="42"/>
      <c r="S103" s="42"/>
      <c r="T103" s="42"/>
      <c r="U103" s="20"/>
      <c r="V103" s="20"/>
      <c r="W103" s="20"/>
      <c r="X103" s="20"/>
      <c r="Y103" s="20"/>
      <c r="Z103" s="20"/>
      <c r="AA103" s="20"/>
      <c r="AB103" s="20"/>
      <c r="AC103" s="20"/>
    </row>
    <row r="104" spans="1:29">
      <c r="A104" s="42"/>
      <c r="B104" s="84"/>
      <c r="C104" s="42"/>
      <c r="D104" s="42"/>
      <c r="E104" s="42"/>
      <c r="F104" s="42"/>
      <c r="G104" s="42"/>
      <c r="H104" s="42"/>
      <c r="I104" s="42"/>
      <c r="J104" s="42"/>
      <c r="K104" s="42"/>
      <c r="L104" s="42"/>
      <c r="M104" s="42"/>
      <c r="N104" s="42"/>
      <c r="O104" s="42"/>
      <c r="P104" s="42"/>
      <c r="Q104" s="42"/>
      <c r="R104" s="42"/>
      <c r="S104" s="42"/>
      <c r="T104" s="42"/>
      <c r="U104" s="20"/>
      <c r="V104" s="20"/>
      <c r="W104" s="20"/>
      <c r="X104" s="20"/>
      <c r="Y104" s="20"/>
      <c r="Z104" s="20"/>
      <c r="AA104" s="20"/>
      <c r="AB104" s="20"/>
      <c r="AC104" s="20"/>
    </row>
    <row r="105" spans="1:29">
      <c r="A105" s="42"/>
      <c r="B105" s="42"/>
      <c r="C105" s="42"/>
      <c r="D105" s="42"/>
      <c r="E105" s="42"/>
      <c r="F105" s="42"/>
      <c r="G105" s="42"/>
      <c r="H105" s="42"/>
      <c r="I105" s="42"/>
      <c r="J105" s="42"/>
      <c r="K105" s="42"/>
      <c r="L105" s="42"/>
      <c r="M105" s="42"/>
      <c r="N105" s="42"/>
      <c r="O105" s="42"/>
      <c r="P105" s="42"/>
      <c r="Q105" s="42"/>
      <c r="R105" s="42"/>
      <c r="S105" s="42"/>
      <c r="T105" s="42"/>
      <c r="U105" s="20"/>
      <c r="V105" s="20"/>
      <c r="W105" s="20"/>
      <c r="X105" s="20"/>
      <c r="Y105" s="20"/>
      <c r="Z105" s="20"/>
      <c r="AA105" s="20"/>
      <c r="AB105" s="20"/>
      <c r="AC105" s="20"/>
    </row>
    <row r="106" spans="1:29">
      <c r="A106" s="42"/>
      <c r="B106" s="42"/>
      <c r="C106" s="42"/>
      <c r="D106" s="42"/>
      <c r="E106" s="42"/>
      <c r="F106" s="42"/>
      <c r="G106" s="42"/>
      <c r="H106" s="42"/>
      <c r="I106" s="42"/>
      <c r="J106" s="42"/>
      <c r="K106" s="42"/>
      <c r="L106" s="42"/>
      <c r="M106" s="42"/>
      <c r="N106" s="42"/>
      <c r="O106" s="42"/>
      <c r="P106" s="42"/>
      <c r="Q106" s="42"/>
      <c r="R106" s="42"/>
      <c r="S106" s="42"/>
      <c r="T106" s="42"/>
      <c r="U106" s="20"/>
      <c r="V106" s="20"/>
      <c r="W106" s="20"/>
      <c r="X106" s="20"/>
      <c r="Y106" s="20"/>
      <c r="Z106" s="20"/>
      <c r="AA106" s="20"/>
      <c r="AB106" s="20"/>
      <c r="AC106" s="20"/>
    </row>
    <row r="107" spans="1:29">
      <c r="A107" s="42"/>
      <c r="B107" s="42"/>
      <c r="C107" s="42"/>
      <c r="D107" s="42"/>
      <c r="E107" s="42"/>
      <c r="F107" s="42"/>
      <c r="G107" s="42"/>
      <c r="H107" s="42"/>
      <c r="I107" s="42"/>
      <c r="J107" s="42"/>
      <c r="K107" s="42"/>
      <c r="L107" s="42"/>
      <c r="M107" s="42"/>
      <c r="N107" s="42"/>
      <c r="O107" s="42"/>
      <c r="P107" s="42"/>
      <c r="Q107" s="42"/>
      <c r="R107" s="42"/>
      <c r="S107" s="42"/>
      <c r="T107" s="42"/>
      <c r="U107" s="20"/>
      <c r="V107" s="20"/>
      <c r="W107" s="20"/>
      <c r="X107" s="20"/>
      <c r="Y107" s="20"/>
      <c r="Z107" s="20"/>
      <c r="AA107" s="20"/>
      <c r="AB107" s="20"/>
      <c r="AC107" s="20"/>
    </row>
    <row r="108" spans="1:29">
      <c r="A108" s="42"/>
      <c r="B108" s="42"/>
      <c r="C108" s="42"/>
      <c r="D108" s="42"/>
      <c r="E108" s="42"/>
      <c r="F108" s="42"/>
      <c r="G108" s="42"/>
      <c r="H108" s="42"/>
      <c r="I108" s="42"/>
      <c r="J108" s="42"/>
      <c r="K108" s="42"/>
      <c r="L108" s="42"/>
      <c r="M108" s="42"/>
      <c r="N108" s="42"/>
      <c r="O108" s="42"/>
      <c r="P108" s="42"/>
      <c r="Q108" s="42"/>
      <c r="R108" s="42"/>
      <c r="S108" s="42"/>
      <c r="T108" s="42"/>
      <c r="U108" s="20"/>
      <c r="V108" s="20"/>
      <c r="W108" s="20"/>
      <c r="X108" s="20"/>
      <c r="Y108" s="20"/>
      <c r="Z108" s="20"/>
      <c r="AA108" s="20"/>
      <c r="AB108" s="20"/>
      <c r="AC108" s="20"/>
    </row>
    <row r="109" spans="1:29">
      <c r="A109" s="42"/>
      <c r="B109" s="42"/>
      <c r="C109" s="42"/>
      <c r="D109" s="42"/>
      <c r="E109" s="42"/>
      <c r="F109" s="42"/>
      <c r="G109" s="42"/>
      <c r="H109" s="42"/>
      <c r="I109" s="42"/>
      <c r="J109" s="42"/>
      <c r="K109" s="42"/>
      <c r="L109" s="42"/>
      <c r="M109" s="42"/>
      <c r="N109" s="42"/>
      <c r="O109" s="42"/>
      <c r="P109" s="42"/>
      <c r="Q109" s="42"/>
      <c r="R109" s="42"/>
      <c r="S109" s="42"/>
      <c r="T109" s="42"/>
      <c r="U109" s="20"/>
      <c r="V109" s="20"/>
      <c r="W109" s="20"/>
      <c r="X109" s="20"/>
      <c r="Y109" s="20"/>
      <c r="Z109" s="20"/>
      <c r="AA109" s="20"/>
      <c r="AB109" s="20"/>
      <c r="AC109" s="20"/>
    </row>
    <row r="110" spans="1:29">
      <c r="A110" s="42"/>
      <c r="B110" s="42"/>
      <c r="C110" s="42"/>
      <c r="D110" s="42"/>
      <c r="E110" s="42"/>
      <c r="F110" s="42"/>
      <c r="G110" s="42"/>
      <c r="H110" s="42"/>
      <c r="I110" s="42"/>
      <c r="J110" s="42"/>
      <c r="K110" s="42"/>
      <c r="L110" s="42"/>
      <c r="M110" s="42"/>
      <c r="N110" s="42"/>
      <c r="O110" s="42"/>
      <c r="P110" s="42"/>
      <c r="Q110" s="42"/>
      <c r="R110" s="42"/>
      <c r="S110" s="42"/>
      <c r="T110" s="42"/>
      <c r="U110" s="20"/>
      <c r="V110" s="20"/>
      <c r="W110" s="20"/>
      <c r="X110" s="20"/>
      <c r="Y110" s="20"/>
      <c r="Z110" s="20"/>
      <c r="AA110" s="20"/>
      <c r="AB110" s="20"/>
      <c r="AC110" s="20"/>
    </row>
    <row r="111" spans="1:29">
      <c r="A111" s="42"/>
      <c r="B111" s="42"/>
      <c r="C111" s="42"/>
      <c r="D111" s="42"/>
      <c r="E111" s="42"/>
      <c r="F111" s="42"/>
      <c r="G111" s="42"/>
      <c r="H111" s="42"/>
      <c r="I111" s="42"/>
      <c r="J111" s="42"/>
      <c r="K111" s="42"/>
      <c r="L111" s="42"/>
      <c r="M111" s="42"/>
      <c r="N111" s="42"/>
      <c r="O111" s="42"/>
      <c r="P111" s="42"/>
      <c r="Q111" s="42"/>
      <c r="R111" s="42"/>
      <c r="S111" s="42"/>
      <c r="T111" s="42"/>
      <c r="U111" s="20"/>
      <c r="V111" s="20"/>
      <c r="W111" s="20"/>
      <c r="X111" s="20"/>
      <c r="Y111" s="20"/>
      <c r="Z111" s="20"/>
      <c r="AA111" s="20"/>
      <c r="AB111" s="20"/>
      <c r="AC111" s="20"/>
    </row>
    <row r="112" spans="1:29">
      <c r="A112" s="42"/>
      <c r="B112" s="42"/>
      <c r="C112" s="42"/>
      <c r="D112" s="42"/>
      <c r="E112" s="42"/>
      <c r="F112" s="42"/>
      <c r="G112" s="42"/>
      <c r="H112" s="42"/>
      <c r="I112" s="42"/>
      <c r="J112" s="42"/>
      <c r="K112" s="42"/>
      <c r="L112" s="42"/>
      <c r="M112" s="42"/>
      <c r="N112" s="42"/>
      <c r="O112" s="42"/>
      <c r="P112" s="42"/>
      <c r="Q112" s="42"/>
      <c r="R112" s="42"/>
      <c r="S112" s="42"/>
      <c r="T112" s="42"/>
      <c r="U112" s="20"/>
      <c r="V112" s="20"/>
      <c r="W112" s="20"/>
      <c r="X112" s="20"/>
      <c r="Y112" s="20"/>
      <c r="Z112" s="20"/>
      <c r="AA112" s="20"/>
      <c r="AB112" s="20"/>
      <c r="AC112" s="20"/>
    </row>
    <row r="113" spans="1:29">
      <c r="A113" s="42"/>
      <c r="B113" s="42"/>
      <c r="C113" s="42"/>
      <c r="D113" s="42"/>
      <c r="E113" s="42"/>
      <c r="F113" s="42"/>
      <c r="G113" s="42"/>
      <c r="H113" s="42"/>
      <c r="I113" s="42"/>
      <c r="J113" s="42"/>
      <c r="K113" s="42"/>
      <c r="L113" s="42"/>
      <c r="M113" s="42"/>
      <c r="N113" s="42"/>
      <c r="O113" s="42"/>
      <c r="P113" s="42"/>
      <c r="Q113" s="42"/>
      <c r="R113" s="42"/>
      <c r="S113" s="42"/>
      <c r="T113" s="42"/>
      <c r="U113" s="20"/>
      <c r="V113" s="20"/>
      <c r="W113" s="20"/>
      <c r="X113" s="20"/>
      <c r="Y113" s="20"/>
      <c r="Z113" s="20"/>
      <c r="AA113" s="20"/>
      <c r="AB113" s="20"/>
      <c r="AC113" s="20"/>
    </row>
    <row r="114" spans="1:29">
      <c r="A114" s="42"/>
      <c r="B114" s="42"/>
      <c r="C114" s="42"/>
      <c r="D114" s="42"/>
      <c r="E114" s="42"/>
      <c r="F114" s="42"/>
      <c r="G114" s="42"/>
      <c r="H114" s="42"/>
      <c r="I114" s="42"/>
      <c r="J114" s="42"/>
      <c r="K114" s="42"/>
      <c r="L114" s="42"/>
      <c r="M114" s="42"/>
      <c r="N114" s="42"/>
      <c r="O114" s="42"/>
      <c r="P114" s="42"/>
      <c r="Q114" s="42"/>
      <c r="R114" s="42"/>
      <c r="S114" s="42"/>
      <c r="T114" s="42"/>
      <c r="U114" s="20"/>
      <c r="V114" s="20"/>
      <c r="W114" s="20"/>
      <c r="X114" s="20"/>
      <c r="Y114" s="20"/>
      <c r="Z114" s="20"/>
      <c r="AA114" s="20"/>
      <c r="AB114" s="20"/>
      <c r="AC114" s="20"/>
    </row>
    <row r="115" spans="1:29">
      <c r="A115" s="42"/>
      <c r="B115" s="42"/>
      <c r="C115" s="42"/>
      <c r="D115" s="42"/>
      <c r="E115" s="42"/>
      <c r="F115" s="42"/>
      <c r="G115" s="42"/>
      <c r="H115" s="42"/>
      <c r="I115" s="42"/>
      <c r="J115" s="42"/>
      <c r="K115" s="42"/>
      <c r="L115" s="42"/>
      <c r="M115" s="42"/>
      <c r="N115" s="42"/>
      <c r="O115" s="42"/>
      <c r="P115" s="42"/>
      <c r="Q115" s="42"/>
      <c r="R115" s="42"/>
      <c r="S115" s="42"/>
      <c r="T115" s="42"/>
      <c r="U115" s="20"/>
      <c r="V115" s="20"/>
      <c r="W115" s="20"/>
      <c r="X115" s="20"/>
      <c r="Y115" s="20"/>
      <c r="Z115" s="20"/>
      <c r="AA115" s="20"/>
      <c r="AB115" s="20"/>
      <c r="AC115" s="20"/>
    </row>
    <row r="116" spans="1:29">
      <c r="A116" s="20"/>
      <c r="B116" s="20"/>
      <c r="C116" s="20"/>
      <c r="D116" s="20"/>
      <c r="E116" s="20"/>
      <c r="F116" s="20"/>
      <c r="G116" s="20"/>
      <c r="H116" s="20"/>
      <c r="I116" s="20"/>
      <c r="J116" s="20"/>
      <c r="K116" s="20"/>
      <c r="L116" s="20"/>
      <c r="M116" s="20"/>
      <c r="N116" s="20"/>
      <c r="O116" s="20"/>
      <c r="P116" s="20"/>
      <c r="Q116" s="20"/>
      <c r="R116" s="20"/>
      <c r="S116" s="20"/>
      <c r="T116" s="20"/>
      <c r="U116" s="20"/>
      <c r="V116" s="20"/>
      <c r="W116" s="20"/>
      <c r="X116" s="20"/>
      <c r="Y116" s="20"/>
      <c r="Z116" s="20"/>
      <c r="AA116" s="20"/>
      <c r="AB116" s="20"/>
      <c r="AC116" s="20"/>
    </row>
    <row r="117" spans="1:29">
      <c r="A117" s="20"/>
      <c r="B117" s="20"/>
      <c r="C117" s="20"/>
      <c r="D117" s="20"/>
      <c r="E117" s="20"/>
      <c r="F117" s="20"/>
      <c r="G117" s="20"/>
      <c r="H117" s="20"/>
      <c r="I117" s="20"/>
      <c r="J117" s="20"/>
      <c r="K117" s="20"/>
      <c r="L117" s="20"/>
      <c r="M117" s="20"/>
      <c r="N117" s="20"/>
      <c r="O117" s="20"/>
      <c r="P117" s="20"/>
      <c r="Q117" s="20"/>
      <c r="R117" s="20"/>
      <c r="S117" s="20"/>
      <c r="T117" s="20"/>
      <c r="U117" s="20"/>
      <c r="V117" s="20"/>
      <c r="W117" s="20"/>
      <c r="X117" s="20"/>
      <c r="Y117" s="20"/>
      <c r="Z117" s="20"/>
      <c r="AA117" s="20"/>
      <c r="AB117" s="20"/>
      <c r="AC117" s="20"/>
    </row>
    <row r="118" spans="1:29">
      <c r="A118" s="20"/>
      <c r="B118" s="20"/>
      <c r="C118" s="20"/>
      <c r="D118" s="20"/>
      <c r="E118" s="20"/>
      <c r="F118" s="20"/>
      <c r="G118" s="20"/>
      <c r="H118" s="20"/>
      <c r="I118" s="20"/>
      <c r="J118" s="20"/>
      <c r="K118" s="20"/>
      <c r="L118" s="20"/>
      <c r="M118" s="20"/>
      <c r="N118" s="20"/>
      <c r="O118" s="20"/>
      <c r="P118" s="20"/>
      <c r="Q118" s="20"/>
      <c r="R118" s="20"/>
      <c r="S118" s="20"/>
      <c r="T118" s="20"/>
      <c r="U118" s="20"/>
      <c r="V118" s="20"/>
      <c r="W118" s="20"/>
      <c r="X118" s="20"/>
      <c r="Y118" s="20"/>
      <c r="Z118" s="20"/>
      <c r="AA118" s="20"/>
      <c r="AB118" s="20"/>
      <c r="AC118" s="20"/>
    </row>
    <row r="119" spans="1:29">
      <c r="A119" s="20"/>
      <c r="B119" s="20"/>
      <c r="C119" s="20"/>
      <c r="D119" s="20"/>
      <c r="E119" s="20"/>
      <c r="F119" s="20"/>
      <c r="G119" s="20"/>
      <c r="H119" s="20"/>
      <c r="I119" s="20"/>
      <c r="J119" s="20"/>
      <c r="K119" s="20"/>
      <c r="L119" s="20"/>
      <c r="M119" s="20"/>
      <c r="N119" s="20"/>
      <c r="O119" s="20"/>
      <c r="P119" s="20"/>
      <c r="Q119" s="20"/>
      <c r="R119" s="20"/>
      <c r="S119" s="20"/>
      <c r="T119" s="20"/>
      <c r="U119" s="20"/>
      <c r="V119" s="20"/>
      <c r="W119" s="20"/>
      <c r="X119" s="20"/>
      <c r="Y119" s="20"/>
      <c r="Z119" s="20"/>
      <c r="AA119" s="20"/>
      <c r="AB119" s="20"/>
      <c r="AC119" s="20"/>
    </row>
    <row r="120" spans="1:29">
      <c r="A120" s="20"/>
      <c r="B120" s="20"/>
      <c r="C120" s="20"/>
      <c r="D120" s="20"/>
      <c r="E120" s="20"/>
      <c r="F120" s="20"/>
      <c r="G120" s="20"/>
      <c r="H120" s="20"/>
      <c r="I120" s="20"/>
      <c r="J120" s="20"/>
      <c r="K120" s="20"/>
      <c r="L120" s="20"/>
      <c r="M120" s="20"/>
      <c r="N120" s="20"/>
      <c r="O120" s="20"/>
      <c r="P120" s="20"/>
      <c r="Q120" s="20"/>
      <c r="R120" s="20"/>
      <c r="S120" s="20"/>
      <c r="T120" s="20"/>
      <c r="U120" s="20"/>
      <c r="V120" s="20"/>
      <c r="W120" s="20"/>
      <c r="X120" s="20"/>
      <c r="Y120" s="20"/>
      <c r="Z120" s="20"/>
      <c r="AA120" s="20"/>
      <c r="AB120" s="20"/>
      <c r="AC120" s="20"/>
    </row>
    <row r="121" spans="1:29">
      <c r="A121" s="20"/>
      <c r="B121" s="20"/>
      <c r="C121" s="20"/>
      <c r="D121" s="20"/>
      <c r="E121" s="20"/>
      <c r="F121" s="20"/>
      <c r="G121" s="20"/>
      <c r="H121" s="20"/>
      <c r="I121" s="20"/>
      <c r="J121" s="20"/>
      <c r="K121" s="20"/>
      <c r="L121" s="20"/>
      <c r="M121" s="20"/>
      <c r="N121" s="20"/>
      <c r="O121" s="20"/>
      <c r="P121" s="20"/>
      <c r="Q121" s="20"/>
      <c r="R121" s="20"/>
      <c r="S121" s="20"/>
      <c r="T121" s="20"/>
      <c r="U121" s="20"/>
      <c r="V121" s="20"/>
      <c r="W121" s="20"/>
      <c r="X121" s="20"/>
      <c r="Y121" s="20"/>
      <c r="Z121" s="20"/>
      <c r="AA121" s="20"/>
      <c r="AB121" s="20"/>
      <c r="AC121" s="20"/>
    </row>
    <row r="122" spans="1:29">
      <c r="A122" s="20"/>
      <c r="B122" s="20"/>
      <c r="C122" s="20"/>
      <c r="D122" s="20"/>
      <c r="E122" s="20"/>
      <c r="F122" s="20"/>
      <c r="G122" s="20"/>
      <c r="H122" s="20"/>
      <c r="I122" s="20"/>
      <c r="J122" s="20"/>
      <c r="K122" s="20"/>
      <c r="L122" s="20"/>
      <c r="M122" s="20"/>
      <c r="N122" s="20"/>
      <c r="O122" s="20"/>
      <c r="P122" s="20"/>
      <c r="Q122" s="20"/>
      <c r="R122" s="20"/>
      <c r="S122" s="20"/>
      <c r="T122" s="20"/>
      <c r="U122" s="20"/>
      <c r="V122" s="20"/>
      <c r="W122" s="20"/>
      <c r="X122" s="20"/>
      <c r="Y122" s="20"/>
      <c r="Z122" s="20"/>
      <c r="AA122" s="20"/>
      <c r="AB122" s="20"/>
      <c r="AC122" s="20"/>
    </row>
    <row r="123" spans="1:29">
      <c r="A123" s="20"/>
      <c r="B123" s="20"/>
      <c r="C123" s="20"/>
      <c r="D123" s="20"/>
      <c r="E123" s="20"/>
      <c r="F123" s="20"/>
      <c r="G123" s="20"/>
      <c r="H123" s="20"/>
      <c r="I123" s="20"/>
      <c r="J123" s="20"/>
      <c r="K123" s="20"/>
      <c r="L123" s="20"/>
      <c r="M123" s="20"/>
      <c r="N123" s="20"/>
      <c r="O123" s="20"/>
      <c r="P123" s="20"/>
      <c r="Q123" s="20"/>
      <c r="R123" s="20"/>
      <c r="S123" s="20"/>
      <c r="T123" s="20"/>
      <c r="U123" s="20"/>
      <c r="V123" s="20"/>
      <c r="W123" s="20"/>
      <c r="X123" s="20"/>
      <c r="Y123" s="20"/>
      <c r="Z123" s="20"/>
      <c r="AA123" s="20"/>
      <c r="AB123" s="20"/>
      <c r="AC123" s="20"/>
    </row>
    <row r="124" spans="1:29">
      <c r="A124" s="20"/>
      <c r="B124" s="20"/>
      <c r="C124" s="20"/>
      <c r="D124" s="20"/>
      <c r="E124" s="20"/>
      <c r="F124" s="20"/>
      <c r="G124" s="20"/>
      <c r="H124" s="20"/>
      <c r="I124" s="20"/>
      <c r="J124" s="20"/>
      <c r="K124" s="20"/>
      <c r="L124" s="20"/>
      <c r="M124" s="20"/>
      <c r="N124" s="20"/>
      <c r="O124" s="20"/>
      <c r="P124" s="20"/>
      <c r="Q124" s="20"/>
      <c r="R124" s="20"/>
      <c r="S124" s="20"/>
      <c r="T124" s="20"/>
      <c r="U124" s="20"/>
      <c r="V124" s="20"/>
      <c r="W124" s="20"/>
      <c r="X124" s="20"/>
      <c r="Y124" s="20"/>
      <c r="Z124" s="20"/>
      <c r="AA124" s="20"/>
      <c r="AB124" s="20"/>
      <c r="AC124" s="20"/>
    </row>
    <row r="125" spans="1:29">
      <c r="A125" s="20"/>
      <c r="B125" s="20"/>
      <c r="C125" s="20"/>
      <c r="D125" s="20"/>
      <c r="E125" s="20"/>
      <c r="F125" s="20"/>
      <c r="G125" s="20"/>
      <c r="H125" s="20"/>
      <c r="I125" s="20"/>
      <c r="J125" s="20"/>
      <c r="K125" s="20"/>
      <c r="L125" s="20"/>
      <c r="M125" s="20"/>
      <c r="N125" s="20"/>
      <c r="O125" s="20"/>
      <c r="P125" s="20"/>
      <c r="Q125" s="20"/>
      <c r="R125" s="20"/>
      <c r="S125" s="20"/>
      <c r="T125" s="20"/>
      <c r="U125" s="20"/>
      <c r="V125" s="20"/>
      <c r="W125" s="20"/>
      <c r="X125" s="20"/>
      <c r="Y125" s="20"/>
      <c r="Z125" s="20"/>
      <c r="AA125" s="20"/>
      <c r="AB125" s="20"/>
      <c r="AC125" s="20"/>
    </row>
    <row r="126" spans="1:29">
      <c r="A126" s="20"/>
      <c r="B126" s="20"/>
      <c r="C126" s="20"/>
      <c r="D126" s="20"/>
      <c r="E126" s="20"/>
      <c r="F126" s="20"/>
      <c r="G126" s="20"/>
      <c r="H126" s="20"/>
      <c r="I126" s="20"/>
      <c r="J126" s="20"/>
      <c r="K126" s="20"/>
      <c r="L126" s="20"/>
      <c r="M126" s="20"/>
      <c r="N126" s="20"/>
      <c r="O126" s="20"/>
      <c r="P126" s="20"/>
      <c r="Q126" s="20"/>
      <c r="R126" s="20"/>
      <c r="S126" s="20"/>
      <c r="T126" s="20"/>
      <c r="U126" s="20"/>
      <c r="V126" s="20"/>
      <c r="W126" s="20"/>
      <c r="X126" s="20"/>
      <c r="Y126" s="20"/>
      <c r="Z126" s="20"/>
      <c r="AA126" s="20"/>
      <c r="AB126" s="20"/>
      <c r="AC126" s="20"/>
    </row>
    <row r="127" spans="1:29">
      <c r="A127" s="20"/>
      <c r="B127" s="20"/>
      <c r="C127" s="20"/>
      <c r="D127" s="20"/>
      <c r="E127" s="20"/>
      <c r="F127" s="20"/>
      <c r="G127" s="20"/>
      <c r="H127" s="20"/>
      <c r="I127" s="20"/>
      <c r="J127" s="20"/>
      <c r="K127" s="20"/>
      <c r="L127" s="20"/>
      <c r="M127" s="20"/>
      <c r="N127" s="20"/>
      <c r="O127" s="20"/>
      <c r="P127" s="20"/>
      <c r="Q127" s="20"/>
      <c r="R127" s="20"/>
      <c r="S127" s="20"/>
      <c r="T127" s="20"/>
      <c r="U127" s="20"/>
      <c r="V127" s="20"/>
      <c r="W127" s="20"/>
      <c r="X127" s="20"/>
      <c r="Y127" s="20"/>
      <c r="Z127" s="20"/>
      <c r="AA127" s="20"/>
      <c r="AB127" s="20"/>
      <c r="AC127" s="20"/>
    </row>
    <row r="128" spans="1:29">
      <c r="A128" s="20"/>
      <c r="B128" s="20"/>
      <c r="C128" s="20"/>
      <c r="D128" s="20"/>
      <c r="E128" s="20"/>
      <c r="F128" s="20"/>
      <c r="G128" s="20"/>
      <c r="H128" s="20"/>
      <c r="I128" s="20"/>
      <c r="J128" s="20"/>
      <c r="K128" s="20"/>
      <c r="L128" s="20"/>
      <c r="M128" s="20"/>
      <c r="N128" s="20"/>
      <c r="O128" s="20"/>
      <c r="P128" s="20"/>
      <c r="Q128" s="20"/>
      <c r="R128" s="20"/>
      <c r="S128" s="20"/>
      <c r="T128" s="20"/>
      <c r="U128" s="20"/>
      <c r="V128" s="20"/>
      <c r="W128" s="20"/>
      <c r="X128" s="20"/>
      <c r="Y128" s="20"/>
      <c r="Z128" s="20"/>
      <c r="AA128" s="20"/>
      <c r="AB128" s="20"/>
      <c r="AC128" s="20"/>
    </row>
    <row r="129" spans="1:29">
      <c r="A129" s="20"/>
      <c r="B129" s="20"/>
      <c r="C129" s="20"/>
      <c r="D129" s="20"/>
      <c r="E129" s="20"/>
      <c r="F129" s="20"/>
      <c r="G129" s="20"/>
      <c r="H129" s="20"/>
      <c r="I129" s="20"/>
      <c r="J129" s="20"/>
      <c r="K129" s="20"/>
      <c r="L129" s="20"/>
      <c r="M129" s="20"/>
      <c r="N129" s="20"/>
      <c r="O129" s="20"/>
      <c r="P129" s="20"/>
      <c r="Q129" s="20"/>
      <c r="R129" s="20"/>
      <c r="S129" s="20"/>
      <c r="T129" s="20"/>
      <c r="U129" s="20"/>
      <c r="V129" s="20"/>
      <c r="W129" s="20"/>
      <c r="X129" s="20"/>
      <c r="Y129" s="20"/>
      <c r="Z129" s="20"/>
      <c r="AA129" s="20"/>
      <c r="AB129" s="20"/>
      <c r="AC129" s="20"/>
    </row>
    <row r="130" spans="1:29">
      <c r="A130" s="20"/>
      <c r="B130" s="20"/>
      <c r="C130" s="20"/>
      <c r="D130" s="20"/>
      <c r="E130" s="20"/>
      <c r="F130" s="20"/>
      <c r="G130" s="20"/>
      <c r="H130" s="20"/>
      <c r="I130" s="20"/>
      <c r="J130" s="20"/>
      <c r="K130" s="20"/>
      <c r="L130" s="20"/>
      <c r="M130" s="20"/>
      <c r="N130" s="20"/>
      <c r="O130" s="20"/>
      <c r="P130" s="20"/>
      <c r="Q130" s="20"/>
      <c r="R130" s="20"/>
      <c r="S130" s="20"/>
      <c r="T130" s="20"/>
      <c r="U130" s="20"/>
      <c r="V130" s="20"/>
      <c r="W130" s="20"/>
      <c r="X130" s="20"/>
      <c r="Y130" s="20"/>
      <c r="Z130" s="20"/>
      <c r="AA130" s="20"/>
      <c r="AB130" s="20"/>
      <c r="AC130" s="20"/>
    </row>
    <row r="131" spans="1:29">
      <c r="A131" s="20"/>
      <c r="B131" s="20"/>
      <c r="C131" s="20"/>
      <c r="D131" s="20"/>
      <c r="E131" s="20"/>
      <c r="F131" s="20"/>
      <c r="G131" s="20"/>
      <c r="H131" s="20"/>
      <c r="I131" s="20"/>
      <c r="J131" s="20"/>
      <c r="K131" s="20"/>
      <c r="L131" s="20"/>
      <c r="M131" s="20"/>
      <c r="N131" s="20"/>
      <c r="O131" s="20"/>
      <c r="P131" s="20"/>
      <c r="Q131" s="20"/>
      <c r="R131" s="20"/>
      <c r="S131" s="20"/>
      <c r="T131" s="20"/>
      <c r="U131" s="20"/>
      <c r="V131" s="20"/>
      <c r="W131" s="20"/>
      <c r="X131" s="20"/>
      <c r="Y131" s="20"/>
      <c r="Z131" s="20"/>
      <c r="AA131" s="20"/>
      <c r="AB131" s="20"/>
      <c r="AC131" s="20"/>
    </row>
    <row r="132" spans="1:29">
      <c r="A132" s="20"/>
      <c r="B132" s="20"/>
      <c r="C132" s="20"/>
      <c r="D132" s="20"/>
      <c r="E132" s="20"/>
      <c r="F132" s="20"/>
      <c r="G132" s="20"/>
      <c r="H132" s="20"/>
      <c r="I132" s="20"/>
      <c r="J132" s="20"/>
      <c r="K132" s="20"/>
      <c r="L132" s="20"/>
      <c r="M132" s="20"/>
      <c r="N132" s="20"/>
      <c r="O132" s="20"/>
      <c r="P132" s="20"/>
      <c r="Q132" s="20"/>
      <c r="R132" s="20"/>
      <c r="S132" s="20"/>
      <c r="T132" s="20"/>
      <c r="U132" s="20"/>
      <c r="V132" s="20"/>
      <c r="W132" s="20"/>
      <c r="X132" s="20"/>
      <c r="Y132" s="20"/>
      <c r="Z132" s="20"/>
      <c r="AA132" s="20"/>
      <c r="AB132" s="20"/>
      <c r="AC132" s="20"/>
    </row>
    <row r="133" spans="1:29">
      <c r="A133" s="20"/>
      <c r="B133" s="20"/>
      <c r="C133" s="20"/>
      <c r="D133" s="20"/>
      <c r="E133" s="20"/>
      <c r="F133" s="20"/>
      <c r="G133" s="20"/>
      <c r="H133" s="20"/>
      <c r="I133" s="20"/>
      <c r="J133" s="20"/>
      <c r="K133" s="20"/>
      <c r="L133" s="20"/>
      <c r="M133" s="20"/>
      <c r="N133" s="20"/>
      <c r="O133" s="20"/>
      <c r="P133" s="20"/>
      <c r="Q133" s="20"/>
      <c r="R133" s="20"/>
      <c r="S133" s="20"/>
      <c r="T133" s="20"/>
      <c r="U133" s="20"/>
      <c r="V133" s="20"/>
      <c r="W133" s="20"/>
      <c r="X133" s="20"/>
      <c r="Y133" s="20"/>
      <c r="Z133" s="20"/>
      <c r="AA133" s="20"/>
      <c r="AB133" s="20"/>
      <c r="AC133" s="20"/>
    </row>
    <row r="134" spans="1:29">
      <c r="A134" s="20"/>
      <c r="B134" s="20"/>
      <c r="C134" s="20"/>
      <c r="D134" s="20"/>
      <c r="E134" s="20"/>
      <c r="F134" s="20"/>
      <c r="G134" s="20"/>
      <c r="H134" s="20"/>
      <c r="I134" s="20"/>
      <c r="J134" s="20"/>
      <c r="K134" s="20"/>
      <c r="L134" s="20"/>
      <c r="M134" s="20"/>
      <c r="N134" s="20"/>
      <c r="O134" s="20"/>
      <c r="P134" s="20"/>
      <c r="Q134" s="20"/>
      <c r="R134" s="20"/>
      <c r="S134" s="20"/>
      <c r="T134" s="20"/>
      <c r="U134" s="20"/>
      <c r="V134" s="20"/>
      <c r="W134" s="20"/>
      <c r="X134" s="20"/>
      <c r="Y134" s="20"/>
      <c r="Z134" s="20"/>
      <c r="AA134" s="20"/>
      <c r="AB134" s="20"/>
      <c r="AC134" s="20"/>
    </row>
    <row r="135" spans="1:29">
      <c r="A135" s="20"/>
      <c r="B135" s="20"/>
      <c r="C135" s="20"/>
      <c r="D135" s="20"/>
      <c r="E135" s="20"/>
      <c r="F135" s="20"/>
      <c r="G135" s="20"/>
      <c r="H135" s="20"/>
      <c r="I135" s="20"/>
      <c r="J135" s="20"/>
      <c r="K135" s="20"/>
      <c r="L135" s="20"/>
      <c r="M135" s="20"/>
      <c r="N135" s="20"/>
      <c r="O135" s="20"/>
      <c r="P135" s="20"/>
      <c r="Q135" s="20"/>
      <c r="R135" s="20"/>
      <c r="S135" s="20"/>
      <c r="T135" s="20"/>
      <c r="U135" s="20"/>
      <c r="V135" s="20"/>
      <c r="W135" s="20"/>
      <c r="X135" s="20"/>
      <c r="Y135" s="20"/>
      <c r="Z135" s="20"/>
      <c r="AA135" s="20"/>
      <c r="AB135" s="20"/>
      <c r="AC135" s="20"/>
    </row>
    <row r="136" spans="1:29">
      <c r="A136" s="20"/>
      <c r="B136" s="20"/>
      <c r="C136" s="20"/>
      <c r="D136" s="20"/>
      <c r="E136" s="20"/>
      <c r="F136" s="20"/>
      <c r="G136" s="20"/>
      <c r="H136" s="20"/>
      <c r="I136" s="20"/>
      <c r="J136" s="20"/>
      <c r="K136" s="20"/>
      <c r="L136" s="20"/>
      <c r="M136" s="20"/>
      <c r="N136" s="20"/>
      <c r="O136" s="20"/>
      <c r="P136" s="20"/>
      <c r="Q136" s="20"/>
      <c r="R136" s="20"/>
      <c r="S136" s="20"/>
      <c r="T136" s="20"/>
      <c r="U136" s="20"/>
      <c r="V136" s="20"/>
      <c r="W136" s="20"/>
      <c r="X136" s="20"/>
      <c r="Y136" s="20"/>
      <c r="Z136" s="20"/>
      <c r="AA136" s="20"/>
      <c r="AB136" s="20"/>
      <c r="AC136" s="20"/>
    </row>
    <row r="137" spans="1:29">
      <c r="A137" s="20"/>
      <c r="B137" s="20"/>
      <c r="C137" s="20"/>
      <c r="D137" s="20"/>
      <c r="E137" s="20"/>
      <c r="F137" s="20"/>
      <c r="G137" s="20"/>
      <c r="H137" s="20"/>
      <c r="I137" s="20"/>
      <c r="J137" s="20"/>
      <c r="K137" s="20"/>
      <c r="L137" s="20"/>
      <c r="M137" s="20"/>
      <c r="N137" s="20"/>
      <c r="O137" s="20"/>
      <c r="P137" s="20"/>
      <c r="Q137" s="20"/>
      <c r="R137" s="20"/>
      <c r="S137" s="20"/>
      <c r="T137" s="20"/>
      <c r="U137" s="20"/>
      <c r="V137" s="20"/>
      <c r="W137" s="20"/>
      <c r="X137" s="20"/>
      <c r="Y137" s="20"/>
      <c r="Z137" s="20"/>
      <c r="AA137" s="20"/>
      <c r="AB137" s="20"/>
      <c r="AC137" s="20"/>
    </row>
    <row r="138" spans="1:29">
      <c r="A138" s="20"/>
      <c r="B138" s="20"/>
      <c r="C138" s="20"/>
      <c r="D138" s="20"/>
      <c r="E138" s="20"/>
      <c r="F138" s="20"/>
      <c r="G138" s="20"/>
      <c r="H138" s="20"/>
      <c r="I138" s="20"/>
      <c r="J138" s="20"/>
      <c r="K138" s="20"/>
      <c r="L138" s="20"/>
      <c r="M138" s="20"/>
      <c r="N138" s="20"/>
      <c r="O138" s="20"/>
      <c r="P138" s="20"/>
      <c r="Q138" s="20"/>
      <c r="R138" s="20"/>
      <c r="S138" s="20"/>
      <c r="T138" s="20"/>
      <c r="U138" s="20"/>
      <c r="V138" s="20"/>
      <c r="W138" s="20"/>
      <c r="X138" s="20"/>
      <c r="Y138" s="20"/>
      <c r="Z138" s="20"/>
      <c r="AA138" s="20"/>
      <c r="AB138" s="20"/>
      <c r="AC138" s="20"/>
    </row>
    <row r="139" spans="1:29">
      <c r="A139" s="20"/>
      <c r="B139" s="20"/>
      <c r="C139" s="20"/>
      <c r="D139" s="20"/>
      <c r="E139" s="20"/>
      <c r="F139" s="20"/>
      <c r="G139" s="20"/>
      <c r="H139" s="20"/>
      <c r="I139" s="20"/>
      <c r="J139" s="20"/>
      <c r="K139" s="20"/>
      <c r="L139" s="20"/>
      <c r="M139" s="20"/>
      <c r="N139" s="20"/>
      <c r="O139" s="20"/>
      <c r="P139" s="20"/>
      <c r="Q139" s="20"/>
      <c r="R139" s="20"/>
      <c r="S139" s="20"/>
      <c r="T139" s="20"/>
      <c r="U139" s="20"/>
      <c r="V139" s="20"/>
      <c r="W139" s="20"/>
      <c r="X139" s="20"/>
      <c r="Y139" s="20"/>
      <c r="Z139" s="20"/>
      <c r="AA139" s="20"/>
      <c r="AB139" s="20"/>
      <c r="AC139" s="20"/>
    </row>
    <row r="140" spans="1:29">
      <c r="A140" s="20"/>
      <c r="B140" s="20"/>
      <c r="C140" s="20"/>
      <c r="D140" s="20"/>
      <c r="E140" s="20"/>
      <c r="F140" s="20"/>
      <c r="G140" s="20"/>
      <c r="H140" s="20"/>
      <c r="I140" s="20"/>
      <c r="J140" s="20"/>
      <c r="K140" s="20"/>
      <c r="L140" s="20"/>
      <c r="M140" s="20"/>
      <c r="N140" s="20"/>
      <c r="O140" s="20"/>
      <c r="P140" s="20"/>
      <c r="Q140" s="20"/>
      <c r="R140" s="20"/>
      <c r="S140" s="20"/>
      <c r="T140" s="20"/>
      <c r="U140" s="20"/>
      <c r="V140" s="20"/>
      <c r="W140" s="20"/>
      <c r="X140" s="20"/>
      <c r="Y140" s="20"/>
      <c r="Z140" s="20"/>
      <c r="AA140" s="20"/>
      <c r="AB140" s="20"/>
      <c r="AC140" s="20"/>
    </row>
    <row r="141" spans="1:29">
      <c r="A141" s="20"/>
      <c r="B141" s="20"/>
      <c r="C141" s="20"/>
      <c r="D141" s="20"/>
      <c r="E141" s="20"/>
      <c r="F141" s="20"/>
      <c r="G141" s="20"/>
      <c r="H141" s="20"/>
      <c r="I141" s="20"/>
      <c r="J141" s="20"/>
      <c r="K141" s="20"/>
      <c r="L141" s="20"/>
      <c r="M141" s="20"/>
      <c r="N141" s="20"/>
      <c r="O141" s="20"/>
      <c r="P141" s="20"/>
      <c r="Q141" s="20"/>
      <c r="R141" s="20"/>
      <c r="S141" s="20"/>
      <c r="T141" s="20"/>
      <c r="U141" s="20"/>
      <c r="V141" s="20"/>
      <c r="W141" s="20"/>
      <c r="X141" s="20"/>
      <c r="Y141" s="20"/>
      <c r="Z141" s="20"/>
      <c r="AA141" s="20"/>
      <c r="AB141" s="20"/>
      <c r="AC141" s="20"/>
    </row>
    <row r="142" spans="1:29">
      <c r="A142" s="20"/>
      <c r="B142" s="20"/>
      <c r="C142" s="20"/>
      <c r="D142" s="20"/>
      <c r="E142" s="20"/>
      <c r="F142" s="20"/>
      <c r="G142" s="20"/>
      <c r="H142" s="20"/>
      <c r="I142" s="20"/>
      <c r="J142" s="20"/>
      <c r="K142" s="20"/>
      <c r="L142" s="20"/>
      <c r="M142" s="20"/>
      <c r="N142" s="20"/>
      <c r="O142" s="20"/>
      <c r="P142" s="20"/>
      <c r="Q142" s="20"/>
      <c r="R142" s="20"/>
      <c r="S142" s="20"/>
      <c r="T142" s="20"/>
      <c r="U142" s="20"/>
      <c r="V142" s="20"/>
      <c r="W142" s="20"/>
      <c r="X142" s="20"/>
      <c r="Y142" s="20"/>
      <c r="Z142" s="20"/>
      <c r="AA142" s="20"/>
      <c r="AB142" s="20"/>
      <c r="AC142" s="20"/>
    </row>
    <row r="143" spans="1:29">
      <c r="A143" s="20"/>
      <c r="B143" s="20"/>
      <c r="C143" s="20"/>
      <c r="D143" s="20"/>
      <c r="E143" s="20"/>
      <c r="F143" s="20"/>
      <c r="G143" s="20"/>
      <c r="H143" s="20"/>
      <c r="I143" s="20"/>
      <c r="J143" s="20"/>
      <c r="K143" s="20"/>
      <c r="L143" s="20"/>
      <c r="M143" s="20"/>
      <c r="N143" s="20"/>
      <c r="O143" s="20"/>
      <c r="P143" s="20"/>
      <c r="Q143" s="20"/>
      <c r="R143" s="20"/>
      <c r="S143" s="20"/>
      <c r="T143" s="20"/>
      <c r="U143" s="20"/>
      <c r="V143" s="20"/>
      <c r="W143" s="20"/>
      <c r="X143" s="20"/>
      <c r="Y143" s="20"/>
      <c r="Z143" s="20"/>
      <c r="AA143" s="20"/>
      <c r="AB143" s="20"/>
      <c r="AC143" s="20"/>
    </row>
    <row r="144" spans="1:29">
      <c r="A144" s="20"/>
      <c r="B144" s="20"/>
      <c r="C144" s="20"/>
      <c r="D144" s="20"/>
      <c r="E144" s="20"/>
      <c r="F144" s="20"/>
      <c r="G144" s="20"/>
      <c r="H144" s="20"/>
      <c r="I144" s="20"/>
      <c r="J144" s="20"/>
      <c r="K144" s="20"/>
      <c r="L144" s="20"/>
      <c r="M144" s="20"/>
      <c r="N144" s="20"/>
      <c r="O144" s="20"/>
      <c r="P144" s="20"/>
      <c r="Q144" s="20"/>
      <c r="R144" s="20"/>
      <c r="S144" s="20"/>
      <c r="T144" s="20"/>
      <c r="U144" s="20"/>
      <c r="V144" s="20"/>
      <c r="W144" s="20"/>
      <c r="X144" s="20"/>
      <c r="Y144" s="20"/>
      <c r="Z144" s="20"/>
      <c r="AA144" s="20"/>
      <c r="AB144" s="20"/>
      <c r="AC144" s="20"/>
    </row>
    <row r="145" spans="1:29">
      <c r="A145" s="20"/>
      <c r="B145" s="20"/>
      <c r="C145" s="20"/>
      <c r="D145" s="20"/>
      <c r="E145" s="20"/>
      <c r="F145" s="20"/>
      <c r="G145" s="20"/>
      <c r="H145" s="20"/>
      <c r="I145" s="20"/>
      <c r="J145" s="20"/>
      <c r="K145" s="20"/>
      <c r="L145" s="20"/>
      <c r="M145" s="20"/>
      <c r="N145" s="20"/>
      <c r="O145" s="20"/>
      <c r="P145" s="20"/>
      <c r="Q145" s="20"/>
      <c r="R145" s="20"/>
      <c r="S145" s="20"/>
      <c r="T145" s="20"/>
      <c r="U145" s="20"/>
      <c r="V145" s="20"/>
      <c r="W145" s="20"/>
      <c r="X145" s="20"/>
      <c r="Y145" s="20"/>
      <c r="Z145" s="20"/>
      <c r="AA145" s="20"/>
      <c r="AB145" s="20"/>
      <c r="AC145" s="20"/>
    </row>
    <row r="146" spans="1:29">
      <c r="A146" s="20"/>
      <c r="B146" s="20"/>
      <c r="C146" s="20"/>
      <c r="D146" s="20"/>
      <c r="E146" s="20"/>
      <c r="F146" s="20"/>
      <c r="G146" s="20"/>
      <c r="H146" s="20"/>
      <c r="I146" s="20"/>
      <c r="J146" s="20"/>
      <c r="K146" s="20"/>
      <c r="L146" s="20"/>
      <c r="M146" s="20"/>
      <c r="N146" s="20"/>
      <c r="O146" s="20"/>
      <c r="P146" s="20"/>
      <c r="Q146" s="20"/>
      <c r="R146" s="20"/>
      <c r="S146" s="20"/>
      <c r="T146" s="20"/>
      <c r="U146" s="20"/>
      <c r="V146" s="20"/>
      <c r="W146" s="20"/>
      <c r="X146" s="20"/>
      <c r="Y146" s="20"/>
      <c r="Z146" s="20"/>
      <c r="AA146" s="20"/>
      <c r="AB146" s="20"/>
      <c r="AC146" s="20"/>
    </row>
    <row r="147" spans="1:29">
      <c r="A147" s="20"/>
      <c r="B147" s="20"/>
      <c r="C147" s="20"/>
      <c r="D147" s="20"/>
      <c r="E147" s="20"/>
      <c r="F147" s="20"/>
      <c r="G147" s="20"/>
      <c r="H147" s="20"/>
      <c r="I147" s="20"/>
      <c r="J147" s="20"/>
      <c r="K147" s="20"/>
      <c r="L147" s="20"/>
      <c r="M147" s="20"/>
      <c r="N147" s="20"/>
      <c r="O147" s="20"/>
      <c r="P147" s="20"/>
      <c r="Q147" s="20"/>
      <c r="R147" s="20"/>
      <c r="S147" s="20"/>
      <c r="T147" s="20"/>
      <c r="U147" s="20"/>
      <c r="V147" s="20"/>
      <c r="W147" s="20"/>
      <c r="X147" s="20"/>
      <c r="Y147" s="20"/>
      <c r="Z147" s="20"/>
      <c r="AA147" s="20"/>
      <c r="AB147" s="20"/>
      <c r="AC147" s="20"/>
    </row>
    <row r="148" spans="1:29">
      <c r="A148" s="20"/>
      <c r="B148" s="20"/>
      <c r="C148" s="20"/>
      <c r="D148" s="20"/>
      <c r="E148" s="20"/>
      <c r="F148" s="20"/>
      <c r="G148" s="20"/>
      <c r="H148" s="20"/>
      <c r="I148" s="20"/>
      <c r="J148" s="20"/>
      <c r="K148" s="20"/>
      <c r="L148" s="20"/>
      <c r="M148" s="20"/>
      <c r="N148" s="20"/>
      <c r="O148" s="20"/>
      <c r="P148" s="20"/>
      <c r="Q148" s="20"/>
      <c r="R148" s="20"/>
      <c r="S148" s="20"/>
      <c r="T148" s="20"/>
      <c r="U148" s="20"/>
      <c r="V148" s="20"/>
      <c r="W148" s="20"/>
      <c r="X148" s="20"/>
      <c r="Y148" s="20"/>
      <c r="Z148" s="20"/>
      <c r="AA148" s="20"/>
      <c r="AB148" s="20"/>
      <c r="AC148" s="20"/>
    </row>
    <row r="149" spans="1:29">
      <c r="A149" s="20"/>
      <c r="B149" s="20"/>
      <c r="C149" s="20"/>
      <c r="D149" s="20"/>
      <c r="E149" s="20"/>
      <c r="F149" s="20"/>
      <c r="G149" s="20"/>
      <c r="H149" s="20"/>
      <c r="I149" s="20"/>
      <c r="J149" s="20"/>
      <c r="K149" s="20"/>
      <c r="L149" s="20"/>
      <c r="M149" s="20"/>
      <c r="N149" s="20"/>
      <c r="O149" s="20"/>
      <c r="P149" s="20"/>
      <c r="Q149" s="20"/>
      <c r="R149" s="20"/>
      <c r="S149" s="20"/>
      <c r="T149" s="20"/>
      <c r="U149" s="20"/>
      <c r="V149" s="20"/>
      <c r="W149" s="20"/>
      <c r="X149" s="20"/>
      <c r="Y149" s="20"/>
      <c r="Z149" s="20"/>
      <c r="AA149" s="20"/>
      <c r="AB149" s="20"/>
      <c r="AC149" s="20"/>
    </row>
    <row r="150" spans="1:29">
      <c r="A150" s="20"/>
      <c r="B150" s="20"/>
      <c r="C150" s="20"/>
      <c r="D150" s="20"/>
      <c r="E150" s="20"/>
      <c r="F150" s="20"/>
      <c r="G150" s="20"/>
      <c r="H150" s="20"/>
      <c r="I150" s="20"/>
      <c r="J150" s="20"/>
      <c r="K150" s="20"/>
      <c r="L150" s="20"/>
      <c r="M150" s="20"/>
      <c r="N150" s="20"/>
      <c r="O150" s="20"/>
      <c r="P150" s="20"/>
      <c r="Q150" s="20"/>
      <c r="R150" s="20"/>
      <c r="S150" s="20"/>
      <c r="T150" s="20"/>
      <c r="U150" s="20"/>
      <c r="V150" s="20"/>
      <c r="W150" s="20"/>
      <c r="X150" s="20"/>
      <c r="Y150" s="20"/>
      <c r="Z150" s="20"/>
      <c r="AA150" s="20"/>
      <c r="AB150" s="20"/>
      <c r="AC150" s="20"/>
    </row>
    <row r="151" spans="1:29">
      <c r="A151" s="20"/>
      <c r="B151" s="20"/>
      <c r="C151" s="20"/>
      <c r="D151" s="20"/>
      <c r="E151" s="20"/>
      <c r="F151" s="20"/>
      <c r="G151" s="20"/>
      <c r="H151" s="20"/>
      <c r="I151" s="20"/>
      <c r="J151" s="20"/>
      <c r="K151" s="20"/>
      <c r="L151" s="20"/>
      <c r="M151" s="20"/>
      <c r="N151" s="20"/>
      <c r="O151" s="20"/>
      <c r="P151" s="20"/>
      <c r="Q151" s="20"/>
      <c r="R151" s="20"/>
      <c r="S151" s="20"/>
      <c r="T151" s="20"/>
      <c r="U151" s="20"/>
      <c r="V151" s="20"/>
      <c r="W151" s="20"/>
      <c r="X151" s="20"/>
      <c r="Y151" s="20"/>
      <c r="Z151" s="20"/>
      <c r="AA151" s="20"/>
      <c r="AB151" s="20"/>
      <c r="AC151" s="20"/>
    </row>
    <row r="152" spans="1:29">
      <c r="A152" s="20"/>
      <c r="B152" s="20"/>
      <c r="C152" s="20"/>
      <c r="D152" s="20"/>
      <c r="E152" s="20"/>
      <c r="F152" s="20"/>
      <c r="G152" s="20"/>
      <c r="H152" s="20"/>
      <c r="I152" s="20"/>
      <c r="J152" s="20"/>
      <c r="K152" s="20"/>
      <c r="L152" s="20"/>
      <c r="M152" s="20"/>
      <c r="N152" s="20"/>
      <c r="O152" s="20"/>
      <c r="P152" s="20"/>
      <c r="Q152" s="20"/>
      <c r="R152" s="20"/>
      <c r="S152" s="20"/>
      <c r="T152" s="20"/>
      <c r="U152" s="20"/>
      <c r="V152" s="20"/>
      <c r="W152" s="20"/>
      <c r="X152" s="20"/>
      <c r="Y152" s="20"/>
      <c r="Z152" s="20"/>
      <c r="AA152" s="20"/>
      <c r="AB152" s="20"/>
      <c r="AC152" s="20"/>
    </row>
    <row r="153" spans="1:29">
      <c r="A153" s="20"/>
      <c r="B153" s="20"/>
      <c r="C153" s="20"/>
      <c r="D153" s="20"/>
      <c r="E153" s="20"/>
      <c r="F153" s="20"/>
      <c r="G153" s="20"/>
      <c r="H153" s="20"/>
      <c r="I153" s="20"/>
      <c r="J153" s="20"/>
      <c r="K153" s="20"/>
      <c r="L153" s="20"/>
      <c r="M153" s="20"/>
      <c r="N153" s="20"/>
      <c r="O153" s="20"/>
      <c r="P153" s="20"/>
      <c r="Q153" s="20"/>
      <c r="R153" s="20"/>
      <c r="S153" s="20"/>
      <c r="T153" s="20"/>
      <c r="U153" s="20"/>
      <c r="V153" s="20"/>
      <c r="W153" s="20"/>
      <c r="X153" s="20"/>
      <c r="Y153" s="20"/>
      <c r="Z153" s="20"/>
      <c r="AA153" s="20"/>
      <c r="AB153" s="20"/>
      <c r="AC153" s="20"/>
    </row>
    <row r="154" spans="1:29">
      <c r="A154" s="20"/>
      <c r="B154" s="20"/>
      <c r="C154" s="20"/>
      <c r="D154" s="20"/>
      <c r="E154" s="20"/>
      <c r="F154" s="20"/>
      <c r="G154" s="20"/>
      <c r="H154" s="20"/>
      <c r="I154" s="20"/>
      <c r="J154" s="20"/>
      <c r="K154" s="20"/>
      <c r="L154" s="20"/>
      <c r="M154" s="20"/>
      <c r="N154" s="20"/>
      <c r="O154" s="20"/>
      <c r="P154" s="20"/>
      <c r="Q154" s="20"/>
      <c r="R154" s="20"/>
      <c r="S154" s="20"/>
      <c r="T154" s="20"/>
      <c r="U154" s="20"/>
      <c r="V154" s="20"/>
      <c r="W154" s="20"/>
      <c r="X154" s="20"/>
      <c r="Y154" s="20"/>
      <c r="Z154" s="20"/>
      <c r="AA154" s="20"/>
      <c r="AB154" s="20"/>
      <c r="AC154" s="20"/>
    </row>
    <row r="155" spans="1:29">
      <c r="A155" s="20"/>
      <c r="B155" s="20"/>
      <c r="C155" s="20"/>
      <c r="D155" s="20"/>
      <c r="E155" s="20"/>
      <c r="F155" s="20"/>
      <c r="G155" s="20"/>
      <c r="H155" s="20"/>
      <c r="I155" s="20"/>
      <c r="J155" s="20"/>
      <c r="K155" s="20"/>
      <c r="L155" s="20"/>
      <c r="M155" s="20"/>
      <c r="N155" s="20"/>
      <c r="O155" s="20"/>
      <c r="P155" s="20"/>
      <c r="Q155" s="20"/>
      <c r="R155" s="20"/>
      <c r="S155" s="20"/>
      <c r="T155" s="20"/>
      <c r="U155" s="20"/>
      <c r="V155" s="20"/>
      <c r="W155" s="20"/>
      <c r="X155" s="20"/>
      <c r="Y155" s="20"/>
      <c r="Z155" s="20"/>
      <c r="AA155" s="20"/>
      <c r="AB155" s="20"/>
      <c r="AC155" s="20"/>
    </row>
    <row r="156" spans="1:29">
      <c r="A156" s="20"/>
      <c r="B156" s="20"/>
      <c r="C156" s="20"/>
      <c r="D156" s="20"/>
      <c r="E156" s="20"/>
      <c r="F156" s="20"/>
      <c r="G156" s="20"/>
      <c r="H156" s="20"/>
      <c r="I156" s="20"/>
      <c r="J156" s="20"/>
      <c r="K156" s="20"/>
      <c r="L156" s="20"/>
      <c r="M156" s="20"/>
      <c r="N156" s="20"/>
      <c r="O156" s="20"/>
      <c r="P156" s="20"/>
      <c r="Q156" s="20"/>
      <c r="R156" s="20"/>
      <c r="S156" s="20"/>
      <c r="T156" s="20"/>
      <c r="U156" s="20"/>
      <c r="V156" s="20"/>
      <c r="W156" s="20"/>
      <c r="X156" s="20"/>
      <c r="Y156" s="20"/>
      <c r="Z156" s="20"/>
      <c r="AA156" s="20"/>
      <c r="AB156" s="20"/>
      <c r="AC156" s="20"/>
    </row>
    <row r="157" spans="1:29">
      <c r="A157" s="20"/>
      <c r="B157" s="20"/>
      <c r="C157" s="20"/>
      <c r="D157" s="20"/>
      <c r="E157" s="20"/>
      <c r="F157" s="20"/>
      <c r="G157" s="20"/>
      <c r="H157" s="20"/>
      <c r="I157" s="20"/>
      <c r="J157" s="20"/>
      <c r="K157" s="20"/>
      <c r="L157" s="20"/>
      <c r="M157" s="20"/>
      <c r="N157" s="20"/>
      <c r="O157" s="20"/>
      <c r="P157" s="20"/>
      <c r="Q157" s="20"/>
      <c r="R157" s="20"/>
      <c r="S157" s="20"/>
      <c r="T157" s="20"/>
      <c r="U157" s="20"/>
      <c r="V157" s="20"/>
      <c r="W157" s="20"/>
      <c r="X157" s="20"/>
      <c r="Y157" s="20"/>
      <c r="Z157" s="20"/>
      <c r="AA157" s="20"/>
      <c r="AB157" s="20"/>
      <c r="AC157" s="20"/>
    </row>
    <row r="158" spans="1:29">
      <c r="A158" s="20"/>
      <c r="B158" s="20"/>
      <c r="C158" s="20"/>
      <c r="D158" s="20"/>
      <c r="E158" s="20"/>
      <c r="F158" s="20"/>
      <c r="G158" s="20"/>
      <c r="H158" s="20"/>
      <c r="I158" s="20"/>
      <c r="J158" s="20"/>
      <c r="K158" s="20"/>
      <c r="L158" s="20"/>
      <c r="M158" s="20"/>
      <c r="N158" s="20"/>
      <c r="O158" s="20"/>
      <c r="P158" s="20"/>
      <c r="Q158" s="20"/>
      <c r="R158" s="20"/>
      <c r="S158" s="20"/>
      <c r="T158" s="20"/>
      <c r="U158" s="20"/>
      <c r="V158" s="20"/>
      <c r="W158" s="20"/>
      <c r="X158" s="20"/>
      <c r="Y158" s="20"/>
      <c r="Z158" s="20"/>
      <c r="AA158" s="20"/>
      <c r="AB158" s="20"/>
      <c r="AC158" s="20"/>
    </row>
    <row r="159" spans="1:29">
      <c r="A159" s="20"/>
      <c r="B159" s="20"/>
      <c r="C159" s="20"/>
      <c r="D159" s="20"/>
      <c r="E159" s="20"/>
      <c r="F159" s="20"/>
      <c r="G159" s="20"/>
      <c r="H159" s="20"/>
      <c r="I159" s="20"/>
      <c r="J159" s="20"/>
      <c r="K159" s="20"/>
      <c r="L159" s="20"/>
      <c r="M159" s="20"/>
      <c r="N159" s="20"/>
      <c r="O159" s="20"/>
      <c r="P159" s="20"/>
      <c r="Q159" s="20"/>
      <c r="R159" s="20"/>
      <c r="S159" s="20"/>
      <c r="T159" s="20"/>
      <c r="U159" s="20"/>
      <c r="V159" s="20"/>
      <c r="W159" s="20"/>
      <c r="X159" s="20"/>
      <c r="Y159" s="20"/>
      <c r="Z159" s="20"/>
      <c r="AA159" s="20"/>
      <c r="AB159" s="20"/>
      <c r="AC159" s="20"/>
    </row>
    <row r="160" spans="1:29">
      <c r="A160" s="20"/>
      <c r="B160" s="20"/>
      <c r="C160" s="20"/>
      <c r="D160" s="20"/>
      <c r="E160" s="20"/>
      <c r="F160" s="20"/>
      <c r="G160" s="20"/>
      <c r="H160" s="20"/>
      <c r="I160" s="20"/>
      <c r="J160" s="20"/>
      <c r="K160" s="20"/>
      <c r="L160" s="20"/>
      <c r="M160" s="20"/>
      <c r="N160" s="20"/>
      <c r="O160" s="20"/>
      <c r="P160" s="20"/>
      <c r="Q160" s="20"/>
      <c r="R160" s="20"/>
      <c r="S160" s="20"/>
      <c r="T160" s="20"/>
      <c r="U160" s="20"/>
      <c r="V160" s="20"/>
      <c r="W160" s="20"/>
      <c r="X160" s="20"/>
      <c r="Y160" s="20"/>
      <c r="Z160" s="20"/>
      <c r="AA160" s="20"/>
      <c r="AB160" s="20"/>
      <c r="AC160" s="20"/>
    </row>
    <row r="161" spans="1:29">
      <c r="A161" s="20"/>
      <c r="B161" s="20"/>
      <c r="C161" s="20"/>
      <c r="D161" s="20"/>
      <c r="E161" s="20"/>
      <c r="F161" s="20"/>
      <c r="G161" s="20"/>
      <c r="H161" s="20"/>
      <c r="I161" s="20"/>
      <c r="J161" s="20"/>
      <c r="K161" s="20"/>
      <c r="L161" s="20"/>
      <c r="M161" s="20"/>
      <c r="N161" s="20"/>
      <c r="O161" s="20"/>
      <c r="P161" s="20"/>
      <c r="Q161" s="20"/>
      <c r="R161" s="20"/>
      <c r="S161" s="20"/>
      <c r="T161" s="20"/>
      <c r="U161" s="20"/>
      <c r="V161" s="20"/>
      <c r="W161" s="20"/>
      <c r="X161" s="20"/>
      <c r="Y161" s="20"/>
      <c r="Z161" s="20"/>
      <c r="AA161" s="20"/>
      <c r="AB161" s="20"/>
      <c r="AC161" s="20"/>
    </row>
    <row r="162" spans="1:29">
      <c r="A162" s="20"/>
      <c r="B162" s="20"/>
      <c r="C162" s="20"/>
      <c r="D162" s="20"/>
      <c r="E162" s="20"/>
      <c r="F162" s="20"/>
      <c r="G162" s="20"/>
      <c r="H162" s="20"/>
      <c r="I162" s="20"/>
      <c r="J162" s="20"/>
      <c r="K162" s="20"/>
      <c r="L162" s="20"/>
      <c r="M162" s="20"/>
      <c r="N162" s="20"/>
      <c r="O162" s="20"/>
      <c r="P162" s="20"/>
      <c r="Q162" s="20"/>
      <c r="R162" s="20"/>
      <c r="S162" s="20"/>
      <c r="T162" s="20"/>
      <c r="U162" s="20"/>
      <c r="V162" s="20"/>
      <c r="W162" s="20"/>
      <c r="X162" s="20"/>
      <c r="Y162" s="20"/>
      <c r="Z162" s="20"/>
      <c r="AA162" s="20"/>
      <c r="AB162" s="20"/>
      <c r="AC162" s="20"/>
    </row>
    <row r="163" spans="1:29">
      <c r="A163" s="20"/>
      <c r="B163" s="20"/>
      <c r="C163" s="20"/>
      <c r="D163" s="20"/>
      <c r="E163" s="20"/>
      <c r="F163" s="20"/>
      <c r="G163" s="20"/>
      <c r="H163" s="20"/>
      <c r="I163" s="20"/>
      <c r="J163" s="20"/>
      <c r="K163" s="20"/>
      <c r="L163" s="20"/>
      <c r="M163" s="20"/>
      <c r="N163" s="20"/>
      <c r="O163" s="20"/>
      <c r="P163" s="20"/>
      <c r="Q163" s="20"/>
      <c r="R163" s="20"/>
      <c r="S163" s="20"/>
      <c r="T163" s="20"/>
      <c r="U163" s="20"/>
      <c r="V163" s="20"/>
      <c r="W163" s="20"/>
      <c r="X163" s="20"/>
      <c r="Y163" s="20"/>
      <c r="Z163" s="20"/>
      <c r="AA163" s="20"/>
      <c r="AB163" s="20"/>
      <c r="AC163" s="20"/>
    </row>
    <row r="164" spans="1:29">
      <c r="A164" s="20"/>
      <c r="B164" s="20"/>
      <c r="C164" s="20"/>
      <c r="D164" s="20"/>
      <c r="E164" s="20"/>
      <c r="F164" s="20"/>
      <c r="G164" s="20"/>
      <c r="H164" s="20"/>
      <c r="I164" s="20"/>
      <c r="J164" s="20"/>
      <c r="K164" s="20"/>
      <c r="L164" s="20"/>
      <c r="M164" s="20"/>
      <c r="N164" s="20"/>
      <c r="O164" s="20"/>
      <c r="P164" s="20"/>
      <c r="Q164" s="20"/>
      <c r="R164" s="20"/>
      <c r="S164" s="20"/>
      <c r="T164" s="20"/>
      <c r="U164" s="20"/>
      <c r="V164" s="20"/>
      <c r="W164" s="20"/>
      <c r="X164" s="20"/>
      <c r="Y164" s="20"/>
      <c r="Z164" s="20"/>
      <c r="AA164" s="20"/>
      <c r="AB164" s="20"/>
      <c r="AC164" s="20"/>
    </row>
    <row r="165" spans="1:29">
      <c r="A165" s="20"/>
      <c r="B165" s="20"/>
      <c r="C165" s="20"/>
      <c r="D165" s="20"/>
      <c r="E165" s="20"/>
      <c r="F165" s="20"/>
      <c r="G165" s="20"/>
      <c r="H165" s="20"/>
      <c r="I165" s="20"/>
      <c r="J165" s="20"/>
      <c r="K165" s="20"/>
      <c r="L165" s="20"/>
      <c r="M165" s="20"/>
      <c r="N165" s="20"/>
      <c r="O165" s="20"/>
      <c r="P165" s="20"/>
      <c r="Q165" s="20"/>
      <c r="R165" s="20"/>
      <c r="S165" s="20"/>
      <c r="T165" s="20"/>
      <c r="U165" s="20"/>
      <c r="V165" s="20"/>
      <c r="W165" s="20"/>
      <c r="X165" s="20"/>
      <c r="Y165" s="20"/>
      <c r="Z165" s="20"/>
      <c r="AA165" s="20"/>
      <c r="AB165" s="20"/>
      <c r="AC165" s="20"/>
    </row>
    <row r="166" spans="1:29">
      <c r="A166" s="20"/>
      <c r="B166" s="20"/>
      <c r="C166" s="20"/>
      <c r="D166" s="20"/>
      <c r="E166" s="20"/>
      <c r="F166" s="20"/>
      <c r="G166" s="20"/>
      <c r="H166" s="20"/>
      <c r="I166" s="20"/>
      <c r="J166" s="20"/>
      <c r="K166" s="20"/>
      <c r="L166" s="20"/>
      <c r="M166" s="20"/>
      <c r="N166" s="20"/>
      <c r="O166" s="20"/>
      <c r="P166" s="20"/>
      <c r="Q166" s="20"/>
      <c r="R166" s="20"/>
      <c r="S166" s="20"/>
      <c r="T166" s="20"/>
      <c r="U166" s="20"/>
      <c r="V166" s="20"/>
      <c r="W166" s="20"/>
      <c r="X166" s="20"/>
      <c r="Y166" s="20"/>
      <c r="Z166" s="20"/>
      <c r="AA166" s="20"/>
      <c r="AB166" s="20"/>
      <c r="AC166" s="20"/>
    </row>
    <row r="167" spans="1:29">
      <c r="A167" s="20"/>
      <c r="B167" s="20"/>
      <c r="C167" s="20"/>
      <c r="D167" s="20"/>
      <c r="E167" s="20"/>
      <c r="F167" s="20"/>
      <c r="G167" s="20"/>
      <c r="H167" s="20"/>
      <c r="I167" s="20"/>
      <c r="J167" s="20"/>
      <c r="K167" s="20"/>
      <c r="L167" s="20"/>
      <c r="M167" s="20"/>
      <c r="N167" s="20"/>
      <c r="O167" s="20"/>
      <c r="P167" s="20"/>
      <c r="Q167" s="20"/>
      <c r="R167" s="20"/>
      <c r="S167" s="20"/>
      <c r="T167" s="20"/>
      <c r="U167" s="20"/>
      <c r="V167" s="20"/>
      <c r="W167" s="20"/>
      <c r="X167" s="20"/>
      <c r="Y167" s="20"/>
      <c r="Z167" s="20"/>
      <c r="AA167" s="20"/>
      <c r="AB167" s="20"/>
      <c r="AC167" s="20"/>
    </row>
    <row r="168" spans="1:29">
      <c r="A168" s="20"/>
      <c r="B168" s="20"/>
      <c r="C168" s="20"/>
      <c r="D168" s="20"/>
      <c r="E168" s="20"/>
      <c r="F168" s="20"/>
      <c r="G168" s="20"/>
      <c r="H168" s="20"/>
      <c r="I168" s="20"/>
      <c r="J168" s="20"/>
      <c r="K168" s="20"/>
      <c r="L168" s="20"/>
      <c r="M168" s="20"/>
      <c r="N168" s="20"/>
      <c r="O168" s="20"/>
      <c r="P168" s="20"/>
      <c r="Q168" s="20"/>
      <c r="R168" s="20"/>
      <c r="S168" s="20"/>
      <c r="T168" s="20"/>
      <c r="U168" s="20"/>
      <c r="V168" s="20"/>
      <c r="W168" s="20"/>
      <c r="X168" s="20"/>
      <c r="Y168" s="20"/>
      <c r="Z168" s="20"/>
      <c r="AA168" s="20"/>
      <c r="AB168" s="20"/>
      <c r="AC168" s="20"/>
    </row>
    <row r="169" spans="1:29">
      <c r="A169" s="20"/>
      <c r="B169" s="20"/>
      <c r="C169" s="20"/>
      <c r="D169" s="20"/>
      <c r="E169" s="20"/>
      <c r="F169" s="20"/>
      <c r="G169" s="20"/>
      <c r="H169" s="20"/>
      <c r="I169" s="20"/>
      <c r="J169" s="20"/>
      <c r="K169" s="20"/>
      <c r="L169" s="20"/>
      <c r="M169" s="20"/>
      <c r="N169" s="20"/>
      <c r="O169" s="20"/>
      <c r="P169" s="20"/>
      <c r="Q169" s="20"/>
      <c r="R169" s="20"/>
      <c r="S169" s="20"/>
      <c r="T169" s="20"/>
      <c r="U169" s="20"/>
      <c r="V169" s="20"/>
      <c r="W169" s="20"/>
      <c r="X169" s="20"/>
      <c r="Y169" s="20"/>
      <c r="Z169" s="20"/>
      <c r="AA169" s="20"/>
      <c r="AB169" s="20"/>
      <c r="AC169" s="20"/>
    </row>
    <row r="170" spans="1:29">
      <c r="A170" s="20"/>
      <c r="B170" s="20"/>
      <c r="C170" s="20"/>
      <c r="D170" s="20"/>
      <c r="E170" s="20"/>
      <c r="F170" s="20"/>
      <c r="G170" s="20"/>
      <c r="H170" s="20"/>
      <c r="I170" s="20"/>
      <c r="J170" s="20"/>
      <c r="K170" s="20"/>
      <c r="L170" s="20"/>
      <c r="M170" s="20"/>
      <c r="N170" s="20"/>
      <c r="O170" s="20"/>
      <c r="P170" s="20"/>
      <c r="Q170" s="20"/>
      <c r="R170" s="20"/>
      <c r="S170" s="20"/>
      <c r="T170" s="20"/>
      <c r="U170" s="20"/>
      <c r="V170" s="20"/>
      <c r="W170" s="20"/>
      <c r="X170" s="20"/>
      <c r="Y170" s="20"/>
      <c r="Z170" s="20"/>
      <c r="AA170" s="20"/>
      <c r="AB170" s="20"/>
      <c r="AC170" s="20"/>
    </row>
    <row r="171" spans="1:29">
      <c r="A171" s="20"/>
      <c r="B171" s="20"/>
      <c r="C171" s="20"/>
      <c r="D171" s="20"/>
      <c r="E171" s="20"/>
      <c r="F171" s="20"/>
      <c r="G171" s="20"/>
      <c r="H171" s="20"/>
      <c r="I171" s="20"/>
      <c r="J171" s="20"/>
      <c r="K171" s="20"/>
      <c r="L171" s="20"/>
      <c r="M171" s="20"/>
      <c r="N171" s="20"/>
      <c r="O171" s="20"/>
      <c r="P171" s="20"/>
      <c r="Q171" s="20"/>
      <c r="R171" s="20"/>
      <c r="S171" s="20"/>
      <c r="T171" s="20"/>
      <c r="U171" s="20"/>
      <c r="V171" s="20"/>
      <c r="W171" s="20"/>
      <c r="X171" s="20"/>
      <c r="Y171" s="20"/>
      <c r="Z171" s="20"/>
      <c r="AA171" s="20"/>
      <c r="AB171" s="20"/>
      <c r="AC171" s="20"/>
    </row>
    <row r="172" spans="1:29">
      <c r="A172" s="20"/>
      <c r="B172" s="20"/>
      <c r="C172" s="20"/>
      <c r="D172" s="20"/>
      <c r="E172" s="20"/>
      <c r="F172" s="20"/>
      <c r="G172" s="20"/>
      <c r="H172" s="20"/>
      <c r="I172" s="20"/>
      <c r="J172" s="20"/>
      <c r="K172" s="20"/>
      <c r="L172" s="20"/>
      <c r="M172" s="20"/>
      <c r="N172" s="20"/>
      <c r="O172" s="20"/>
      <c r="P172" s="20"/>
      <c r="Q172" s="20"/>
      <c r="R172" s="20"/>
      <c r="S172" s="20"/>
      <c r="T172" s="20"/>
      <c r="U172" s="20"/>
      <c r="V172" s="20"/>
      <c r="W172" s="20"/>
      <c r="X172" s="20"/>
      <c r="Y172" s="20"/>
      <c r="Z172" s="20"/>
      <c r="AA172" s="20"/>
      <c r="AB172" s="20"/>
      <c r="AC172" s="20"/>
    </row>
    <row r="173" spans="1:29">
      <c r="A173" s="20"/>
      <c r="B173" s="20"/>
      <c r="C173" s="20"/>
      <c r="D173" s="20"/>
      <c r="E173" s="20"/>
      <c r="F173" s="20"/>
      <c r="G173" s="20"/>
      <c r="H173" s="20"/>
      <c r="I173" s="20"/>
      <c r="J173" s="20"/>
      <c r="K173" s="20"/>
      <c r="L173" s="20"/>
      <c r="M173" s="20"/>
      <c r="N173" s="20"/>
      <c r="O173" s="20"/>
      <c r="P173" s="20"/>
      <c r="Q173" s="20"/>
      <c r="R173" s="20"/>
      <c r="S173" s="20"/>
      <c r="T173" s="20"/>
      <c r="U173" s="20"/>
      <c r="V173" s="20"/>
      <c r="W173" s="20"/>
      <c r="X173" s="20"/>
      <c r="Y173" s="20"/>
      <c r="Z173" s="20"/>
      <c r="AA173" s="20"/>
      <c r="AB173" s="20"/>
      <c r="AC173" s="20"/>
    </row>
    <row r="174" spans="1:29">
      <c r="A174" s="20"/>
      <c r="B174" s="20"/>
      <c r="C174" s="20"/>
      <c r="D174" s="20"/>
      <c r="E174" s="20"/>
      <c r="F174" s="20"/>
      <c r="G174" s="20"/>
      <c r="H174" s="20"/>
      <c r="I174" s="20"/>
      <c r="J174" s="20"/>
      <c r="K174" s="20"/>
      <c r="L174" s="20"/>
      <c r="M174" s="20"/>
      <c r="N174" s="20"/>
      <c r="O174" s="20"/>
      <c r="P174" s="20"/>
      <c r="Q174" s="20"/>
      <c r="R174" s="20"/>
      <c r="S174" s="20"/>
      <c r="T174" s="20"/>
      <c r="U174" s="20"/>
      <c r="V174" s="20"/>
      <c r="W174" s="20"/>
      <c r="X174" s="20"/>
      <c r="Y174" s="20"/>
      <c r="Z174" s="20"/>
      <c r="AA174" s="20"/>
      <c r="AB174" s="20"/>
      <c r="AC174" s="20"/>
    </row>
    <row r="175" spans="1:29">
      <c r="A175" s="20"/>
      <c r="B175" s="20"/>
      <c r="C175" s="20"/>
      <c r="D175" s="20"/>
      <c r="E175" s="20"/>
      <c r="F175" s="20"/>
      <c r="G175" s="20"/>
      <c r="H175" s="20"/>
      <c r="I175" s="20"/>
      <c r="J175" s="20"/>
      <c r="K175" s="20"/>
      <c r="L175" s="20"/>
      <c r="M175" s="20"/>
      <c r="N175" s="20"/>
      <c r="O175" s="20"/>
      <c r="P175" s="20"/>
      <c r="Q175" s="20"/>
      <c r="R175" s="20"/>
      <c r="S175" s="20"/>
      <c r="T175" s="20"/>
      <c r="U175" s="20"/>
      <c r="V175" s="20"/>
      <c r="W175" s="20"/>
      <c r="X175" s="20"/>
      <c r="Y175" s="20"/>
      <c r="Z175" s="20"/>
      <c r="AA175" s="20"/>
      <c r="AB175" s="20"/>
      <c r="AC175" s="20"/>
    </row>
    <row r="176" spans="1:29">
      <c r="A176" s="20"/>
      <c r="B176" s="20"/>
      <c r="C176" s="20"/>
      <c r="D176" s="20"/>
      <c r="E176" s="20"/>
      <c r="F176" s="20"/>
      <c r="G176" s="20"/>
      <c r="H176" s="20"/>
      <c r="I176" s="20"/>
      <c r="J176" s="20"/>
      <c r="K176" s="20"/>
      <c r="L176" s="20"/>
      <c r="M176" s="20"/>
      <c r="N176" s="20"/>
      <c r="O176" s="20"/>
      <c r="P176" s="20"/>
      <c r="Q176" s="20"/>
      <c r="R176" s="20"/>
      <c r="S176" s="20"/>
      <c r="T176" s="20"/>
      <c r="U176" s="20"/>
      <c r="V176" s="20"/>
      <c r="W176" s="20"/>
      <c r="X176" s="20"/>
      <c r="Y176" s="20"/>
      <c r="Z176" s="20"/>
      <c r="AA176" s="20"/>
      <c r="AB176" s="20"/>
      <c r="AC176" s="20"/>
    </row>
    <row r="177" spans="1:29">
      <c r="A177" s="20"/>
      <c r="B177" s="20"/>
      <c r="C177" s="20"/>
      <c r="D177" s="20"/>
      <c r="E177" s="20"/>
      <c r="F177" s="20"/>
      <c r="G177" s="20"/>
      <c r="H177" s="20"/>
      <c r="I177" s="20"/>
      <c r="J177" s="20"/>
      <c r="K177" s="20"/>
      <c r="L177" s="20"/>
      <c r="M177" s="20"/>
      <c r="N177" s="20"/>
      <c r="O177" s="20"/>
      <c r="P177" s="20"/>
      <c r="Q177" s="20"/>
      <c r="R177" s="20"/>
      <c r="S177" s="20"/>
      <c r="T177" s="20"/>
      <c r="U177" s="20"/>
      <c r="V177" s="20"/>
      <c r="W177" s="20"/>
      <c r="X177" s="20"/>
      <c r="Y177" s="20"/>
      <c r="Z177" s="20"/>
      <c r="AA177" s="20"/>
      <c r="AB177" s="20"/>
      <c r="AC177" s="20"/>
    </row>
    <row r="178" spans="1:29">
      <c r="A178" s="20"/>
      <c r="B178" s="20"/>
      <c r="C178" s="20"/>
      <c r="D178" s="20"/>
      <c r="E178" s="20"/>
      <c r="F178" s="20"/>
      <c r="G178" s="20"/>
      <c r="H178" s="20"/>
      <c r="I178" s="20"/>
      <c r="J178" s="20"/>
      <c r="K178" s="20"/>
      <c r="L178" s="20"/>
      <c r="M178" s="20"/>
      <c r="N178" s="20"/>
      <c r="O178" s="20"/>
      <c r="P178" s="20"/>
      <c r="Q178" s="20"/>
      <c r="R178" s="20"/>
      <c r="S178" s="20"/>
      <c r="T178" s="20"/>
      <c r="U178" s="20"/>
      <c r="V178" s="20"/>
      <c r="W178" s="20"/>
      <c r="X178" s="20"/>
      <c r="Y178" s="20"/>
      <c r="Z178" s="20"/>
      <c r="AA178" s="20"/>
      <c r="AB178" s="20"/>
      <c r="AC178" s="20"/>
    </row>
    <row r="179" spans="1:29">
      <c r="A179" s="20"/>
      <c r="B179" s="20"/>
      <c r="C179" s="20"/>
      <c r="D179" s="20"/>
      <c r="E179" s="20"/>
      <c r="F179" s="20"/>
      <c r="G179" s="20"/>
      <c r="H179" s="20"/>
      <c r="I179" s="20"/>
      <c r="J179" s="20"/>
      <c r="K179" s="20"/>
      <c r="L179" s="20"/>
      <c r="M179" s="20"/>
      <c r="N179" s="20"/>
      <c r="O179" s="20"/>
      <c r="P179" s="20"/>
      <c r="Q179" s="20"/>
      <c r="R179" s="20"/>
      <c r="S179" s="20"/>
      <c r="T179" s="20"/>
      <c r="U179" s="20"/>
      <c r="V179" s="20"/>
      <c r="W179" s="20"/>
      <c r="X179" s="20"/>
      <c r="Y179" s="20"/>
      <c r="Z179" s="20"/>
      <c r="AA179" s="20"/>
      <c r="AB179" s="20"/>
      <c r="AC179" s="20"/>
    </row>
    <row r="180" spans="1:29">
      <c r="A180" s="20"/>
      <c r="B180" s="20"/>
      <c r="C180" s="20"/>
      <c r="D180" s="20"/>
      <c r="E180" s="20"/>
      <c r="F180" s="20"/>
      <c r="G180" s="20"/>
      <c r="H180" s="20"/>
      <c r="I180" s="20"/>
      <c r="J180" s="20"/>
      <c r="K180" s="20"/>
      <c r="L180" s="20"/>
      <c r="M180" s="20"/>
      <c r="N180" s="20"/>
      <c r="O180" s="20"/>
      <c r="P180" s="20"/>
      <c r="Q180" s="20"/>
      <c r="R180" s="20"/>
      <c r="S180" s="20"/>
      <c r="T180" s="20"/>
      <c r="U180" s="20"/>
      <c r="V180" s="20"/>
      <c r="W180" s="20"/>
      <c r="X180" s="20"/>
      <c r="Y180" s="20"/>
      <c r="Z180" s="20"/>
      <c r="AA180" s="20"/>
      <c r="AB180" s="20"/>
      <c r="AC180" s="20"/>
    </row>
    <row r="181" spans="1:29">
      <c r="A181" s="20"/>
      <c r="B181" s="20"/>
      <c r="C181" s="20"/>
      <c r="D181" s="20"/>
      <c r="E181" s="20"/>
      <c r="F181" s="20"/>
      <c r="G181" s="20"/>
      <c r="H181" s="20"/>
      <c r="I181" s="20"/>
      <c r="J181" s="20"/>
      <c r="K181" s="20"/>
      <c r="L181" s="20"/>
      <c r="M181" s="20"/>
      <c r="N181" s="20"/>
      <c r="O181" s="20"/>
      <c r="P181" s="20"/>
      <c r="Q181" s="20"/>
      <c r="R181" s="20"/>
      <c r="S181" s="20"/>
      <c r="T181" s="20"/>
      <c r="U181" s="20"/>
      <c r="V181" s="20"/>
      <c r="W181" s="20"/>
      <c r="X181" s="20"/>
      <c r="Y181" s="20"/>
      <c r="Z181" s="20"/>
      <c r="AA181" s="20"/>
      <c r="AB181" s="20"/>
      <c r="AC181" s="20"/>
    </row>
    <row r="182" spans="1:29">
      <c r="A182" s="20"/>
      <c r="B182" s="20"/>
      <c r="C182" s="20"/>
      <c r="D182" s="20"/>
      <c r="E182" s="20"/>
      <c r="F182" s="20"/>
      <c r="G182" s="20"/>
      <c r="H182" s="20"/>
      <c r="I182" s="20"/>
      <c r="J182" s="20"/>
      <c r="K182" s="20"/>
      <c r="L182" s="20"/>
      <c r="M182" s="20"/>
      <c r="N182" s="20"/>
      <c r="O182" s="20"/>
      <c r="P182" s="20"/>
      <c r="Q182" s="20"/>
      <c r="R182" s="20"/>
      <c r="S182" s="20"/>
      <c r="T182" s="20"/>
      <c r="U182" s="20"/>
      <c r="V182" s="20"/>
      <c r="W182" s="20"/>
      <c r="X182" s="20"/>
      <c r="Y182" s="20"/>
      <c r="Z182" s="20"/>
      <c r="AA182" s="20"/>
      <c r="AB182" s="20"/>
      <c r="AC182" s="20"/>
    </row>
    <row r="183" spans="1:29">
      <c r="A183" s="20"/>
      <c r="B183" s="20"/>
      <c r="C183" s="20"/>
      <c r="D183" s="20"/>
      <c r="E183" s="20"/>
      <c r="F183" s="20"/>
      <c r="G183" s="20"/>
      <c r="H183" s="20"/>
      <c r="I183" s="20"/>
      <c r="J183" s="20"/>
      <c r="K183" s="20"/>
      <c r="L183" s="20"/>
      <c r="M183" s="20"/>
      <c r="N183" s="20"/>
      <c r="O183" s="20"/>
      <c r="P183" s="20"/>
      <c r="Q183" s="20"/>
      <c r="R183" s="20"/>
      <c r="S183" s="20"/>
      <c r="T183" s="20"/>
      <c r="U183" s="20"/>
      <c r="V183" s="20"/>
      <c r="W183" s="20"/>
      <c r="X183" s="20"/>
      <c r="Y183" s="20"/>
      <c r="Z183" s="20"/>
      <c r="AA183" s="20"/>
      <c r="AB183" s="20"/>
      <c r="AC183" s="20"/>
    </row>
    <row r="184" spans="1:29">
      <c r="A184" s="20"/>
      <c r="B184" s="20"/>
      <c r="C184" s="20"/>
      <c r="D184" s="20"/>
      <c r="E184" s="20"/>
      <c r="F184" s="20"/>
      <c r="G184" s="20"/>
      <c r="H184" s="20"/>
      <c r="I184" s="20"/>
      <c r="J184" s="20"/>
      <c r="K184" s="20"/>
      <c r="L184" s="20"/>
      <c r="M184" s="20"/>
      <c r="N184" s="20"/>
      <c r="O184" s="20"/>
      <c r="P184" s="20"/>
      <c r="Q184" s="20"/>
      <c r="R184" s="20"/>
      <c r="S184" s="20"/>
      <c r="T184" s="20"/>
      <c r="U184" s="20"/>
      <c r="V184" s="20"/>
      <c r="W184" s="20"/>
      <c r="X184" s="20"/>
      <c r="Y184" s="20"/>
      <c r="Z184" s="20"/>
      <c r="AA184" s="20"/>
      <c r="AB184" s="20"/>
      <c r="AC184" s="20"/>
    </row>
    <row r="185" spans="1:29">
      <c r="A185" s="20"/>
      <c r="B185" s="20"/>
      <c r="C185" s="20"/>
      <c r="D185" s="20"/>
      <c r="E185" s="20"/>
      <c r="F185" s="20"/>
      <c r="G185" s="20"/>
      <c r="H185" s="20"/>
      <c r="I185" s="20"/>
      <c r="J185" s="20"/>
      <c r="K185" s="20"/>
      <c r="L185" s="20"/>
      <c r="M185" s="20"/>
      <c r="N185" s="20"/>
      <c r="O185" s="20"/>
      <c r="P185" s="20"/>
      <c r="Q185" s="20"/>
      <c r="R185" s="20"/>
      <c r="S185" s="20"/>
      <c r="T185" s="20"/>
      <c r="U185" s="20"/>
      <c r="V185" s="20"/>
      <c r="W185" s="20"/>
      <c r="X185" s="20"/>
      <c r="Y185" s="20"/>
      <c r="Z185" s="20"/>
      <c r="AA185" s="20"/>
      <c r="AB185" s="20"/>
      <c r="AC185" s="20"/>
    </row>
    <row r="186" spans="1:29">
      <c r="A186" s="20"/>
      <c r="B186" s="20"/>
      <c r="C186" s="20"/>
      <c r="D186" s="20"/>
      <c r="E186" s="20"/>
      <c r="F186" s="20"/>
      <c r="G186" s="20"/>
      <c r="H186" s="20"/>
      <c r="I186" s="20"/>
      <c r="J186" s="20"/>
      <c r="K186" s="20"/>
      <c r="L186" s="20"/>
      <c r="M186" s="20"/>
      <c r="N186" s="20"/>
      <c r="O186" s="20"/>
      <c r="P186" s="20"/>
      <c r="Q186" s="20"/>
      <c r="R186" s="20"/>
      <c r="S186" s="20"/>
      <c r="T186" s="20"/>
      <c r="U186" s="20"/>
      <c r="V186" s="20"/>
      <c r="W186" s="20"/>
      <c r="X186" s="20"/>
      <c r="Y186" s="20"/>
      <c r="Z186" s="20"/>
      <c r="AA186" s="20"/>
      <c r="AB186" s="20"/>
      <c r="AC186" s="20"/>
    </row>
    <row r="187" spans="1:29">
      <c r="A187" s="20"/>
      <c r="B187" s="20"/>
      <c r="C187" s="20"/>
      <c r="D187" s="20"/>
      <c r="E187" s="20"/>
      <c r="F187" s="20"/>
      <c r="G187" s="20"/>
      <c r="H187" s="20"/>
      <c r="I187" s="20"/>
      <c r="J187" s="20"/>
      <c r="K187" s="20"/>
      <c r="L187" s="20"/>
      <c r="M187" s="20"/>
      <c r="N187" s="20"/>
      <c r="O187" s="20"/>
      <c r="P187" s="20"/>
      <c r="Q187" s="20"/>
      <c r="R187" s="20"/>
      <c r="S187" s="20"/>
      <c r="T187" s="20"/>
      <c r="U187" s="20"/>
      <c r="V187" s="20"/>
      <c r="W187" s="20"/>
      <c r="X187" s="20"/>
      <c r="Y187" s="20"/>
      <c r="Z187" s="20"/>
      <c r="AA187" s="20"/>
      <c r="AB187" s="20"/>
      <c r="AC187" s="20"/>
    </row>
    <row r="188" spans="1:29">
      <c r="A188" s="20"/>
      <c r="B188" s="20"/>
      <c r="C188" s="20"/>
      <c r="D188" s="20"/>
      <c r="E188" s="20"/>
      <c r="F188" s="20"/>
      <c r="G188" s="20"/>
      <c r="H188" s="20"/>
      <c r="I188" s="20"/>
      <c r="J188" s="20"/>
      <c r="K188" s="20"/>
      <c r="L188" s="20"/>
      <c r="M188" s="20"/>
      <c r="N188" s="20"/>
      <c r="O188" s="20"/>
      <c r="P188" s="20"/>
      <c r="Q188" s="20"/>
      <c r="R188" s="20"/>
      <c r="S188" s="20"/>
      <c r="T188" s="20"/>
      <c r="U188" s="20"/>
      <c r="V188" s="20"/>
      <c r="W188" s="20"/>
      <c r="X188" s="20"/>
      <c r="Y188" s="20"/>
      <c r="Z188" s="20"/>
      <c r="AA188" s="20"/>
      <c r="AB188" s="20"/>
      <c r="AC188" s="20"/>
    </row>
    <row r="189" spans="1:29">
      <c r="A189" s="20"/>
      <c r="B189" s="20"/>
      <c r="C189" s="20"/>
      <c r="D189" s="20"/>
      <c r="E189" s="20"/>
      <c r="F189" s="20"/>
      <c r="G189" s="20"/>
      <c r="H189" s="20"/>
      <c r="I189" s="20"/>
      <c r="J189" s="20"/>
      <c r="K189" s="20"/>
      <c r="L189" s="20"/>
      <c r="M189" s="20"/>
      <c r="N189" s="20"/>
      <c r="O189" s="20"/>
      <c r="P189" s="20"/>
      <c r="Q189" s="20"/>
      <c r="R189" s="20"/>
      <c r="S189" s="20"/>
      <c r="T189" s="20"/>
      <c r="U189" s="20"/>
      <c r="V189" s="20"/>
      <c r="W189" s="20"/>
      <c r="X189" s="20"/>
      <c r="Y189" s="20"/>
      <c r="Z189" s="20"/>
      <c r="AA189" s="20"/>
      <c r="AB189" s="20"/>
      <c r="AC189" s="20"/>
    </row>
    <row r="190" spans="1:29">
      <c r="A190" s="20"/>
      <c r="B190" s="20"/>
      <c r="C190" s="20"/>
      <c r="D190" s="20"/>
      <c r="E190" s="20"/>
      <c r="F190" s="20"/>
      <c r="G190" s="20"/>
      <c r="H190" s="20"/>
      <c r="I190" s="20"/>
      <c r="J190" s="20"/>
      <c r="K190" s="20"/>
      <c r="L190" s="20"/>
      <c r="M190" s="20"/>
      <c r="N190" s="20"/>
      <c r="O190" s="20"/>
      <c r="P190" s="20"/>
      <c r="Q190" s="20"/>
      <c r="R190" s="20"/>
      <c r="S190" s="20"/>
      <c r="T190" s="20"/>
      <c r="U190" s="20"/>
      <c r="V190" s="20"/>
      <c r="W190" s="20"/>
      <c r="X190" s="20"/>
      <c r="Y190" s="20"/>
      <c r="Z190" s="20"/>
      <c r="AA190" s="20"/>
      <c r="AB190" s="20"/>
      <c r="AC190" s="20"/>
    </row>
    <row r="191" spans="1:29">
      <c r="A191" s="20"/>
      <c r="B191" s="20"/>
      <c r="C191" s="20"/>
      <c r="D191" s="20"/>
      <c r="E191" s="20"/>
      <c r="F191" s="20"/>
      <c r="G191" s="20"/>
      <c r="H191" s="20"/>
      <c r="I191" s="20"/>
      <c r="J191" s="20"/>
      <c r="K191" s="20"/>
      <c r="L191" s="20"/>
      <c r="M191" s="20"/>
      <c r="N191" s="20"/>
      <c r="O191" s="20"/>
      <c r="P191" s="20"/>
      <c r="Q191" s="20"/>
      <c r="R191" s="20"/>
      <c r="S191" s="20"/>
      <c r="T191" s="20"/>
      <c r="U191" s="20"/>
      <c r="V191" s="20"/>
      <c r="W191" s="20"/>
      <c r="X191" s="20"/>
      <c r="Y191" s="20"/>
      <c r="Z191" s="20"/>
      <c r="AA191" s="20"/>
      <c r="AB191" s="20"/>
      <c r="AC191" s="20"/>
    </row>
    <row r="192" spans="1:29">
      <c r="A192" s="20"/>
      <c r="B192" s="20"/>
      <c r="C192" s="20"/>
      <c r="D192" s="20"/>
      <c r="E192" s="20"/>
      <c r="F192" s="20"/>
      <c r="G192" s="20"/>
      <c r="H192" s="20"/>
      <c r="I192" s="20"/>
      <c r="J192" s="20"/>
      <c r="K192" s="20"/>
      <c r="L192" s="20"/>
      <c r="M192" s="20"/>
      <c r="N192" s="20"/>
      <c r="O192" s="20"/>
      <c r="P192" s="20"/>
      <c r="Q192" s="20"/>
      <c r="R192" s="20"/>
      <c r="S192" s="20"/>
      <c r="T192" s="20"/>
      <c r="U192" s="20"/>
      <c r="V192" s="20"/>
      <c r="W192" s="20"/>
      <c r="X192" s="20"/>
      <c r="Y192" s="20"/>
      <c r="Z192" s="20"/>
      <c r="AA192" s="20"/>
      <c r="AB192" s="20"/>
      <c r="AC192" s="20"/>
    </row>
    <row r="193" spans="1:29">
      <c r="A193" s="20"/>
      <c r="B193" s="20"/>
      <c r="C193" s="20"/>
      <c r="D193" s="20"/>
      <c r="E193" s="20"/>
      <c r="F193" s="20"/>
      <c r="G193" s="20"/>
      <c r="H193" s="20"/>
      <c r="I193" s="20"/>
      <c r="J193" s="20"/>
      <c r="K193" s="20"/>
      <c r="L193" s="20"/>
      <c r="M193" s="20"/>
      <c r="N193" s="20"/>
      <c r="O193" s="20"/>
      <c r="P193" s="20"/>
      <c r="Q193" s="20"/>
      <c r="R193" s="20"/>
      <c r="S193" s="20"/>
      <c r="T193" s="20"/>
      <c r="U193" s="20"/>
      <c r="V193" s="20"/>
      <c r="W193" s="20"/>
      <c r="X193" s="20"/>
      <c r="Y193" s="20"/>
      <c r="Z193" s="20"/>
      <c r="AA193" s="20"/>
      <c r="AB193" s="20"/>
      <c r="AC193" s="20"/>
    </row>
    <row r="194" spans="1:29">
      <c r="A194" s="20"/>
      <c r="B194" s="20"/>
      <c r="C194" s="20"/>
      <c r="D194" s="20"/>
      <c r="E194" s="20"/>
      <c r="F194" s="20"/>
      <c r="G194" s="20"/>
      <c r="H194" s="20"/>
      <c r="I194" s="20"/>
      <c r="J194" s="20"/>
      <c r="K194" s="20"/>
      <c r="L194" s="20"/>
      <c r="M194" s="20"/>
      <c r="N194" s="20"/>
      <c r="O194" s="20"/>
      <c r="P194" s="20"/>
      <c r="Q194" s="20"/>
      <c r="R194" s="20"/>
      <c r="S194" s="20"/>
      <c r="T194" s="20"/>
      <c r="U194" s="20"/>
      <c r="V194" s="20"/>
      <c r="W194" s="20"/>
      <c r="X194" s="20"/>
      <c r="Y194" s="20"/>
      <c r="Z194" s="20"/>
      <c r="AA194" s="20"/>
      <c r="AB194" s="20"/>
      <c r="AC194" s="20"/>
    </row>
    <row r="195" spans="1:29">
      <c r="A195" s="20"/>
      <c r="B195" s="20"/>
      <c r="C195" s="20"/>
      <c r="D195" s="20"/>
      <c r="E195" s="20"/>
      <c r="F195" s="20"/>
      <c r="G195" s="20"/>
      <c r="H195" s="20"/>
      <c r="I195" s="20"/>
      <c r="J195" s="20"/>
      <c r="K195" s="20"/>
      <c r="L195" s="20"/>
      <c r="M195" s="20"/>
      <c r="N195" s="20"/>
      <c r="O195" s="20"/>
      <c r="P195" s="20"/>
      <c r="Q195" s="20"/>
      <c r="R195" s="20"/>
      <c r="S195" s="20"/>
      <c r="T195" s="20"/>
      <c r="U195" s="20"/>
      <c r="V195" s="20"/>
      <c r="W195" s="20"/>
      <c r="X195" s="20"/>
      <c r="Y195" s="20"/>
      <c r="Z195" s="20"/>
      <c r="AA195" s="20"/>
      <c r="AB195" s="20"/>
      <c r="AC195" s="20"/>
    </row>
    <row r="196" spans="1:29">
      <c r="A196" s="20"/>
      <c r="B196" s="20"/>
      <c r="C196" s="20"/>
      <c r="D196" s="20"/>
      <c r="E196" s="20"/>
      <c r="F196" s="20"/>
      <c r="G196" s="20"/>
      <c r="H196" s="20"/>
      <c r="I196" s="20"/>
      <c r="J196" s="20"/>
      <c r="K196" s="20"/>
      <c r="L196" s="20"/>
      <c r="M196" s="20"/>
      <c r="N196" s="20"/>
      <c r="O196" s="20"/>
      <c r="P196" s="20"/>
      <c r="Q196" s="20"/>
      <c r="R196" s="20"/>
      <c r="S196" s="20"/>
      <c r="T196" s="20"/>
      <c r="U196" s="20"/>
      <c r="V196" s="20"/>
      <c r="W196" s="20"/>
      <c r="X196" s="20"/>
      <c r="Y196" s="20"/>
      <c r="Z196" s="20"/>
      <c r="AA196" s="20"/>
      <c r="AB196" s="20"/>
      <c r="AC196" s="20"/>
    </row>
    <row r="197" spans="1:29">
      <c r="A197" s="20"/>
      <c r="B197" s="20"/>
      <c r="C197" s="20"/>
      <c r="D197" s="20"/>
      <c r="E197" s="20"/>
      <c r="F197" s="20"/>
      <c r="G197" s="20"/>
      <c r="H197" s="20"/>
      <c r="I197" s="20"/>
      <c r="J197" s="20"/>
      <c r="K197" s="20"/>
      <c r="L197" s="20"/>
      <c r="M197" s="20"/>
      <c r="N197" s="20"/>
      <c r="O197" s="20"/>
      <c r="P197" s="20"/>
      <c r="Q197" s="20"/>
      <c r="R197" s="20"/>
      <c r="S197" s="20"/>
      <c r="T197" s="20"/>
      <c r="U197" s="20"/>
      <c r="V197" s="20"/>
      <c r="W197" s="20"/>
      <c r="X197" s="20"/>
      <c r="Y197" s="20"/>
      <c r="Z197" s="20"/>
      <c r="AA197" s="20"/>
      <c r="AB197" s="20"/>
      <c r="AC197" s="20"/>
    </row>
    <row r="198" spans="1:29">
      <c r="A198" s="20"/>
      <c r="B198" s="20"/>
      <c r="C198" s="20"/>
      <c r="D198" s="20"/>
      <c r="E198" s="20"/>
      <c r="F198" s="20"/>
      <c r="G198" s="20"/>
      <c r="H198" s="20"/>
      <c r="I198" s="20"/>
      <c r="J198" s="20"/>
      <c r="K198" s="20"/>
      <c r="L198" s="20"/>
      <c r="M198" s="20"/>
      <c r="N198" s="20"/>
      <c r="O198" s="20"/>
      <c r="P198" s="20"/>
      <c r="Q198" s="20"/>
      <c r="R198" s="20"/>
      <c r="S198" s="20"/>
      <c r="T198" s="20"/>
      <c r="U198" s="20"/>
      <c r="V198" s="20"/>
      <c r="W198" s="20"/>
      <c r="X198" s="20"/>
      <c r="Y198" s="20"/>
      <c r="Z198" s="20"/>
      <c r="AA198" s="20"/>
      <c r="AB198" s="20"/>
      <c r="AC198" s="20"/>
    </row>
    <row r="199" spans="1:29">
      <c r="A199" s="20"/>
      <c r="B199" s="20"/>
      <c r="C199" s="20"/>
      <c r="D199" s="20"/>
      <c r="E199" s="20"/>
      <c r="F199" s="20"/>
      <c r="G199" s="20"/>
      <c r="H199" s="20"/>
      <c r="I199" s="20"/>
      <c r="J199" s="20"/>
      <c r="K199" s="20"/>
      <c r="L199" s="20"/>
      <c r="M199" s="20"/>
      <c r="N199" s="20"/>
      <c r="O199" s="20"/>
      <c r="P199" s="20"/>
      <c r="Q199" s="20"/>
      <c r="R199" s="20"/>
      <c r="S199" s="20"/>
      <c r="T199" s="20"/>
      <c r="U199" s="20"/>
      <c r="V199" s="20"/>
      <c r="W199" s="20"/>
      <c r="X199" s="20"/>
      <c r="Y199" s="20"/>
      <c r="Z199" s="20"/>
      <c r="AA199" s="20"/>
      <c r="AB199" s="20"/>
      <c r="AC199" s="20"/>
    </row>
    <row r="200" spans="1:29">
      <c r="A200" s="20"/>
      <c r="B200" s="20"/>
      <c r="C200" s="20"/>
      <c r="D200" s="20"/>
      <c r="E200" s="20"/>
      <c r="F200" s="20"/>
      <c r="G200" s="20"/>
      <c r="H200" s="20"/>
      <c r="I200" s="20"/>
      <c r="J200" s="20"/>
      <c r="K200" s="20"/>
      <c r="L200" s="20"/>
      <c r="M200" s="20"/>
      <c r="N200" s="20"/>
      <c r="O200" s="20"/>
      <c r="P200" s="20"/>
      <c r="Q200" s="20"/>
      <c r="R200" s="20"/>
      <c r="S200" s="20"/>
      <c r="T200" s="20"/>
      <c r="U200" s="20"/>
      <c r="V200" s="20"/>
      <c r="W200" s="20"/>
      <c r="X200" s="20"/>
      <c r="Y200" s="20"/>
      <c r="Z200" s="20"/>
      <c r="AA200" s="20"/>
      <c r="AB200" s="20"/>
      <c r="AC200" s="20"/>
    </row>
    <row r="201" spans="1:29">
      <c r="A201" s="20"/>
      <c r="B201" s="20"/>
      <c r="C201" s="20"/>
      <c r="D201" s="20"/>
      <c r="E201" s="20"/>
      <c r="F201" s="20"/>
      <c r="G201" s="20"/>
      <c r="H201" s="20"/>
      <c r="I201" s="20"/>
      <c r="J201" s="20"/>
      <c r="K201" s="20"/>
      <c r="L201" s="20"/>
      <c r="M201" s="20"/>
      <c r="N201" s="20"/>
      <c r="O201" s="20"/>
      <c r="P201" s="20"/>
      <c r="Q201" s="20"/>
      <c r="R201" s="20"/>
      <c r="S201" s="20"/>
      <c r="T201" s="20"/>
      <c r="U201" s="20"/>
      <c r="V201" s="20"/>
      <c r="W201" s="20"/>
      <c r="X201" s="20"/>
      <c r="Y201" s="20"/>
      <c r="Z201" s="20"/>
      <c r="AA201" s="20"/>
      <c r="AB201" s="20"/>
      <c r="AC201" s="20"/>
    </row>
    <row r="202" spans="1:29">
      <c r="A202" s="20"/>
      <c r="B202" s="20"/>
      <c r="C202" s="20"/>
      <c r="D202" s="20"/>
      <c r="E202" s="20"/>
      <c r="F202" s="20"/>
      <c r="G202" s="20"/>
      <c r="H202" s="20"/>
      <c r="I202" s="20"/>
      <c r="J202" s="20"/>
      <c r="K202" s="20"/>
      <c r="L202" s="20"/>
      <c r="M202" s="20"/>
      <c r="N202" s="20"/>
      <c r="O202" s="20"/>
      <c r="P202" s="20"/>
      <c r="Q202" s="20"/>
      <c r="R202" s="20"/>
      <c r="S202" s="20"/>
      <c r="T202" s="20"/>
      <c r="U202" s="20"/>
      <c r="V202" s="20"/>
      <c r="W202" s="20"/>
      <c r="X202" s="20"/>
      <c r="Y202" s="20"/>
      <c r="Z202" s="20"/>
      <c r="AA202" s="20"/>
      <c r="AB202" s="20"/>
      <c r="AC202" s="20"/>
    </row>
    <row r="203" spans="1:29">
      <c r="A203" s="20"/>
      <c r="B203" s="20"/>
      <c r="C203" s="20"/>
      <c r="D203" s="20"/>
      <c r="E203" s="20"/>
      <c r="F203" s="20"/>
      <c r="G203" s="20"/>
      <c r="H203" s="20"/>
      <c r="I203" s="20"/>
      <c r="J203" s="20"/>
      <c r="K203" s="20"/>
      <c r="L203" s="20"/>
      <c r="M203" s="20"/>
      <c r="N203" s="20"/>
      <c r="O203" s="20"/>
      <c r="P203" s="20"/>
      <c r="Q203" s="20"/>
      <c r="R203" s="20"/>
      <c r="S203" s="20"/>
      <c r="T203" s="20"/>
      <c r="U203" s="20"/>
      <c r="V203" s="20"/>
      <c r="W203" s="20"/>
      <c r="X203" s="20"/>
      <c r="Y203" s="20"/>
      <c r="Z203" s="20"/>
      <c r="AA203" s="20"/>
      <c r="AB203" s="20"/>
      <c r="AC203" s="20"/>
    </row>
    <row r="204" spans="1:29">
      <c r="A204" s="20"/>
      <c r="B204" s="20"/>
      <c r="C204" s="20"/>
      <c r="D204" s="20"/>
      <c r="E204" s="20"/>
      <c r="F204" s="20"/>
      <c r="G204" s="20"/>
      <c r="H204" s="20"/>
      <c r="I204" s="20"/>
      <c r="J204" s="20"/>
      <c r="K204" s="20"/>
      <c r="L204" s="20"/>
      <c r="M204" s="20"/>
      <c r="N204" s="20"/>
      <c r="O204" s="20"/>
      <c r="P204" s="20"/>
      <c r="Q204" s="20"/>
      <c r="R204" s="20"/>
      <c r="S204" s="20"/>
      <c r="T204" s="20"/>
      <c r="U204" s="20"/>
      <c r="V204" s="20"/>
      <c r="W204" s="20"/>
      <c r="X204" s="20"/>
      <c r="Y204" s="20"/>
      <c r="Z204" s="20"/>
      <c r="AA204" s="20"/>
      <c r="AB204" s="20"/>
      <c r="AC204" s="20"/>
    </row>
    <row r="205" spans="1:29">
      <c r="A205" s="20"/>
      <c r="B205" s="20"/>
      <c r="C205" s="20"/>
      <c r="D205" s="20"/>
      <c r="E205" s="20"/>
      <c r="F205" s="20"/>
      <c r="G205" s="20"/>
      <c r="H205" s="20"/>
      <c r="I205" s="20"/>
      <c r="J205" s="20"/>
      <c r="K205" s="20"/>
      <c r="L205" s="20"/>
      <c r="M205" s="20"/>
      <c r="N205" s="20"/>
      <c r="O205" s="20"/>
      <c r="P205" s="20"/>
      <c r="Q205" s="20"/>
      <c r="R205" s="20"/>
      <c r="S205" s="20"/>
      <c r="T205" s="20"/>
      <c r="U205" s="20"/>
      <c r="V205" s="20"/>
      <c r="W205" s="20"/>
      <c r="X205" s="20"/>
      <c r="Y205" s="20"/>
      <c r="Z205" s="20"/>
      <c r="AA205" s="20"/>
      <c r="AB205" s="20"/>
      <c r="AC205" s="20"/>
    </row>
    <row r="206" spans="1:29">
      <c r="A206" s="20"/>
      <c r="B206" s="20"/>
      <c r="C206" s="20"/>
      <c r="D206" s="20"/>
      <c r="E206" s="20"/>
      <c r="F206" s="20"/>
      <c r="G206" s="20"/>
      <c r="H206" s="20"/>
      <c r="I206" s="20"/>
      <c r="J206" s="20"/>
      <c r="K206" s="20"/>
      <c r="L206" s="20"/>
      <c r="M206" s="20"/>
      <c r="N206" s="20"/>
      <c r="O206" s="20"/>
      <c r="P206" s="20"/>
      <c r="Q206" s="20"/>
      <c r="R206" s="20"/>
      <c r="S206" s="20"/>
      <c r="T206" s="20"/>
      <c r="U206" s="20"/>
      <c r="V206" s="20"/>
      <c r="W206" s="20"/>
      <c r="X206" s="20"/>
      <c r="Y206" s="20"/>
      <c r="Z206" s="20"/>
      <c r="AA206" s="20"/>
      <c r="AB206" s="20"/>
      <c r="AC206" s="20"/>
    </row>
    <row r="207" spans="1:29">
      <c r="A207" s="20"/>
      <c r="B207" s="20"/>
      <c r="C207" s="20"/>
      <c r="D207" s="20"/>
      <c r="E207" s="20"/>
      <c r="F207" s="20"/>
      <c r="G207" s="20"/>
      <c r="H207" s="20"/>
      <c r="I207" s="20"/>
      <c r="J207" s="20"/>
      <c r="K207" s="20"/>
      <c r="L207" s="20"/>
      <c r="M207" s="20"/>
      <c r="N207" s="20"/>
      <c r="O207" s="20"/>
      <c r="P207" s="20"/>
      <c r="Q207" s="20"/>
      <c r="R207" s="20"/>
      <c r="S207" s="20"/>
      <c r="T207" s="20"/>
      <c r="U207" s="20"/>
      <c r="V207" s="20"/>
      <c r="W207" s="20"/>
      <c r="X207" s="20"/>
      <c r="Y207" s="20"/>
      <c r="Z207" s="20"/>
      <c r="AA207" s="20"/>
      <c r="AB207" s="20"/>
      <c r="AC207" s="20"/>
    </row>
    <row r="208" spans="1:29">
      <c r="A208" s="20"/>
      <c r="B208" s="20"/>
      <c r="C208" s="20"/>
      <c r="D208" s="20"/>
      <c r="E208" s="20"/>
      <c r="F208" s="20"/>
      <c r="G208" s="20"/>
      <c r="H208" s="20"/>
      <c r="I208" s="20"/>
      <c r="J208" s="20"/>
      <c r="K208" s="20"/>
      <c r="L208" s="20"/>
      <c r="M208" s="20"/>
      <c r="N208" s="20"/>
      <c r="O208" s="20"/>
      <c r="P208" s="20"/>
      <c r="Q208" s="20"/>
      <c r="R208" s="20"/>
      <c r="S208" s="20"/>
      <c r="T208" s="20"/>
      <c r="U208" s="20"/>
      <c r="V208" s="20"/>
      <c r="W208" s="20"/>
      <c r="X208" s="20"/>
      <c r="Y208" s="20"/>
      <c r="Z208" s="20"/>
      <c r="AA208" s="20"/>
      <c r="AB208" s="20"/>
      <c r="AC208" s="20"/>
    </row>
    <row r="209" spans="1:29">
      <c r="A209" s="20"/>
      <c r="B209" s="20"/>
      <c r="C209" s="20"/>
      <c r="D209" s="20"/>
      <c r="E209" s="20"/>
      <c r="F209" s="20"/>
      <c r="G209" s="20"/>
      <c r="H209" s="20"/>
      <c r="I209" s="20"/>
      <c r="J209" s="20"/>
      <c r="K209" s="20"/>
      <c r="L209" s="20"/>
      <c r="M209" s="20"/>
      <c r="N209" s="20"/>
      <c r="O209" s="20"/>
      <c r="P209" s="20"/>
      <c r="Q209" s="20"/>
      <c r="R209" s="20"/>
      <c r="S209" s="20"/>
      <c r="T209" s="20"/>
      <c r="U209" s="20"/>
      <c r="V209" s="20"/>
      <c r="W209" s="20"/>
      <c r="X209" s="20"/>
      <c r="Y209" s="20"/>
      <c r="Z209" s="20"/>
      <c r="AA209" s="20"/>
      <c r="AB209" s="20"/>
      <c r="AC209" s="20"/>
    </row>
    <row r="210" spans="1:29">
      <c r="A210" s="20"/>
      <c r="B210" s="20"/>
      <c r="C210" s="20"/>
      <c r="D210" s="20"/>
      <c r="E210" s="20"/>
      <c r="F210" s="20"/>
      <c r="G210" s="20"/>
      <c r="H210" s="20"/>
      <c r="I210" s="20"/>
      <c r="J210" s="20"/>
      <c r="K210" s="20"/>
      <c r="L210" s="20"/>
      <c r="M210" s="20"/>
      <c r="N210" s="20"/>
      <c r="O210" s="20"/>
      <c r="P210" s="20"/>
      <c r="Q210" s="20"/>
      <c r="R210" s="20"/>
      <c r="S210" s="20"/>
      <c r="T210" s="20"/>
      <c r="U210" s="20"/>
      <c r="V210" s="20"/>
      <c r="W210" s="20"/>
      <c r="X210" s="20"/>
      <c r="Y210" s="20"/>
      <c r="Z210" s="20"/>
      <c r="AA210" s="20"/>
      <c r="AB210" s="20"/>
      <c r="AC210" s="20"/>
    </row>
    <row r="211" spans="1:29">
      <c r="A211" s="20"/>
      <c r="B211" s="20"/>
      <c r="C211" s="20"/>
      <c r="D211" s="20"/>
      <c r="E211" s="20"/>
      <c r="F211" s="20"/>
      <c r="G211" s="20"/>
      <c r="H211" s="20"/>
      <c r="I211" s="20"/>
      <c r="J211" s="20"/>
      <c r="K211" s="20"/>
      <c r="L211" s="20"/>
      <c r="M211" s="20"/>
      <c r="N211" s="20"/>
      <c r="O211" s="20"/>
      <c r="P211" s="20"/>
      <c r="Q211" s="20"/>
      <c r="R211" s="20"/>
      <c r="S211" s="20"/>
      <c r="T211" s="20"/>
      <c r="U211" s="20"/>
      <c r="V211" s="20"/>
      <c r="W211" s="20"/>
      <c r="X211" s="20"/>
      <c r="Y211" s="20"/>
      <c r="Z211" s="20"/>
      <c r="AA211" s="20"/>
      <c r="AB211" s="20"/>
      <c r="AC211" s="20"/>
    </row>
    <row r="212" spans="1:29">
      <c r="A212" s="20"/>
      <c r="B212" s="20"/>
      <c r="C212" s="20"/>
      <c r="D212" s="20"/>
      <c r="E212" s="20"/>
      <c r="F212" s="20"/>
      <c r="G212" s="20"/>
      <c r="H212" s="20"/>
      <c r="I212" s="20"/>
      <c r="J212" s="20"/>
      <c r="K212" s="20"/>
      <c r="L212" s="20"/>
      <c r="M212" s="20"/>
      <c r="N212" s="20"/>
      <c r="O212" s="20"/>
      <c r="P212" s="20"/>
      <c r="Q212" s="20"/>
      <c r="R212" s="20"/>
      <c r="S212" s="20"/>
      <c r="T212" s="20"/>
      <c r="U212" s="20"/>
      <c r="V212" s="20"/>
      <c r="W212" s="20"/>
      <c r="X212" s="20"/>
      <c r="Y212" s="20"/>
      <c r="Z212" s="20"/>
      <c r="AA212" s="20"/>
      <c r="AB212" s="20"/>
      <c r="AC212" s="20"/>
    </row>
    <row r="213" spans="1:29">
      <c r="A213" s="20"/>
      <c r="B213" s="20"/>
      <c r="C213" s="20"/>
      <c r="D213" s="20"/>
      <c r="E213" s="20"/>
      <c r="F213" s="20"/>
      <c r="G213" s="20"/>
      <c r="H213" s="20"/>
      <c r="I213" s="20"/>
      <c r="J213" s="20"/>
      <c r="K213" s="20"/>
      <c r="L213" s="20"/>
      <c r="M213" s="20"/>
      <c r="N213" s="20"/>
      <c r="O213" s="20"/>
      <c r="P213" s="20"/>
      <c r="Q213" s="20"/>
      <c r="R213" s="20"/>
      <c r="S213" s="20"/>
      <c r="T213" s="20"/>
      <c r="U213" s="20"/>
      <c r="V213" s="20"/>
      <c r="W213" s="20"/>
      <c r="X213" s="20"/>
      <c r="Y213" s="20"/>
      <c r="Z213" s="20"/>
      <c r="AA213" s="20"/>
      <c r="AB213" s="20"/>
      <c r="AC213" s="20"/>
    </row>
    <row r="214" spans="1:29">
      <c r="A214" s="20"/>
      <c r="B214" s="20"/>
      <c r="C214" s="20"/>
      <c r="D214" s="20"/>
      <c r="E214" s="20"/>
      <c r="F214" s="20"/>
      <c r="G214" s="20"/>
      <c r="H214" s="20"/>
      <c r="I214" s="20"/>
      <c r="J214" s="20"/>
      <c r="K214" s="20"/>
      <c r="L214" s="20"/>
      <c r="M214" s="20"/>
      <c r="N214" s="20"/>
      <c r="O214" s="20"/>
      <c r="P214" s="20"/>
      <c r="Q214" s="20"/>
      <c r="R214" s="20"/>
      <c r="S214" s="20"/>
      <c r="T214" s="20"/>
      <c r="U214" s="20"/>
      <c r="V214" s="20"/>
      <c r="W214" s="20"/>
      <c r="X214" s="20"/>
      <c r="Y214" s="20"/>
      <c r="Z214" s="20"/>
      <c r="AA214" s="20"/>
      <c r="AB214" s="20"/>
      <c r="AC214" s="20"/>
    </row>
    <row r="215" spans="1:29">
      <c r="A215" s="20"/>
      <c r="B215" s="20"/>
      <c r="C215" s="20"/>
      <c r="D215" s="20"/>
      <c r="E215" s="20"/>
      <c r="F215" s="20"/>
      <c r="G215" s="20"/>
      <c r="H215" s="20"/>
      <c r="I215" s="20"/>
      <c r="J215" s="20"/>
      <c r="K215" s="20"/>
      <c r="L215" s="20"/>
      <c r="M215" s="20"/>
      <c r="N215" s="20"/>
      <c r="O215" s="20"/>
      <c r="P215" s="20"/>
      <c r="Q215" s="20"/>
      <c r="R215" s="20"/>
      <c r="S215" s="20"/>
      <c r="T215" s="20"/>
      <c r="U215" s="20"/>
      <c r="V215" s="20"/>
      <c r="W215" s="20"/>
      <c r="X215" s="20"/>
      <c r="Y215" s="20"/>
      <c r="Z215" s="20"/>
      <c r="AA215" s="20"/>
      <c r="AB215" s="20"/>
      <c r="AC215" s="20"/>
    </row>
    <row r="216" spans="1:29">
      <c r="A216" s="20"/>
      <c r="B216" s="20"/>
      <c r="C216" s="20"/>
      <c r="D216" s="20"/>
      <c r="E216" s="20"/>
      <c r="F216" s="20"/>
      <c r="G216" s="20"/>
      <c r="H216" s="20"/>
      <c r="I216" s="20"/>
      <c r="J216" s="20"/>
      <c r="K216" s="20"/>
      <c r="L216" s="20"/>
      <c r="M216" s="20"/>
      <c r="N216" s="20"/>
      <c r="O216" s="20"/>
      <c r="P216" s="20"/>
      <c r="Q216" s="20"/>
      <c r="R216" s="20"/>
      <c r="S216" s="20"/>
      <c r="T216" s="20"/>
      <c r="U216" s="20"/>
      <c r="V216" s="20"/>
      <c r="W216" s="20"/>
      <c r="X216" s="20"/>
      <c r="Y216" s="20"/>
      <c r="Z216" s="20"/>
      <c r="AA216" s="20"/>
      <c r="AB216" s="20"/>
      <c r="AC216" s="20"/>
    </row>
    <row r="217" spans="1:29">
      <c r="A217" s="20"/>
      <c r="B217" s="20"/>
      <c r="C217" s="20"/>
      <c r="D217" s="20"/>
      <c r="E217" s="20"/>
      <c r="F217" s="20"/>
      <c r="G217" s="20"/>
      <c r="H217" s="20"/>
      <c r="I217" s="20"/>
      <c r="J217" s="20"/>
      <c r="K217" s="20"/>
      <c r="L217" s="20"/>
      <c r="M217" s="20"/>
      <c r="N217" s="20"/>
      <c r="O217" s="20"/>
      <c r="P217" s="20"/>
      <c r="Q217" s="20"/>
      <c r="R217" s="20"/>
      <c r="S217" s="20"/>
      <c r="T217" s="20"/>
      <c r="U217" s="20"/>
      <c r="V217" s="20"/>
      <c r="W217" s="20"/>
      <c r="X217" s="20"/>
      <c r="Y217" s="20"/>
      <c r="Z217" s="20"/>
      <c r="AA217" s="20"/>
      <c r="AB217" s="20"/>
      <c r="AC217" s="20"/>
    </row>
    <row r="218" spans="1:29">
      <c r="A218" s="20"/>
      <c r="B218" s="20"/>
      <c r="C218" s="20"/>
      <c r="D218" s="20"/>
      <c r="E218" s="20"/>
      <c r="F218" s="20"/>
      <c r="G218" s="20"/>
      <c r="H218" s="20"/>
      <c r="I218" s="20"/>
      <c r="J218" s="20"/>
      <c r="K218" s="20"/>
      <c r="L218" s="20"/>
      <c r="M218" s="20"/>
      <c r="N218" s="20"/>
      <c r="O218" s="20"/>
      <c r="P218" s="20"/>
      <c r="Q218" s="20"/>
      <c r="R218" s="20"/>
      <c r="S218" s="20"/>
      <c r="T218" s="20"/>
      <c r="U218" s="20"/>
      <c r="V218" s="20"/>
      <c r="W218" s="20"/>
      <c r="X218" s="20"/>
      <c r="Y218" s="20"/>
      <c r="Z218" s="20"/>
      <c r="AA218" s="20"/>
      <c r="AB218" s="20"/>
      <c r="AC218" s="20"/>
    </row>
    <row r="219" spans="1:29">
      <c r="A219" s="20"/>
      <c r="B219" s="20"/>
      <c r="C219" s="20"/>
      <c r="D219" s="20"/>
      <c r="E219" s="20"/>
      <c r="F219" s="20"/>
      <c r="G219" s="20"/>
      <c r="H219" s="20"/>
      <c r="I219" s="20"/>
      <c r="J219" s="20"/>
      <c r="K219" s="20"/>
      <c r="L219" s="20"/>
      <c r="M219" s="20"/>
      <c r="N219" s="20"/>
      <c r="O219" s="20"/>
      <c r="P219" s="20"/>
      <c r="Q219" s="20"/>
      <c r="R219" s="20"/>
      <c r="S219" s="20"/>
      <c r="T219" s="20"/>
      <c r="U219" s="20"/>
      <c r="V219" s="20"/>
      <c r="W219" s="20"/>
      <c r="X219" s="20"/>
      <c r="Y219" s="20"/>
      <c r="Z219" s="20"/>
      <c r="AA219" s="20"/>
      <c r="AB219" s="20"/>
      <c r="AC219" s="20"/>
    </row>
    <row r="220" spans="1:29">
      <c r="A220" s="20"/>
      <c r="B220" s="20"/>
      <c r="C220" s="20"/>
      <c r="D220" s="20"/>
      <c r="E220" s="20"/>
      <c r="F220" s="20"/>
      <c r="G220" s="20"/>
      <c r="H220" s="20"/>
      <c r="I220" s="20"/>
      <c r="J220" s="20"/>
      <c r="K220" s="20"/>
      <c r="L220" s="20"/>
      <c r="M220" s="20"/>
      <c r="N220" s="20"/>
      <c r="O220" s="20"/>
      <c r="P220" s="20"/>
      <c r="Q220" s="20"/>
      <c r="R220" s="20"/>
      <c r="S220" s="20"/>
      <c r="T220" s="20"/>
      <c r="U220" s="20"/>
      <c r="V220" s="20"/>
      <c r="W220" s="20"/>
      <c r="X220" s="20"/>
      <c r="Y220" s="20"/>
      <c r="Z220" s="20"/>
      <c r="AA220" s="20"/>
      <c r="AB220" s="20"/>
      <c r="AC220" s="20"/>
    </row>
    <row r="221" spans="1:29">
      <c r="A221" s="20"/>
      <c r="B221" s="20"/>
      <c r="C221" s="20"/>
      <c r="D221" s="20"/>
      <c r="E221" s="20"/>
      <c r="F221" s="20"/>
      <c r="G221" s="20"/>
      <c r="H221" s="20"/>
      <c r="I221" s="20"/>
      <c r="J221" s="20"/>
      <c r="K221" s="20"/>
      <c r="L221" s="20"/>
      <c r="M221" s="20"/>
      <c r="N221" s="20"/>
      <c r="O221" s="20"/>
      <c r="P221" s="20"/>
      <c r="Q221" s="20"/>
      <c r="R221" s="20"/>
      <c r="S221" s="20"/>
      <c r="T221" s="20"/>
      <c r="U221" s="20"/>
      <c r="V221" s="20"/>
      <c r="W221" s="20"/>
      <c r="X221" s="20"/>
      <c r="Y221" s="20"/>
      <c r="Z221" s="20"/>
      <c r="AA221" s="20"/>
      <c r="AB221" s="20"/>
      <c r="AC221" s="20"/>
    </row>
    <row r="222" spans="1:29">
      <c r="A222" s="20"/>
      <c r="B222" s="20"/>
      <c r="C222" s="20"/>
      <c r="D222" s="20"/>
      <c r="E222" s="20"/>
      <c r="F222" s="20"/>
      <c r="G222" s="20"/>
      <c r="H222" s="20"/>
      <c r="I222" s="20"/>
      <c r="J222" s="20"/>
      <c r="K222" s="20"/>
      <c r="L222" s="20"/>
      <c r="M222" s="20"/>
      <c r="N222" s="20"/>
      <c r="O222" s="20"/>
      <c r="P222" s="20"/>
      <c r="Q222" s="20"/>
      <c r="R222" s="20"/>
      <c r="S222" s="20"/>
    </row>
    <row r="223" spans="1:29">
      <c r="A223" s="20"/>
      <c r="B223" s="20"/>
      <c r="C223" s="20"/>
      <c r="D223" s="20"/>
      <c r="E223" s="20"/>
      <c r="F223" s="20"/>
      <c r="G223" s="20"/>
      <c r="H223" s="20"/>
      <c r="I223" s="20"/>
      <c r="J223" s="20"/>
      <c r="K223" s="20"/>
      <c r="L223" s="20"/>
      <c r="M223" s="20"/>
      <c r="N223" s="20"/>
      <c r="O223" s="20"/>
      <c r="P223" s="20"/>
      <c r="Q223" s="20"/>
      <c r="R223" s="20"/>
      <c r="S223" s="20"/>
    </row>
    <row r="224" spans="1:29">
      <c r="A224" s="20"/>
      <c r="B224" s="20"/>
      <c r="C224" s="20"/>
      <c r="D224" s="20"/>
      <c r="E224" s="20"/>
      <c r="F224" s="20"/>
      <c r="G224" s="20"/>
      <c r="H224" s="20"/>
      <c r="I224" s="20"/>
      <c r="J224" s="20"/>
      <c r="K224" s="20"/>
      <c r="L224" s="20"/>
      <c r="M224" s="20"/>
      <c r="N224" s="20"/>
      <c r="O224" s="20"/>
      <c r="P224" s="20"/>
      <c r="Q224" s="20"/>
      <c r="R224" s="20"/>
      <c r="S224" s="20"/>
    </row>
    <row r="225" spans="1:19">
      <c r="A225" s="20"/>
      <c r="B225" s="20"/>
      <c r="C225" s="20"/>
      <c r="D225" s="20"/>
      <c r="E225" s="20"/>
      <c r="F225" s="20"/>
      <c r="G225" s="20"/>
      <c r="H225" s="20"/>
      <c r="I225" s="20"/>
      <c r="J225" s="20"/>
      <c r="K225" s="20"/>
      <c r="L225" s="20"/>
      <c r="M225" s="20"/>
      <c r="N225" s="20"/>
      <c r="O225" s="20"/>
      <c r="P225" s="20"/>
      <c r="Q225" s="20"/>
      <c r="R225" s="20"/>
      <c r="S225" s="20"/>
    </row>
    <row r="226" spans="1:19">
      <c r="A226" s="20"/>
      <c r="B226" s="20"/>
      <c r="C226" s="20"/>
      <c r="D226" s="20"/>
      <c r="E226" s="20"/>
      <c r="F226" s="20"/>
      <c r="G226" s="20"/>
      <c r="H226" s="20"/>
      <c r="I226" s="20"/>
      <c r="J226" s="20"/>
      <c r="K226" s="20"/>
      <c r="L226" s="20"/>
      <c r="M226" s="20"/>
      <c r="N226" s="20"/>
      <c r="O226" s="20"/>
      <c r="P226" s="20"/>
      <c r="Q226" s="20"/>
      <c r="R226" s="20"/>
      <c r="S226" s="20"/>
    </row>
    <row r="227" spans="1:19">
      <c r="A227" s="20"/>
      <c r="B227" s="20"/>
      <c r="C227" s="20"/>
      <c r="D227" s="20"/>
      <c r="E227" s="20"/>
      <c r="F227" s="20"/>
      <c r="G227" s="20"/>
      <c r="H227" s="20"/>
      <c r="I227" s="20"/>
      <c r="J227" s="20"/>
      <c r="K227" s="20"/>
      <c r="L227" s="20"/>
      <c r="M227" s="20"/>
      <c r="N227" s="20"/>
      <c r="O227" s="20"/>
      <c r="P227" s="20"/>
      <c r="Q227" s="20"/>
      <c r="R227" s="20"/>
      <c r="S227" s="20"/>
    </row>
    <row r="228" spans="1:19">
      <c r="A228" s="20"/>
      <c r="B228" s="20"/>
      <c r="C228" s="20"/>
      <c r="D228" s="20"/>
      <c r="E228" s="20"/>
      <c r="F228" s="20"/>
      <c r="G228" s="20"/>
      <c r="H228" s="20"/>
      <c r="I228" s="20"/>
      <c r="J228" s="20"/>
      <c r="K228" s="20"/>
      <c r="L228" s="20"/>
      <c r="M228" s="20"/>
      <c r="N228" s="20"/>
      <c r="O228" s="20"/>
      <c r="P228" s="20"/>
      <c r="Q228" s="20"/>
      <c r="R228" s="20"/>
      <c r="S228" s="20"/>
    </row>
    <row r="229" spans="1:19">
      <c r="A229" s="20"/>
      <c r="B229" s="20"/>
      <c r="C229" s="20"/>
      <c r="D229" s="20"/>
      <c r="E229" s="20"/>
      <c r="F229" s="20"/>
      <c r="G229" s="20"/>
      <c r="H229" s="20"/>
      <c r="I229" s="20"/>
      <c r="J229" s="20"/>
      <c r="K229" s="20"/>
      <c r="L229" s="20"/>
      <c r="M229" s="20"/>
      <c r="N229" s="20"/>
      <c r="O229" s="20"/>
      <c r="P229" s="20"/>
      <c r="Q229" s="20"/>
      <c r="R229" s="20"/>
      <c r="S229" s="20"/>
    </row>
    <row r="230" spans="1:19">
      <c r="A230" s="20"/>
      <c r="B230" s="20"/>
      <c r="C230" s="20"/>
      <c r="D230" s="20"/>
      <c r="E230" s="20"/>
      <c r="F230" s="20"/>
      <c r="G230" s="20"/>
      <c r="H230" s="20"/>
      <c r="I230" s="20"/>
      <c r="J230" s="20"/>
      <c r="K230" s="20"/>
      <c r="L230" s="20"/>
      <c r="M230" s="20"/>
      <c r="N230" s="20"/>
      <c r="O230" s="20"/>
      <c r="P230" s="20"/>
      <c r="Q230" s="20"/>
      <c r="R230" s="20"/>
      <c r="S230" s="20"/>
    </row>
    <row r="231" spans="1:19">
      <c r="A231" s="20"/>
      <c r="B231" s="20"/>
      <c r="C231" s="20"/>
      <c r="D231" s="20"/>
      <c r="E231" s="20"/>
      <c r="F231" s="20"/>
      <c r="G231" s="20"/>
      <c r="H231" s="20"/>
      <c r="I231" s="20"/>
      <c r="J231" s="20"/>
      <c r="K231" s="20"/>
      <c r="L231" s="20"/>
      <c r="M231" s="20"/>
      <c r="N231" s="20"/>
      <c r="O231" s="20"/>
      <c r="P231" s="20"/>
      <c r="Q231" s="20"/>
      <c r="R231" s="20"/>
      <c r="S231" s="20"/>
    </row>
    <row r="232" spans="1:19">
      <c r="A232" s="20"/>
      <c r="B232" s="20"/>
      <c r="C232" s="20"/>
      <c r="D232" s="20"/>
      <c r="E232" s="20"/>
      <c r="F232" s="20"/>
      <c r="G232" s="20"/>
      <c r="H232" s="20"/>
      <c r="I232" s="20"/>
      <c r="J232" s="20"/>
      <c r="K232" s="20"/>
      <c r="L232" s="20"/>
      <c r="M232" s="20"/>
      <c r="N232" s="20"/>
      <c r="O232" s="20"/>
      <c r="P232" s="20"/>
      <c r="Q232" s="20"/>
      <c r="R232" s="20"/>
      <c r="S232" s="20"/>
    </row>
    <row r="233" spans="1:19">
      <c r="A233" s="20"/>
      <c r="B233" s="20"/>
      <c r="C233" s="20"/>
      <c r="D233" s="20"/>
      <c r="E233" s="20"/>
      <c r="F233" s="20"/>
      <c r="G233" s="20"/>
      <c r="H233" s="20"/>
      <c r="I233" s="20"/>
      <c r="J233" s="20"/>
      <c r="K233" s="20"/>
      <c r="L233" s="20"/>
      <c r="M233" s="20"/>
      <c r="N233" s="20"/>
      <c r="O233" s="20"/>
      <c r="P233" s="20"/>
      <c r="Q233" s="20"/>
      <c r="R233" s="20"/>
      <c r="S233" s="20"/>
    </row>
    <row r="234" spans="1:19">
      <c r="A234" s="20"/>
      <c r="B234" s="20"/>
      <c r="C234" s="20"/>
      <c r="D234" s="20"/>
      <c r="E234" s="20"/>
      <c r="F234" s="20"/>
      <c r="G234" s="20"/>
      <c r="H234" s="20"/>
      <c r="I234" s="20"/>
      <c r="J234" s="20"/>
      <c r="K234" s="20"/>
      <c r="L234" s="20"/>
      <c r="M234" s="20"/>
      <c r="N234" s="20"/>
      <c r="O234" s="20"/>
      <c r="P234" s="20"/>
      <c r="Q234" s="20"/>
      <c r="R234" s="20"/>
      <c r="S234" s="20"/>
    </row>
    <row r="235" spans="1:19">
      <c r="A235" s="20"/>
      <c r="B235" s="20"/>
      <c r="C235" s="20"/>
      <c r="D235" s="20"/>
      <c r="E235" s="20"/>
      <c r="F235" s="20"/>
      <c r="G235" s="20"/>
      <c r="H235" s="20"/>
      <c r="I235" s="20"/>
      <c r="J235" s="20"/>
      <c r="K235" s="20"/>
      <c r="L235" s="20"/>
      <c r="M235" s="20"/>
      <c r="N235" s="20"/>
      <c r="O235" s="20"/>
      <c r="P235" s="20"/>
      <c r="Q235" s="20"/>
      <c r="R235" s="20"/>
      <c r="S235" s="20"/>
    </row>
    <row r="236" spans="1:19">
      <c r="A236" s="20"/>
      <c r="B236" s="20"/>
      <c r="C236" s="20"/>
      <c r="D236" s="20"/>
      <c r="E236" s="20"/>
      <c r="F236" s="20"/>
      <c r="G236" s="20"/>
      <c r="H236" s="20"/>
      <c r="I236" s="20"/>
      <c r="J236" s="20"/>
      <c r="K236" s="20"/>
      <c r="L236" s="20"/>
      <c r="M236" s="20"/>
      <c r="N236" s="20"/>
      <c r="O236" s="20"/>
      <c r="P236" s="20"/>
      <c r="Q236" s="20"/>
      <c r="R236" s="20"/>
      <c r="S236" s="20"/>
    </row>
  </sheetData>
  <sheetProtection algorithmName="SHA-512" hashValue="cFVSFpnBZQ4AG3xf1jLIfQ8nHWqAt5h3c9SkNHPTc74BzlSFPBR+BXKv3wA96/N9sWtaAtfQ9rIfTBGWNLw2lg==" saltValue="rZf5/WgDwv0njtZWQT2bNQ==" spinCount="100000" sheet="1" selectLockedCells="1"/>
  <mergeCells count="9">
    <mergeCell ref="B12:C12"/>
    <mergeCell ref="E3:O4"/>
    <mergeCell ref="D7:F7"/>
    <mergeCell ref="N52:P52"/>
    <mergeCell ref="N14:R14"/>
    <mergeCell ref="L49:P49"/>
    <mergeCell ref="P7:R7"/>
    <mergeCell ref="D9:F9"/>
    <mergeCell ref="E12:F12"/>
  </mergeCells>
  <phoneticPr fontId="2" type="noConversion"/>
  <conditionalFormatting sqref="B11">
    <cfRule type="expression" dxfId="84" priority="4" stopIfTrue="1">
      <formula>$B$11</formula>
    </cfRule>
  </conditionalFormatting>
  <conditionalFormatting sqref="D11">
    <cfRule type="expression" dxfId="83" priority="5" stopIfTrue="1">
      <formula>$D$11</formula>
    </cfRule>
  </conditionalFormatting>
  <conditionalFormatting sqref="F11">
    <cfRule type="expression" dxfId="82" priority="6" stopIfTrue="1">
      <formula>$F$11</formula>
    </cfRule>
  </conditionalFormatting>
  <conditionalFormatting sqref="H11">
    <cfRule type="expression" dxfId="81" priority="7" stopIfTrue="1">
      <formula>$H$11</formula>
    </cfRule>
  </conditionalFormatting>
  <conditionalFormatting sqref="J19 L19 N19 P19 R19 J21 L21 N21 P21 R21 J23 L23 N23 P23 R23 J25 L25 N25 P25 R25 J27 L27 N27 P27 R27 J32 L32 N32 P32 R32 J34 L34 N34 P34 R34 J36 L36 N36 P36 R36 J39 L39 N39 P39 R39 J42 L42 N42 P42 R42">
    <cfRule type="cellIs" dxfId="80" priority="3" stopIfTrue="1" operator="equal">
      <formula>0</formula>
    </cfRule>
  </conditionalFormatting>
  <conditionalFormatting sqref="L11">
    <cfRule type="expression" dxfId="79" priority="8" stopIfTrue="1">
      <formula>$L$11</formula>
    </cfRule>
  </conditionalFormatting>
  <conditionalFormatting sqref="N11">
    <cfRule type="expression" dxfId="78" priority="9" stopIfTrue="1">
      <formula>$N$11</formula>
    </cfRule>
  </conditionalFormatting>
  <conditionalFormatting sqref="N52:P52">
    <cfRule type="expression" dxfId="77" priority="12" stopIfTrue="1">
      <formula>$N$52</formula>
    </cfRule>
  </conditionalFormatting>
  <conditionalFormatting sqref="P11">
    <cfRule type="expression" dxfId="76" priority="10" stopIfTrue="1">
      <formula>$P$11</formula>
    </cfRule>
  </conditionalFormatting>
  <conditionalFormatting sqref="R11">
    <cfRule type="expression" dxfId="75" priority="11" stopIfTrue="1">
      <formula>$R$11</formula>
    </cfRule>
  </conditionalFormatting>
  <conditionalFormatting sqref="A1:AC236">
    <cfRule type="expression" dxfId="74" priority="2" stopIfTrue="1">
      <formula>AND(A1&lt;&gt;"",OR(A1=0,A1="0"))</formula>
    </cfRule>
  </conditionalFormatting>
  <hyperlinks>
    <hyperlink ref="T58" location="'Guía de trabajo'!A37" display="'Guía de trabajo'!A37" xr:uid="{00000000-0004-0000-0900-000000000000}"/>
  </hyperlinks>
  <pageMargins left="0.74803149606299213" right="0.36" top="0.70866141732283472" bottom="0.59" header="0.47244094488188981" footer="0"/>
  <pageSetup paperSize="9" orientation="portrait" blackAndWhite="1" horizontalDpi="120" verticalDpi="144" r:id="rId1"/>
  <headerFooter alignWithMargins="0">
    <oddHeader xml:space="preserve">&amp;LPREFECTURA NAVAL ARGENTINA
</oddHeader>
  </headerFooter>
  <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12"/>
  <dimension ref="A1:AF230"/>
  <sheetViews>
    <sheetView zoomScale="110" zoomScaleNormal="110" zoomScaleSheetLayoutView="100" workbookViewId="0">
      <selection activeCell="P30" sqref="P30"/>
    </sheetView>
  </sheetViews>
  <sheetFormatPr baseColWidth="10" defaultRowHeight="13.2"/>
  <cols>
    <col min="1" max="2" width="5.6640625" customWidth="1"/>
    <col min="3" max="3" width="1.6640625" customWidth="1"/>
    <col min="4" max="4" width="5.6640625" customWidth="1"/>
    <col min="5" max="5" width="4.88671875" customWidth="1"/>
    <col min="6" max="6" width="5.6640625" customWidth="1"/>
    <col min="7" max="7" width="1.109375" customWidth="1"/>
    <col min="8" max="8" width="5.6640625" customWidth="1"/>
    <col min="9" max="9" width="5.33203125" customWidth="1"/>
    <col min="10" max="10" width="5.6640625" customWidth="1"/>
    <col min="11" max="11" width="7" customWidth="1"/>
    <col min="12" max="12" width="5.6640625" customWidth="1"/>
    <col min="13" max="13" width="1.33203125" customWidth="1"/>
    <col min="14" max="14" width="6.44140625" customWidth="1"/>
    <col min="15" max="15" width="1.109375" customWidth="1"/>
    <col min="16" max="16" width="5.6640625" customWidth="1"/>
    <col min="17" max="17" width="2.6640625" customWidth="1"/>
    <col min="18" max="18" width="5.6640625" customWidth="1"/>
    <col min="19" max="19" width="1.109375" customWidth="1"/>
    <col min="20" max="20" width="5.6640625" customWidth="1"/>
    <col min="21" max="21" width="4.6640625" customWidth="1"/>
    <col min="22" max="22" width="5.6640625" customWidth="1"/>
    <col min="23" max="23" width="3.88671875" customWidth="1"/>
  </cols>
  <sheetData>
    <row r="1" spans="1:32" ht="13.8" thickBot="1">
      <c r="A1" s="3"/>
      <c r="B1" s="3"/>
      <c r="C1" s="3"/>
      <c r="D1" s="3"/>
      <c r="E1" s="3"/>
      <c r="F1" s="3"/>
      <c r="G1" s="3"/>
      <c r="H1" s="3"/>
      <c r="I1" s="3"/>
      <c r="J1" s="3"/>
      <c r="K1" s="90"/>
      <c r="L1" s="3"/>
      <c r="M1" s="3"/>
      <c r="N1" s="3"/>
      <c r="O1" s="3"/>
      <c r="P1" s="3"/>
      <c r="Q1" s="3"/>
      <c r="R1" s="3"/>
      <c r="S1" s="3"/>
      <c r="T1" s="3"/>
      <c r="U1" s="3"/>
      <c r="V1" s="20"/>
      <c r="W1" s="20"/>
      <c r="X1" s="20"/>
      <c r="Y1" s="20"/>
      <c r="Z1" s="20"/>
      <c r="AA1" s="20"/>
      <c r="AB1" s="20"/>
      <c r="AC1" s="20"/>
      <c r="AD1" s="20"/>
      <c r="AE1" s="20"/>
      <c r="AF1" s="20"/>
    </row>
    <row r="2" spans="1:32" ht="13.8" thickTop="1">
      <c r="A2" s="192"/>
      <c r="B2" s="191"/>
      <c r="C2" s="191"/>
      <c r="D2" s="191"/>
      <c r="E2" s="191"/>
      <c r="F2" s="191"/>
      <c r="G2" s="191"/>
      <c r="H2" s="191"/>
      <c r="I2" s="191"/>
      <c r="J2" s="191"/>
      <c r="K2" s="191"/>
      <c r="L2" s="191"/>
      <c r="M2" s="191"/>
      <c r="N2" s="191"/>
      <c r="O2" s="191"/>
      <c r="P2" s="191"/>
      <c r="Q2" s="191"/>
      <c r="R2" s="191"/>
      <c r="S2" s="191"/>
      <c r="T2" s="191"/>
      <c r="U2" s="200"/>
      <c r="V2" s="20"/>
      <c r="W2" s="20"/>
      <c r="X2" s="20"/>
      <c r="Y2" s="20"/>
      <c r="Z2" s="20"/>
      <c r="AA2" s="20"/>
      <c r="AB2" s="20"/>
      <c r="AC2" s="20"/>
      <c r="AD2" s="20"/>
      <c r="AE2" s="20"/>
      <c r="AF2" s="20"/>
    </row>
    <row r="3" spans="1:32">
      <c r="A3" s="193"/>
      <c r="B3" s="168"/>
      <c r="C3" s="168"/>
      <c r="D3" s="168"/>
      <c r="E3" s="168"/>
      <c r="F3" s="168"/>
      <c r="G3" s="168"/>
      <c r="H3" s="374" t="s">
        <v>306</v>
      </c>
      <c r="I3" s="375"/>
      <c r="J3" s="375"/>
      <c r="K3" s="375"/>
      <c r="L3" s="375"/>
      <c r="M3" s="375"/>
      <c r="N3" s="375"/>
      <c r="O3" s="375"/>
      <c r="P3" s="375"/>
      <c r="Q3" s="168"/>
      <c r="R3" s="168"/>
      <c r="S3" s="168"/>
      <c r="T3" s="168"/>
      <c r="U3" s="201"/>
      <c r="V3" s="20"/>
      <c r="W3" s="20"/>
      <c r="X3" s="20"/>
      <c r="Y3" s="20"/>
      <c r="Z3" s="20"/>
      <c r="AA3" s="20"/>
      <c r="AB3" s="20"/>
      <c r="AC3" s="20"/>
      <c r="AD3" s="20"/>
      <c r="AE3" s="20"/>
      <c r="AF3" s="20"/>
    </row>
    <row r="4" spans="1:32">
      <c r="A4" s="194"/>
      <c r="B4" s="168"/>
      <c r="C4" s="168"/>
      <c r="D4" s="168"/>
      <c r="E4" s="168"/>
      <c r="F4" s="168"/>
      <c r="G4" s="168"/>
      <c r="H4" s="375"/>
      <c r="I4" s="375"/>
      <c r="J4" s="375"/>
      <c r="K4" s="375"/>
      <c r="L4" s="375"/>
      <c r="M4" s="375"/>
      <c r="N4" s="375"/>
      <c r="O4" s="375"/>
      <c r="P4" s="375"/>
      <c r="Q4" s="168"/>
      <c r="R4" s="168"/>
      <c r="S4" s="168"/>
      <c r="T4" s="168"/>
      <c r="U4" s="201"/>
      <c r="V4" s="20"/>
      <c r="W4" s="20"/>
      <c r="X4" s="20"/>
      <c r="Y4" s="20"/>
      <c r="Z4" s="20"/>
      <c r="AA4" s="20"/>
      <c r="AB4" s="20"/>
      <c r="AC4" s="20"/>
      <c r="AD4" s="20"/>
      <c r="AE4" s="20"/>
      <c r="AF4" s="20"/>
    </row>
    <row r="5" spans="1:32">
      <c r="A5" s="193"/>
      <c r="B5" s="168"/>
      <c r="C5" s="168"/>
      <c r="D5" s="168"/>
      <c r="E5" s="168"/>
      <c r="F5" s="168"/>
      <c r="G5" s="168"/>
      <c r="H5" s="168"/>
      <c r="I5" s="168"/>
      <c r="J5" s="168"/>
      <c r="K5" s="168"/>
      <c r="L5" s="168"/>
      <c r="M5" s="168"/>
      <c r="N5" s="168"/>
      <c r="O5" s="168"/>
      <c r="P5" s="168"/>
      <c r="Q5" s="168"/>
      <c r="R5" s="168"/>
      <c r="S5" s="168"/>
      <c r="T5" s="168"/>
      <c r="U5" s="201"/>
      <c r="V5" s="20"/>
      <c r="W5" s="20"/>
      <c r="X5" s="20"/>
      <c r="Y5" s="20"/>
      <c r="Z5" s="20"/>
      <c r="AA5" s="20"/>
      <c r="AB5" s="20"/>
      <c r="AC5" s="20"/>
      <c r="AD5" s="20"/>
      <c r="AE5" s="20"/>
      <c r="AF5" s="20"/>
    </row>
    <row r="6" spans="1:32">
      <c r="A6" s="193"/>
      <c r="B6" s="168"/>
      <c r="C6" s="168"/>
      <c r="D6" s="168"/>
      <c r="E6" s="168"/>
      <c r="F6" s="168"/>
      <c r="G6" s="168"/>
      <c r="H6" s="168"/>
      <c r="I6" s="168"/>
      <c r="J6" s="168"/>
      <c r="K6" s="168"/>
      <c r="L6" s="168"/>
      <c r="M6" s="168"/>
      <c r="N6" s="168"/>
      <c r="O6" s="168"/>
      <c r="P6" s="168"/>
      <c r="Q6" s="168"/>
      <c r="R6" s="168"/>
      <c r="S6" s="168"/>
      <c r="T6" s="168"/>
      <c r="U6" s="201"/>
      <c r="V6" s="20"/>
      <c r="W6" s="20"/>
      <c r="X6" s="20"/>
      <c r="Y6" s="20"/>
      <c r="Z6" s="20"/>
      <c r="AA6" s="20"/>
      <c r="AB6" s="20"/>
      <c r="AC6" s="20"/>
      <c r="AD6" s="20"/>
      <c r="AE6" s="20"/>
      <c r="AF6" s="20"/>
    </row>
    <row r="7" spans="1:32">
      <c r="A7" s="213" t="s">
        <v>0</v>
      </c>
      <c r="B7" s="206"/>
      <c r="C7" s="206"/>
      <c r="D7" s="206"/>
      <c r="E7" s="310">
        <f>Datum!D7</f>
        <v>0</v>
      </c>
      <c r="F7" s="310"/>
      <c r="G7" s="310"/>
      <c r="H7" s="310"/>
      <c r="I7" s="206"/>
      <c r="J7" s="206" t="s">
        <v>1</v>
      </c>
      <c r="K7" s="206"/>
      <c r="L7" s="1">
        <f>Datum!J7</f>
        <v>0</v>
      </c>
      <c r="M7" s="206"/>
      <c r="N7" s="206"/>
      <c r="O7" s="206"/>
      <c r="P7" s="206" t="s">
        <v>2</v>
      </c>
      <c r="Q7" s="206"/>
      <c r="R7" s="311">
        <f>Datum!N7</f>
        <v>0</v>
      </c>
      <c r="S7" s="312"/>
      <c r="T7" s="312"/>
      <c r="U7" s="201"/>
      <c r="V7" s="20"/>
      <c r="W7" s="20"/>
      <c r="X7" s="20"/>
      <c r="Y7" s="20"/>
      <c r="Z7" s="20"/>
      <c r="AA7" s="20"/>
      <c r="AB7" s="20"/>
      <c r="AC7" s="20"/>
      <c r="AD7" s="20"/>
      <c r="AE7" s="20"/>
      <c r="AF7" s="20"/>
    </row>
    <row r="8" spans="1:32">
      <c r="A8" s="193"/>
      <c r="B8" s="168"/>
      <c r="C8" s="168"/>
      <c r="D8" s="168"/>
      <c r="E8" s="168"/>
      <c r="F8" s="168"/>
      <c r="G8" s="168"/>
      <c r="H8" s="168"/>
      <c r="I8" s="168"/>
      <c r="J8" s="168"/>
      <c r="K8" s="168"/>
      <c r="L8" s="168"/>
      <c r="M8" s="168"/>
      <c r="N8" s="168"/>
      <c r="O8" s="168"/>
      <c r="P8" s="168"/>
      <c r="Q8" s="168"/>
      <c r="R8" s="168"/>
      <c r="S8" s="168"/>
      <c r="T8" s="168"/>
      <c r="U8" s="201"/>
      <c r="V8" s="20"/>
      <c r="W8" s="20"/>
      <c r="X8" s="20"/>
      <c r="Y8" s="20"/>
      <c r="Z8" s="20"/>
      <c r="AA8" s="20"/>
      <c r="AB8" s="20"/>
      <c r="AC8" s="20"/>
      <c r="AD8" s="20"/>
      <c r="AE8" s="20"/>
      <c r="AF8" s="20"/>
    </row>
    <row r="9" spans="1:32">
      <c r="A9" s="213" t="s">
        <v>3</v>
      </c>
      <c r="B9" s="206"/>
      <c r="C9" s="206"/>
      <c r="D9" s="206"/>
      <c r="E9" s="310">
        <f>Datum!D9</f>
        <v>0</v>
      </c>
      <c r="F9" s="310"/>
      <c r="G9" s="310"/>
      <c r="H9" s="310"/>
      <c r="I9" s="206"/>
      <c r="J9" s="206" t="s">
        <v>4</v>
      </c>
      <c r="K9" s="206"/>
      <c r="L9" s="1">
        <f>Datum!J9</f>
        <v>0</v>
      </c>
      <c r="M9" s="206"/>
      <c r="N9" s="206" t="s">
        <v>5</v>
      </c>
      <c r="O9" s="206"/>
      <c r="P9" s="168"/>
      <c r="Q9" s="168"/>
      <c r="R9" s="206"/>
      <c r="S9" s="206"/>
      <c r="T9" s="1">
        <f>Datum!P9</f>
        <v>0</v>
      </c>
      <c r="U9" s="222"/>
      <c r="V9" s="20"/>
      <c r="W9" s="20"/>
      <c r="X9" s="20"/>
      <c r="Y9" s="20"/>
      <c r="Z9" s="20"/>
      <c r="AA9" s="20"/>
      <c r="AB9" s="20"/>
      <c r="AC9" s="20"/>
      <c r="AD9" s="20"/>
      <c r="AE9" s="20"/>
      <c r="AF9" s="20"/>
    </row>
    <row r="10" spans="1:32">
      <c r="A10" s="213"/>
      <c r="B10" s="206"/>
      <c r="C10" s="206"/>
      <c r="D10" s="206"/>
      <c r="E10" s="206"/>
      <c r="F10" s="206"/>
      <c r="G10" s="206"/>
      <c r="H10" s="206"/>
      <c r="I10" s="206"/>
      <c r="J10" s="206"/>
      <c r="K10" s="206"/>
      <c r="L10" s="206"/>
      <c r="M10" s="206"/>
      <c r="N10" s="206"/>
      <c r="O10" s="206"/>
      <c r="P10" s="168"/>
      <c r="Q10" s="168"/>
      <c r="R10" s="206"/>
      <c r="S10" s="206"/>
      <c r="T10" s="206"/>
      <c r="U10" s="222"/>
      <c r="V10" s="20"/>
      <c r="W10" s="20"/>
      <c r="X10" s="20"/>
      <c r="Y10" s="20"/>
      <c r="Z10" s="20"/>
      <c r="AA10" s="20"/>
      <c r="AB10" s="20"/>
      <c r="AC10" s="20"/>
      <c r="AD10" s="20"/>
      <c r="AE10" s="20"/>
      <c r="AF10" s="20"/>
    </row>
    <row r="11" spans="1:32">
      <c r="A11" s="213" t="s">
        <v>187</v>
      </c>
      <c r="B11" s="145">
        <f>Datum!J84</f>
        <v>0</v>
      </c>
      <c r="C11" s="207" t="s">
        <v>135</v>
      </c>
      <c r="D11" s="145">
        <f>Datum!L84</f>
        <v>0</v>
      </c>
      <c r="E11" s="206" t="s">
        <v>504</v>
      </c>
      <c r="F11" s="145">
        <f>Datum!N84</f>
        <v>0</v>
      </c>
      <c r="G11" s="207" t="s">
        <v>135</v>
      </c>
      <c r="H11" s="145">
        <f>Datum!P84</f>
        <v>0</v>
      </c>
      <c r="I11" s="206" t="s">
        <v>505</v>
      </c>
      <c r="J11" s="206"/>
      <c r="K11" s="206" t="s">
        <v>187</v>
      </c>
      <c r="L11" s="145">
        <f>Datum!J86</f>
        <v>0</v>
      </c>
      <c r="M11" s="207" t="s">
        <v>135</v>
      </c>
      <c r="N11" s="145">
        <f>Datum!L86</f>
        <v>0</v>
      </c>
      <c r="O11" s="206" t="s">
        <v>506</v>
      </c>
      <c r="P11" s="206" t="s">
        <v>19</v>
      </c>
      <c r="Q11" s="206"/>
      <c r="R11" s="145">
        <f>Datum!N86</f>
        <v>0</v>
      </c>
      <c r="S11" s="207" t="s">
        <v>135</v>
      </c>
      <c r="T11" s="145">
        <f>Datum!P86</f>
        <v>0</v>
      </c>
      <c r="U11" s="222" t="s">
        <v>505</v>
      </c>
      <c r="V11" s="20"/>
      <c r="W11" s="20"/>
      <c r="X11" s="20"/>
      <c r="Y11" s="20"/>
      <c r="Z11" s="20"/>
      <c r="AA11" s="20"/>
      <c r="AB11" s="20"/>
      <c r="AC11" s="20"/>
      <c r="AD11" s="20"/>
      <c r="AE11" s="20"/>
      <c r="AF11" s="20"/>
    </row>
    <row r="12" spans="1:32">
      <c r="A12" s="240" t="s">
        <v>188</v>
      </c>
      <c r="B12" s="398" t="s">
        <v>190</v>
      </c>
      <c r="C12" s="399"/>
      <c r="D12" s="398"/>
      <c r="E12" s="168"/>
      <c r="F12" s="398" t="s">
        <v>191</v>
      </c>
      <c r="G12" s="399"/>
      <c r="H12" s="398"/>
      <c r="I12" s="168"/>
      <c r="J12" s="168"/>
      <c r="K12" s="229" t="s">
        <v>189</v>
      </c>
      <c r="L12" s="398" t="s">
        <v>190</v>
      </c>
      <c r="M12" s="399"/>
      <c r="N12" s="398"/>
      <c r="O12" s="229"/>
      <c r="P12" s="168"/>
      <c r="Q12" s="168"/>
      <c r="R12" s="398" t="s">
        <v>191</v>
      </c>
      <c r="S12" s="399"/>
      <c r="T12" s="398"/>
      <c r="U12" s="244"/>
      <c r="V12" s="20"/>
      <c r="W12" s="20"/>
      <c r="X12" s="20"/>
      <c r="Y12" s="20"/>
      <c r="Z12" s="20"/>
      <c r="AA12" s="20"/>
      <c r="AB12" s="20"/>
      <c r="AC12" s="20"/>
      <c r="AD12" s="20"/>
      <c r="AE12" s="20"/>
      <c r="AF12" s="20"/>
    </row>
    <row r="13" spans="1:32">
      <c r="A13" s="193"/>
      <c r="B13" s="168"/>
      <c r="C13" s="168"/>
      <c r="D13" s="168"/>
      <c r="E13" s="168"/>
      <c r="F13" s="168"/>
      <c r="G13" s="168"/>
      <c r="H13" s="168"/>
      <c r="I13" s="168"/>
      <c r="J13" s="168"/>
      <c r="K13" s="168"/>
      <c r="L13" s="168"/>
      <c r="M13" s="168"/>
      <c r="N13" s="168"/>
      <c r="O13" s="168"/>
      <c r="P13" s="168"/>
      <c r="Q13" s="168"/>
      <c r="R13" s="168"/>
      <c r="S13" s="168"/>
      <c r="T13" s="168"/>
      <c r="U13" s="201"/>
      <c r="V13" s="20"/>
      <c r="W13" s="20"/>
      <c r="X13" s="20"/>
      <c r="Y13" s="20"/>
      <c r="Z13" s="20"/>
      <c r="AA13" s="20"/>
      <c r="AB13" s="20"/>
      <c r="AC13" s="20"/>
      <c r="AD13" s="20"/>
      <c r="AE13" s="20"/>
      <c r="AF13" s="20"/>
    </row>
    <row r="14" spans="1:32">
      <c r="A14" s="213" t="s">
        <v>6</v>
      </c>
      <c r="B14" s="168"/>
      <c r="C14" s="168"/>
      <c r="D14" s="168"/>
      <c r="E14" s="372">
        <f>Datum!D11</f>
        <v>0</v>
      </c>
      <c r="F14" s="372"/>
      <c r="G14" s="372"/>
      <c r="H14" s="372"/>
      <c r="I14" s="372"/>
      <c r="J14" s="372"/>
      <c r="K14" s="168"/>
      <c r="L14" s="168"/>
      <c r="M14" s="171" t="s">
        <v>192</v>
      </c>
      <c r="N14" s="168"/>
      <c r="O14" s="168"/>
      <c r="P14" s="400">
        <f>Datum!J25</f>
        <v>0</v>
      </c>
      <c r="Q14" s="400"/>
      <c r="R14" s="168"/>
      <c r="S14" s="168"/>
      <c r="T14" s="168"/>
      <c r="U14" s="222"/>
      <c r="V14" s="20"/>
      <c r="W14" s="20"/>
      <c r="X14" s="20"/>
      <c r="Y14" s="20"/>
      <c r="Z14" s="20"/>
      <c r="AA14" s="20"/>
      <c r="AB14" s="20"/>
      <c r="AC14" s="20"/>
      <c r="AD14" s="20"/>
      <c r="AE14" s="20"/>
      <c r="AF14" s="20"/>
    </row>
    <row r="15" spans="1:32">
      <c r="A15" s="193"/>
      <c r="B15" s="168"/>
      <c r="C15" s="168"/>
      <c r="D15" s="168"/>
      <c r="E15" s="168"/>
      <c r="F15" s="168"/>
      <c r="G15" s="168"/>
      <c r="H15" s="168"/>
      <c r="I15" s="168"/>
      <c r="J15" s="168"/>
      <c r="K15" s="168"/>
      <c r="L15" s="168"/>
      <c r="M15" s="168"/>
      <c r="N15" s="168"/>
      <c r="O15" s="168"/>
      <c r="P15" s="168"/>
      <c r="Q15" s="168"/>
      <c r="R15" s="168"/>
      <c r="S15" s="168"/>
      <c r="T15" s="168"/>
      <c r="U15" s="201"/>
      <c r="V15" s="20"/>
      <c r="W15" s="20"/>
      <c r="X15" s="20"/>
      <c r="Y15" s="20"/>
      <c r="Z15" s="20"/>
      <c r="AA15" s="20"/>
      <c r="AB15" s="20"/>
      <c r="AC15" s="20"/>
      <c r="AD15" s="20"/>
      <c r="AE15" s="20"/>
      <c r="AF15" s="20"/>
    </row>
    <row r="16" spans="1:32">
      <c r="A16" s="246">
        <v>1</v>
      </c>
      <c r="B16" s="170" t="s">
        <v>221</v>
      </c>
      <c r="C16" s="170"/>
      <c r="D16" s="169"/>
      <c r="E16" s="169"/>
      <c r="F16" s="169"/>
      <c r="G16" s="169"/>
      <c r="H16" s="169"/>
      <c r="I16" s="169"/>
      <c r="J16" s="169"/>
      <c r="K16" s="168"/>
      <c r="L16" s="168"/>
      <c r="M16" s="168"/>
      <c r="N16" s="168"/>
      <c r="O16" s="168"/>
      <c r="P16" s="312">
        <f>Ztd!L49</f>
        <v>0</v>
      </c>
      <c r="Q16" s="312"/>
      <c r="R16" s="312"/>
      <c r="S16" s="168"/>
      <c r="T16" s="206" t="s">
        <v>52</v>
      </c>
      <c r="U16" s="201"/>
      <c r="V16" s="20"/>
      <c r="W16" s="20"/>
      <c r="X16" s="20"/>
      <c r="Y16" s="20"/>
      <c r="Z16" s="20"/>
      <c r="AA16" s="20"/>
      <c r="AB16" s="20"/>
      <c r="AC16" s="20"/>
      <c r="AD16" s="20"/>
      <c r="AE16" s="20"/>
      <c r="AF16" s="20"/>
    </row>
    <row r="17" spans="1:32">
      <c r="A17" s="194"/>
      <c r="B17" s="170" t="s">
        <v>217</v>
      </c>
      <c r="C17" s="170"/>
      <c r="D17" s="169"/>
      <c r="E17" s="169"/>
      <c r="F17" s="169"/>
      <c r="G17" s="169"/>
      <c r="H17" s="169"/>
      <c r="I17" s="169"/>
      <c r="J17" s="169"/>
      <c r="K17" s="168"/>
      <c r="L17" s="168"/>
      <c r="M17" s="168"/>
      <c r="N17" s="168"/>
      <c r="O17" s="168"/>
      <c r="P17" s="168"/>
      <c r="Q17" s="168"/>
      <c r="R17" s="168"/>
      <c r="S17" s="168"/>
      <c r="T17" s="168"/>
      <c r="U17" s="201"/>
      <c r="V17" s="20"/>
      <c r="W17" s="20"/>
      <c r="X17" s="20"/>
      <c r="Y17" s="20"/>
      <c r="Z17" s="20"/>
      <c r="AA17" s="20"/>
      <c r="AB17" s="20"/>
      <c r="AC17" s="20"/>
      <c r="AD17" s="20"/>
      <c r="AE17" s="20"/>
      <c r="AF17" s="20"/>
    </row>
    <row r="18" spans="1:32">
      <c r="A18" s="193"/>
      <c r="B18" s="184" t="s">
        <v>218</v>
      </c>
      <c r="C18" s="184"/>
      <c r="D18" s="168"/>
      <c r="E18" s="168"/>
      <c r="F18" s="168"/>
      <c r="G18" s="168"/>
      <c r="H18" s="168"/>
      <c r="I18" s="168"/>
      <c r="J18" s="168"/>
      <c r="K18" s="168"/>
      <c r="L18" s="177"/>
      <c r="M18" s="177"/>
      <c r="N18" s="177"/>
      <c r="O18" s="177"/>
      <c r="P18" s="177"/>
      <c r="Q18" s="177"/>
      <c r="R18" s="177"/>
      <c r="S18" s="177"/>
      <c r="T18" s="177"/>
      <c r="U18" s="201"/>
      <c r="V18" s="20"/>
      <c r="W18" s="20"/>
      <c r="X18" s="20"/>
      <c r="Y18" s="20"/>
      <c r="Z18" s="20"/>
      <c r="AA18" s="20"/>
      <c r="AB18" s="20"/>
      <c r="AC18" s="20"/>
      <c r="AD18" s="20"/>
      <c r="AE18" s="20"/>
      <c r="AF18" s="20"/>
    </row>
    <row r="19" spans="1:32">
      <c r="A19" s="196"/>
      <c r="B19" s="171"/>
      <c r="C19" s="171"/>
      <c r="D19" s="170"/>
      <c r="E19" s="170"/>
      <c r="F19" s="170"/>
      <c r="G19" s="170"/>
      <c r="H19" s="170"/>
      <c r="I19" s="170"/>
      <c r="J19" s="170"/>
      <c r="K19" s="170"/>
      <c r="L19" s="170"/>
      <c r="M19" s="170"/>
      <c r="N19" s="170"/>
      <c r="O19" s="170"/>
      <c r="P19" s="170"/>
      <c r="Q19" s="170"/>
      <c r="R19" s="229"/>
      <c r="S19" s="229"/>
      <c r="T19" s="170"/>
      <c r="U19" s="201"/>
      <c r="V19" s="20"/>
      <c r="W19" s="20"/>
      <c r="X19" s="20"/>
      <c r="Y19" s="20"/>
      <c r="Z19" s="20"/>
      <c r="AA19" s="20"/>
      <c r="AB19" s="20"/>
      <c r="AC19" s="20"/>
      <c r="AD19" s="20"/>
      <c r="AE19" s="20"/>
      <c r="AF19" s="20"/>
    </row>
    <row r="20" spans="1:32">
      <c r="A20" s="196">
        <v>2</v>
      </c>
      <c r="B20" s="170" t="s">
        <v>215</v>
      </c>
      <c r="C20" s="170"/>
      <c r="D20" s="170"/>
      <c r="E20" s="170"/>
      <c r="F20" s="170"/>
      <c r="G20" s="170"/>
      <c r="H20" s="170"/>
      <c r="I20" s="170"/>
      <c r="J20" s="170"/>
      <c r="K20" s="170"/>
      <c r="L20" s="170"/>
      <c r="M20" s="170"/>
      <c r="N20" s="170"/>
      <c r="O20" s="170"/>
      <c r="P20" s="312">
        <f>Datum!N89</f>
        <v>0</v>
      </c>
      <c r="Q20" s="312"/>
      <c r="R20" s="312"/>
      <c r="S20" s="168"/>
      <c r="T20" s="206" t="s">
        <v>52</v>
      </c>
      <c r="U20" s="201"/>
      <c r="V20" s="20"/>
      <c r="W20" s="20"/>
      <c r="X20" s="20"/>
      <c r="Y20" s="20"/>
      <c r="Z20" s="20"/>
      <c r="AA20" s="20"/>
      <c r="AB20" s="20"/>
      <c r="AC20" s="20"/>
      <c r="AD20" s="20"/>
      <c r="AE20" s="20"/>
      <c r="AF20" s="20"/>
    </row>
    <row r="21" spans="1:32">
      <c r="A21" s="196"/>
      <c r="B21" s="170" t="s">
        <v>216</v>
      </c>
      <c r="C21" s="170"/>
      <c r="D21" s="170"/>
      <c r="E21" s="170"/>
      <c r="F21" s="170"/>
      <c r="G21" s="170"/>
      <c r="H21" s="170"/>
      <c r="I21" s="170"/>
      <c r="J21" s="170"/>
      <c r="K21" s="170"/>
      <c r="L21" s="170"/>
      <c r="M21" s="170"/>
      <c r="N21" s="170"/>
      <c r="O21" s="170"/>
      <c r="P21" s="170"/>
      <c r="Q21" s="170"/>
      <c r="R21" s="229"/>
      <c r="S21" s="229"/>
      <c r="T21" s="170"/>
      <c r="U21" s="201"/>
      <c r="V21" s="20"/>
      <c r="W21" s="20"/>
      <c r="X21" s="20"/>
      <c r="Y21" s="20"/>
      <c r="Z21" s="20"/>
      <c r="AA21" s="20"/>
      <c r="AB21" s="20"/>
      <c r="AC21" s="20"/>
      <c r="AD21" s="20"/>
      <c r="AE21" s="20"/>
      <c r="AF21" s="20"/>
    </row>
    <row r="22" spans="1:32">
      <c r="A22" s="196"/>
      <c r="B22" s="170"/>
      <c r="C22" s="170"/>
      <c r="D22" s="170"/>
      <c r="E22" s="170"/>
      <c r="F22" s="170"/>
      <c r="G22" s="170"/>
      <c r="H22" s="170"/>
      <c r="I22" s="170"/>
      <c r="J22" s="170"/>
      <c r="K22" s="170"/>
      <c r="L22" s="170"/>
      <c r="M22" s="170"/>
      <c r="N22" s="170"/>
      <c r="O22" s="170"/>
      <c r="P22" s="170"/>
      <c r="Q22" s="170"/>
      <c r="R22" s="170"/>
      <c r="S22" s="170"/>
      <c r="T22" s="170"/>
      <c r="U22" s="201"/>
      <c r="V22" s="20"/>
      <c r="W22" s="20"/>
      <c r="X22" s="20"/>
      <c r="Y22" s="20"/>
      <c r="Z22" s="20"/>
      <c r="AA22" s="20"/>
      <c r="AB22" s="20"/>
      <c r="AC22" s="20"/>
      <c r="AD22" s="20"/>
      <c r="AE22" s="20"/>
      <c r="AF22" s="20"/>
    </row>
    <row r="23" spans="1:32">
      <c r="A23" s="196">
        <v>3</v>
      </c>
      <c r="B23" s="171" t="s">
        <v>219</v>
      </c>
      <c r="C23" s="171"/>
      <c r="D23" s="170"/>
      <c r="E23" s="170"/>
      <c r="F23" s="170"/>
      <c r="G23" s="170"/>
      <c r="H23" s="170"/>
      <c r="I23" s="170"/>
      <c r="J23" s="170"/>
      <c r="K23" s="170"/>
      <c r="L23" s="170"/>
      <c r="M23" s="170"/>
      <c r="N23" s="170"/>
      <c r="O23" s="170"/>
      <c r="P23" s="312">
        <f>Datum!N96</f>
        <v>0</v>
      </c>
      <c r="Q23" s="312"/>
      <c r="R23" s="312"/>
      <c r="S23" s="168"/>
      <c r="T23" s="206" t="s">
        <v>52</v>
      </c>
      <c r="U23" s="201"/>
      <c r="V23" s="20"/>
      <c r="W23" s="20"/>
      <c r="X23" s="20"/>
      <c r="Y23" s="20"/>
      <c r="Z23" s="20"/>
      <c r="AA23" s="20"/>
      <c r="AB23" s="20"/>
      <c r="AC23" s="20"/>
      <c r="AD23" s="20"/>
      <c r="AE23" s="20"/>
      <c r="AF23" s="20"/>
    </row>
    <row r="24" spans="1:32">
      <c r="A24" s="196"/>
      <c r="B24" s="170" t="s">
        <v>220</v>
      </c>
      <c r="C24" s="170"/>
      <c r="D24" s="170"/>
      <c r="E24" s="170"/>
      <c r="F24" s="170"/>
      <c r="G24" s="170"/>
      <c r="H24" s="170"/>
      <c r="I24" s="170"/>
      <c r="J24" s="170"/>
      <c r="K24" s="170"/>
      <c r="L24" s="170"/>
      <c r="M24" s="170"/>
      <c r="N24" s="170"/>
      <c r="O24" s="170"/>
      <c r="P24" s="170"/>
      <c r="Q24" s="170"/>
      <c r="R24" s="170"/>
      <c r="S24" s="170"/>
      <c r="T24" s="170"/>
      <c r="U24" s="201"/>
      <c r="V24" s="20"/>
      <c r="W24" s="20"/>
      <c r="X24" s="20"/>
      <c r="Y24" s="20"/>
      <c r="Z24" s="20"/>
      <c r="AA24" s="20"/>
      <c r="AB24" s="20"/>
      <c r="AC24" s="20"/>
      <c r="AD24" s="20"/>
      <c r="AE24" s="20"/>
      <c r="AF24" s="20"/>
    </row>
    <row r="25" spans="1:32">
      <c r="A25" s="196"/>
      <c r="B25" s="171"/>
      <c r="C25" s="171"/>
      <c r="D25" s="170"/>
      <c r="E25" s="170"/>
      <c r="F25" s="170"/>
      <c r="G25" s="170"/>
      <c r="H25" s="170"/>
      <c r="I25" s="170"/>
      <c r="J25" s="170"/>
      <c r="K25" s="170"/>
      <c r="L25" s="170"/>
      <c r="M25" s="170"/>
      <c r="N25" s="170"/>
      <c r="O25" s="170"/>
      <c r="P25" s="170"/>
      <c r="Q25" s="170"/>
      <c r="R25" s="229"/>
      <c r="S25" s="229"/>
      <c r="T25" s="170"/>
      <c r="U25" s="201"/>
      <c r="V25" s="20"/>
      <c r="W25" s="20"/>
      <c r="X25" s="20"/>
      <c r="Y25" s="20"/>
      <c r="Z25" s="20"/>
      <c r="AA25" s="20"/>
      <c r="AB25" s="20"/>
      <c r="AC25" s="20"/>
      <c r="AD25" s="20"/>
      <c r="AE25" s="20"/>
      <c r="AF25" s="20"/>
    </row>
    <row r="26" spans="1:32">
      <c r="A26" s="196">
        <v>4</v>
      </c>
      <c r="B26" s="170" t="s">
        <v>222</v>
      </c>
      <c r="C26" s="170"/>
      <c r="D26" s="170"/>
      <c r="E26" s="170"/>
      <c r="F26" s="170"/>
      <c r="G26" s="170"/>
      <c r="H26" s="170"/>
      <c r="I26" s="170"/>
      <c r="J26" s="170"/>
      <c r="K26" s="170"/>
      <c r="L26" s="170"/>
      <c r="M26" s="170"/>
      <c r="N26" s="170"/>
      <c r="O26" s="170"/>
      <c r="P26" s="170"/>
      <c r="Q26" s="170"/>
      <c r="R26" s="170"/>
      <c r="S26" s="170"/>
      <c r="T26" s="170"/>
      <c r="U26" s="201"/>
      <c r="V26" s="20"/>
      <c r="W26" s="20"/>
      <c r="X26" s="20"/>
      <c r="Y26" s="20"/>
      <c r="Z26" s="20"/>
      <c r="AA26" s="20"/>
      <c r="AB26" s="20"/>
      <c r="AC26" s="20"/>
      <c r="AD26" s="20"/>
      <c r="AE26" s="20"/>
      <c r="AF26" s="20"/>
    </row>
    <row r="27" spans="1:32">
      <c r="A27" s="196"/>
      <c r="B27" s="170"/>
      <c r="C27" s="170"/>
      <c r="D27" s="184"/>
      <c r="E27" s="170"/>
      <c r="F27" s="170"/>
      <c r="G27" s="170"/>
      <c r="H27" s="170"/>
      <c r="I27" s="170"/>
      <c r="J27" s="170"/>
      <c r="K27" s="170"/>
      <c r="L27" s="170"/>
      <c r="M27" s="170"/>
      <c r="N27" s="170"/>
      <c r="O27" s="170"/>
      <c r="P27" s="170"/>
      <c r="Q27" s="170"/>
      <c r="R27" s="229"/>
      <c r="S27" s="229"/>
      <c r="T27" s="170"/>
      <c r="U27" s="201"/>
      <c r="V27" s="20"/>
      <c r="W27" s="20"/>
      <c r="X27" s="20"/>
      <c r="Y27" s="20"/>
      <c r="Z27" s="20"/>
      <c r="AA27" s="20"/>
      <c r="AB27" s="20"/>
      <c r="AC27" s="20"/>
      <c r="AD27" s="20"/>
      <c r="AE27" s="20"/>
      <c r="AF27" s="20"/>
    </row>
    <row r="28" spans="1:32">
      <c r="A28" s="196"/>
      <c r="B28" s="170" t="s">
        <v>105</v>
      </c>
      <c r="C28" s="170"/>
      <c r="D28" s="170" t="s">
        <v>223</v>
      </c>
      <c r="E28" s="170"/>
      <c r="F28" s="170"/>
      <c r="G28" s="170"/>
      <c r="H28" s="170"/>
      <c r="I28" s="170"/>
      <c r="J28" s="170"/>
      <c r="K28" s="170"/>
      <c r="L28" s="170"/>
      <c r="M28" s="170"/>
      <c r="N28" s="170"/>
      <c r="O28" s="170"/>
      <c r="P28" s="8"/>
      <c r="Q28" s="170"/>
      <c r="R28" s="170"/>
      <c r="S28" s="170"/>
      <c r="T28" s="170"/>
      <c r="U28" s="201"/>
      <c r="V28" s="20"/>
      <c r="W28" s="20"/>
      <c r="X28" s="20"/>
      <c r="Y28" s="20"/>
      <c r="Z28" s="20"/>
      <c r="AA28" s="20"/>
      <c r="AB28" s="20"/>
      <c r="AC28" s="20"/>
      <c r="AD28" s="20"/>
      <c r="AE28" s="20"/>
      <c r="AF28" s="20"/>
    </row>
    <row r="29" spans="1:32">
      <c r="A29" s="196"/>
      <c r="B29" s="171"/>
      <c r="C29" s="171"/>
      <c r="D29" s="170"/>
      <c r="E29" s="170"/>
      <c r="F29" s="170"/>
      <c r="G29" s="170"/>
      <c r="H29" s="170"/>
      <c r="I29" s="170"/>
      <c r="J29" s="170"/>
      <c r="K29" s="170"/>
      <c r="L29" s="170"/>
      <c r="M29" s="170"/>
      <c r="N29" s="170"/>
      <c r="O29" s="170"/>
      <c r="P29" s="170"/>
      <c r="Q29" s="170"/>
      <c r="R29" s="229"/>
      <c r="S29" s="229"/>
      <c r="T29" s="170"/>
      <c r="U29" s="201"/>
      <c r="V29" s="20"/>
      <c r="W29" s="20"/>
      <c r="X29" s="20"/>
      <c r="Y29" s="20"/>
      <c r="Z29" s="20"/>
      <c r="AA29" s="20"/>
      <c r="AB29" s="20"/>
      <c r="AC29" s="20"/>
      <c r="AD29" s="20"/>
      <c r="AE29" s="20"/>
      <c r="AF29" s="20"/>
    </row>
    <row r="30" spans="1:32">
      <c r="A30" s="196"/>
      <c r="B30" s="170" t="s">
        <v>107</v>
      </c>
      <c r="C30" s="170"/>
      <c r="D30" s="170" t="s">
        <v>224</v>
      </c>
      <c r="E30" s="170"/>
      <c r="F30" s="170"/>
      <c r="G30" s="170"/>
      <c r="H30" s="170"/>
      <c r="I30" s="170"/>
      <c r="J30" s="170"/>
      <c r="K30" s="170"/>
      <c r="L30" s="170"/>
      <c r="M30" s="170"/>
      <c r="N30" s="170"/>
      <c r="O30" s="170"/>
      <c r="P30" s="8"/>
      <c r="Q30" s="170"/>
      <c r="R30" s="170"/>
      <c r="S30" s="170"/>
      <c r="T30" s="170"/>
      <c r="U30" s="201"/>
      <c r="V30" s="20"/>
      <c r="W30" s="20"/>
      <c r="X30" s="20"/>
      <c r="Y30" s="20"/>
      <c r="Z30" s="20"/>
      <c r="AA30" s="20"/>
      <c r="AB30" s="20"/>
      <c r="AC30" s="20"/>
      <c r="AD30" s="20"/>
      <c r="AE30" s="20"/>
      <c r="AF30" s="20"/>
    </row>
    <row r="31" spans="1:32">
      <c r="A31" s="196"/>
      <c r="B31" s="171"/>
      <c r="C31" s="171"/>
      <c r="D31" s="170"/>
      <c r="E31" s="170"/>
      <c r="F31" s="170"/>
      <c r="G31" s="170"/>
      <c r="H31" s="170"/>
      <c r="I31" s="170"/>
      <c r="J31" s="170"/>
      <c r="K31" s="170"/>
      <c r="L31" s="170"/>
      <c r="M31" s="170"/>
      <c r="N31" s="170"/>
      <c r="O31" s="170"/>
      <c r="P31" s="170"/>
      <c r="Q31" s="170"/>
      <c r="R31" s="170"/>
      <c r="S31" s="170"/>
      <c r="T31" s="170"/>
      <c r="U31" s="201"/>
      <c r="V31" s="20"/>
      <c r="W31" s="20"/>
      <c r="X31" s="20"/>
      <c r="Y31" s="20"/>
      <c r="Z31" s="20"/>
      <c r="AA31" s="20"/>
      <c r="AB31" s="20"/>
      <c r="AC31" s="20"/>
      <c r="AD31" s="20"/>
      <c r="AE31" s="20"/>
      <c r="AF31" s="20"/>
    </row>
    <row r="32" spans="1:32">
      <c r="A32" s="196">
        <v>5</v>
      </c>
      <c r="B32" s="170" t="s">
        <v>225</v>
      </c>
      <c r="C32" s="170"/>
      <c r="D32" s="170"/>
      <c r="E32" s="170"/>
      <c r="F32" s="170"/>
      <c r="G32" s="170"/>
      <c r="H32" s="170"/>
      <c r="I32" s="170"/>
      <c r="J32" s="170"/>
      <c r="K32" s="170"/>
      <c r="L32" s="170"/>
      <c r="M32" s="170"/>
      <c r="N32" s="170"/>
      <c r="O32" s="170"/>
      <c r="P32" s="170"/>
      <c r="Q32" s="170"/>
      <c r="R32" s="229"/>
      <c r="S32" s="229"/>
      <c r="T32" s="170"/>
      <c r="U32" s="201"/>
      <c r="V32" s="20"/>
      <c r="W32" s="20"/>
      <c r="X32" s="20"/>
      <c r="Y32" s="20"/>
      <c r="Z32" s="20"/>
      <c r="AA32" s="20"/>
      <c r="AB32" s="20"/>
      <c r="AC32" s="20"/>
      <c r="AD32" s="20"/>
      <c r="AE32" s="20"/>
      <c r="AF32" s="20"/>
    </row>
    <row r="33" spans="1:32">
      <c r="A33" s="241"/>
      <c r="B33" s="184"/>
      <c r="C33" s="184"/>
      <c r="D33" s="170"/>
      <c r="E33" s="170"/>
      <c r="F33" s="170"/>
      <c r="G33" s="170"/>
      <c r="H33" s="170"/>
      <c r="I33" s="170"/>
      <c r="J33" s="170"/>
      <c r="K33" s="170"/>
      <c r="L33" s="170"/>
      <c r="M33" s="170"/>
      <c r="N33" s="170"/>
      <c r="O33" s="170"/>
      <c r="P33" s="170"/>
      <c r="Q33" s="170"/>
      <c r="R33" s="170"/>
      <c r="S33" s="170"/>
      <c r="T33" s="170"/>
      <c r="U33" s="201"/>
      <c r="V33" s="20"/>
      <c r="W33" s="20"/>
      <c r="X33" s="20"/>
      <c r="Y33" s="20"/>
      <c r="Z33" s="20"/>
      <c r="AA33" s="20"/>
      <c r="AB33" s="20"/>
      <c r="AC33" s="20"/>
      <c r="AD33" s="20"/>
      <c r="AE33" s="20"/>
      <c r="AF33" s="20"/>
    </row>
    <row r="34" spans="1:32">
      <c r="A34" s="196"/>
      <c r="B34" s="170" t="s">
        <v>105</v>
      </c>
      <c r="C34" s="170"/>
      <c r="D34" s="170" t="s">
        <v>226</v>
      </c>
      <c r="E34" s="170"/>
      <c r="F34" s="170"/>
      <c r="G34" s="170"/>
      <c r="H34" s="170"/>
      <c r="I34" s="170"/>
      <c r="J34" s="170"/>
      <c r="K34" s="170"/>
      <c r="L34" s="170"/>
      <c r="M34" s="170"/>
      <c r="N34" s="170"/>
      <c r="O34" s="170"/>
      <c r="P34" s="305"/>
      <c r="Q34" s="305"/>
      <c r="R34" s="305"/>
      <c r="S34" s="168"/>
      <c r="T34" s="206" t="s">
        <v>184</v>
      </c>
      <c r="U34" s="201"/>
      <c r="V34" s="20"/>
      <c r="W34" s="20"/>
      <c r="X34" s="20"/>
      <c r="Y34" s="20"/>
      <c r="Z34" s="20"/>
      <c r="AA34" s="20"/>
      <c r="AB34" s="20"/>
      <c r="AC34" s="20"/>
      <c r="AD34" s="20"/>
      <c r="AE34" s="20"/>
      <c r="AF34" s="20"/>
    </row>
    <row r="35" spans="1:32">
      <c r="A35" s="196"/>
      <c r="B35" s="170"/>
      <c r="C35" s="170"/>
      <c r="D35" s="170" t="s">
        <v>227</v>
      </c>
      <c r="E35" s="170"/>
      <c r="F35" s="170"/>
      <c r="G35" s="170"/>
      <c r="H35" s="170"/>
      <c r="I35" s="170"/>
      <c r="J35" s="170"/>
      <c r="K35" s="170"/>
      <c r="L35" s="170"/>
      <c r="M35" s="170"/>
      <c r="N35" s="170"/>
      <c r="O35" s="170"/>
      <c r="P35" s="170"/>
      <c r="Q35" s="170"/>
      <c r="R35" s="170"/>
      <c r="S35" s="170"/>
      <c r="T35" s="170"/>
      <c r="U35" s="201"/>
      <c r="V35" s="20"/>
      <c r="W35" s="20"/>
      <c r="X35" s="20"/>
      <c r="Y35" s="20"/>
      <c r="Z35" s="20"/>
      <c r="AA35" s="20"/>
      <c r="AB35" s="20"/>
      <c r="AC35" s="20"/>
      <c r="AD35" s="20"/>
      <c r="AE35" s="20"/>
      <c r="AF35" s="20"/>
    </row>
    <row r="36" spans="1:32">
      <c r="A36" s="196"/>
      <c r="B36" s="171"/>
      <c r="C36" s="171"/>
      <c r="D36" s="170"/>
      <c r="E36" s="170"/>
      <c r="F36" s="170"/>
      <c r="G36" s="170"/>
      <c r="H36" s="170"/>
      <c r="I36" s="170"/>
      <c r="J36" s="170"/>
      <c r="K36" s="170"/>
      <c r="L36" s="170"/>
      <c r="M36" s="170"/>
      <c r="N36" s="170"/>
      <c r="O36" s="170"/>
      <c r="P36" s="170"/>
      <c r="Q36" s="170"/>
      <c r="R36" s="229"/>
      <c r="S36" s="229"/>
      <c r="T36" s="170"/>
      <c r="U36" s="201"/>
      <c r="V36" s="20"/>
      <c r="W36" s="20"/>
      <c r="X36" s="20"/>
      <c r="Y36" s="20"/>
      <c r="Z36" s="20"/>
      <c r="AA36" s="20"/>
      <c r="AB36" s="20"/>
      <c r="AC36" s="20"/>
      <c r="AD36" s="20"/>
      <c r="AE36" s="20"/>
      <c r="AF36" s="20"/>
    </row>
    <row r="37" spans="1:32">
      <c r="A37" s="196"/>
      <c r="B37" s="170" t="s">
        <v>107</v>
      </c>
      <c r="C37" s="170"/>
      <c r="D37" s="170" t="s">
        <v>226</v>
      </c>
      <c r="E37" s="170"/>
      <c r="F37" s="170"/>
      <c r="G37" s="170"/>
      <c r="H37" s="170"/>
      <c r="I37" s="170"/>
      <c r="J37" s="170"/>
      <c r="K37" s="170"/>
      <c r="L37" s="170"/>
      <c r="M37" s="170"/>
      <c r="N37" s="170"/>
      <c r="O37" s="170"/>
      <c r="P37" s="305"/>
      <c r="Q37" s="305"/>
      <c r="R37" s="305"/>
      <c r="S37" s="168"/>
      <c r="T37" s="206" t="s">
        <v>184</v>
      </c>
      <c r="U37" s="201"/>
      <c r="V37" s="20"/>
      <c r="W37" s="20"/>
      <c r="X37" s="20"/>
      <c r="Y37" s="20"/>
      <c r="Z37" s="20"/>
      <c r="AA37" s="20"/>
      <c r="AB37" s="20"/>
      <c r="AC37" s="20"/>
      <c r="AD37" s="20"/>
      <c r="AE37" s="20"/>
      <c r="AF37" s="20"/>
    </row>
    <row r="38" spans="1:32">
      <c r="A38" s="196"/>
      <c r="B38" s="171"/>
      <c r="C38" s="171"/>
      <c r="D38" s="170" t="s">
        <v>507</v>
      </c>
      <c r="E38" s="170"/>
      <c r="F38" s="170"/>
      <c r="G38" s="170"/>
      <c r="H38" s="170"/>
      <c r="I38" s="170"/>
      <c r="J38" s="170"/>
      <c r="K38" s="170"/>
      <c r="L38" s="170"/>
      <c r="M38" s="170"/>
      <c r="N38" s="170"/>
      <c r="O38" s="170"/>
      <c r="P38" s="170"/>
      <c r="Q38" s="170"/>
      <c r="R38" s="170"/>
      <c r="S38" s="170"/>
      <c r="T38" s="170"/>
      <c r="U38" s="201"/>
      <c r="V38" s="20"/>
      <c r="W38" s="20"/>
      <c r="X38" s="20"/>
      <c r="Y38" s="20"/>
      <c r="Z38" s="20"/>
      <c r="AA38" s="20"/>
      <c r="AB38" s="20"/>
      <c r="AC38" s="20"/>
      <c r="AD38" s="20"/>
      <c r="AE38" s="20"/>
      <c r="AF38" s="20"/>
    </row>
    <row r="39" spans="1:32">
      <c r="A39" s="196"/>
      <c r="B39" s="170"/>
      <c r="C39" s="170"/>
      <c r="D39" s="170"/>
      <c r="E39" s="170"/>
      <c r="F39" s="170"/>
      <c r="G39" s="170"/>
      <c r="H39" s="170"/>
      <c r="I39" s="170"/>
      <c r="J39" s="170"/>
      <c r="K39" s="170"/>
      <c r="L39" s="170"/>
      <c r="M39" s="170"/>
      <c r="N39" s="170"/>
      <c r="O39" s="170"/>
      <c r="P39" s="170"/>
      <c r="Q39" s="170"/>
      <c r="R39" s="229"/>
      <c r="S39" s="229"/>
      <c r="T39" s="170"/>
      <c r="U39" s="201"/>
      <c r="V39" s="20"/>
      <c r="W39" s="20"/>
      <c r="X39" s="20"/>
      <c r="Y39" s="20"/>
      <c r="Z39" s="20"/>
      <c r="AA39" s="20"/>
      <c r="AB39" s="20"/>
      <c r="AC39" s="20"/>
      <c r="AD39" s="20"/>
      <c r="AE39" s="20"/>
      <c r="AF39" s="20"/>
    </row>
    <row r="40" spans="1:32">
      <c r="A40" s="241"/>
      <c r="B40" s="170" t="s">
        <v>109</v>
      </c>
      <c r="C40" s="170"/>
      <c r="D40" s="170" t="s">
        <v>228</v>
      </c>
      <c r="E40" s="170"/>
      <c r="F40" s="170"/>
      <c r="G40" s="170"/>
      <c r="H40" s="170"/>
      <c r="I40" s="170"/>
      <c r="J40" s="170"/>
      <c r="K40" s="170"/>
      <c r="L40" s="170"/>
      <c r="M40" s="170"/>
      <c r="N40" s="170"/>
      <c r="O40" s="170"/>
      <c r="P40" s="312">
        <f>P37+P34</f>
        <v>0</v>
      </c>
      <c r="Q40" s="312"/>
      <c r="R40" s="312"/>
      <c r="S40" s="168"/>
      <c r="T40" s="206" t="s">
        <v>52</v>
      </c>
      <c r="U40" s="201"/>
      <c r="V40" s="20"/>
      <c r="W40" s="20"/>
      <c r="X40" s="20"/>
      <c r="Y40" s="20"/>
      <c r="Z40" s="20"/>
      <c r="AA40" s="20"/>
      <c r="AB40" s="20"/>
      <c r="AC40" s="20"/>
      <c r="AD40" s="20"/>
      <c r="AE40" s="20"/>
      <c r="AF40" s="20"/>
    </row>
    <row r="41" spans="1:32">
      <c r="A41" s="196"/>
      <c r="B41" s="170"/>
      <c r="C41" s="170"/>
      <c r="D41" s="170" t="s">
        <v>229</v>
      </c>
      <c r="E41" s="170"/>
      <c r="F41" s="170"/>
      <c r="G41" s="170"/>
      <c r="H41" s="170"/>
      <c r="I41" s="170"/>
      <c r="J41" s="170"/>
      <c r="K41" s="170"/>
      <c r="L41" s="170"/>
      <c r="M41" s="170"/>
      <c r="N41" s="170"/>
      <c r="O41" s="170"/>
      <c r="P41" s="170"/>
      <c r="Q41" s="170"/>
      <c r="R41" s="170"/>
      <c r="S41" s="170"/>
      <c r="T41" s="170"/>
      <c r="U41" s="201"/>
      <c r="V41" s="20"/>
      <c r="W41" s="20"/>
      <c r="X41" s="20"/>
      <c r="Y41" s="20"/>
      <c r="Z41" s="20"/>
      <c r="AA41" s="20"/>
      <c r="AB41" s="20"/>
      <c r="AC41" s="20"/>
      <c r="AD41" s="20"/>
      <c r="AE41" s="20"/>
      <c r="AF41" s="20"/>
    </row>
    <row r="42" spans="1:32">
      <c r="A42" s="196"/>
      <c r="B42" s="170"/>
      <c r="C42" s="170"/>
      <c r="D42" s="168"/>
      <c r="E42" s="170"/>
      <c r="F42" s="170"/>
      <c r="G42" s="170"/>
      <c r="H42" s="170"/>
      <c r="I42" s="170"/>
      <c r="J42" s="170"/>
      <c r="K42" s="170"/>
      <c r="L42" s="170"/>
      <c r="M42" s="170"/>
      <c r="N42" s="170"/>
      <c r="O42" s="170"/>
      <c r="P42" s="170"/>
      <c r="Q42" s="170"/>
      <c r="R42" s="229"/>
      <c r="S42" s="229"/>
      <c r="T42" s="170"/>
      <c r="U42" s="201"/>
      <c r="V42" s="20"/>
      <c r="W42" s="20"/>
      <c r="X42" s="20"/>
      <c r="Y42" s="20"/>
      <c r="Z42" s="20"/>
      <c r="AA42" s="20"/>
      <c r="AB42" s="20"/>
      <c r="AC42" s="20"/>
      <c r="AD42" s="20"/>
      <c r="AE42" s="20"/>
      <c r="AF42" s="20"/>
    </row>
    <row r="43" spans="1:32">
      <c r="A43" s="196"/>
      <c r="B43" s="171" t="s">
        <v>230</v>
      </c>
      <c r="C43" s="171"/>
      <c r="D43" s="170" t="s">
        <v>231</v>
      </c>
      <c r="E43" s="170"/>
      <c r="F43" s="170"/>
      <c r="G43" s="170"/>
      <c r="H43" s="170"/>
      <c r="I43" s="170"/>
      <c r="J43" s="170"/>
      <c r="K43" s="170"/>
      <c r="L43" s="170"/>
      <c r="M43" s="170"/>
      <c r="N43" s="229"/>
      <c r="O43" s="229"/>
      <c r="P43" s="170"/>
      <c r="Q43" s="170"/>
      <c r="R43" s="170"/>
      <c r="S43" s="170"/>
      <c r="T43" s="170"/>
      <c r="U43" s="201"/>
      <c r="V43" s="20"/>
      <c r="W43" s="20"/>
      <c r="X43" s="20"/>
      <c r="Y43" s="20"/>
      <c r="Z43" s="20"/>
      <c r="AA43" s="20"/>
      <c r="AB43" s="20"/>
      <c r="AC43" s="20"/>
      <c r="AD43" s="20"/>
      <c r="AE43" s="20"/>
      <c r="AF43" s="20"/>
    </row>
    <row r="44" spans="1:32">
      <c r="A44" s="196"/>
      <c r="B44" s="170"/>
      <c r="C44" s="170"/>
      <c r="D44" s="170" t="s">
        <v>232</v>
      </c>
      <c r="E44" s="170"/>
      <c r="F44" s="170"/>
      <c r="G44" s="170"/>
      <c r="H44" s="170"/>
      <c r="I44" s="170"/>
      <c r="J44" s="170"/>
      <c r="K44" s="170"/>
      <c r="L44" s="170"/>
      <c r="M44" s="170"/>
      <c r="N44" s="170"/>
      <c r="O44" s="170"/>
      <c r="P44" s="170"/>
      <c r="Q44" s="170"/>
      <c r="R44" s="229"/>
      <c r="S44" s="229"/>
      <c r="T44" s="170"/>
      <c r="U44" s="201"/>
      <c r="V44" s="20"/>
      <c r="W44" s="20"/>
      <c r="X44" s="20"/>
      <c r="Y44" s="20"/>
      <c r="Z44" s="20"/>
      <c r="AA44" s="20"/>
      <c r="AB44" s="20"/>
      <c r="AC44" s="20"/>
      <c r="AD44" s="20"/>
      <c r="AE44" s="20"/>
      <c r="AF44" s="20"/>
    </row>
    <row r="45" spans="1:32">
      <c r="A45" s="196"/>
      <c r="B45" s="171"/>
      <c r="C45" s="171"/>
      <c r="D45" s="170"/>
      <c r="E45" s="170"/>
      <c r="F45" s="170"/>
      <c r="G45" s="170"/>
      <c r="H45" s="170"/>
      <c r="I45" s="170"/>
      <c r="J45" s="170"/>
      <c r="K45" s="170"/>
      <c r="L45" s="170"/>
      <c r="M45" s="170"/>
      <c r="N45" s="170"/>
      <c r="O45" s="170"/>
      <c r="P45" s="170"/>
      <c r="Q45" s="170"/>
      <c r="R45" s="170"/>
      <c r="S45" s="170"/>
      <c r="T45" s="170"/>
      <c r="U45" s="201"/>
      <c r="V45" s="20"/>
      <c r="W45" s="20"/>
      <c r="X45" s="20"/>
      <c r="Y45" s="20"/>
      <c r="Z45" s="20"/>
      <c r="AA45" s="20"/>
      <c r="AB45" s="20"/>
      <c r="AC45" s="20"/>
      <c r="AD45" s="20"/>
      <c r="AE45" s="20"/>
      <c r="AF45" s="20"/>
    </row>
    <row r="46" spans="1:32">
      <c r="A46" s="196">
        <v>6</v>
      </c>
      <c r="B46" s="170" t="s">
        <v>233</v>
      </c>
      <c r="C46" s="170"/>
      <c r="D46" s="170"/>
      <c r="E46" s="170"/>
      <c r="F46" s="170"/>
      <c r="G46" s="170"/>
      <c r="H46" s="170"/>
      <c r="I46" s="170"/>
      <c r="J46" s="170"/>
      <c r="K46" s="170"/>
      <c r="L46" s="170"/>
      <c r="M46" s="170"/>
      <c r="N46" s="170"/>
      <c r="O46" s="170"/>
      <c r="P46" s="170"/>
      <c r="Q46" s="170"/>
      <c r="R46" s="229"/>
      <c r="S46" s="229"/>
      <c r="T46" s="170"/>
      <c r="U46" s="201"/>
      <c r="V46" s="20"/>
      <c r="W46" s="20"/>
      <c r="X46" s="20"/>
      <c r="Y46" s="20"/>
      <c r="Z46" s="20"/>
      <c r="AA46" s="20"/>
      <c r="AB46" s="20"/>
      <c r="AC46" s="20"/>
      <c r="AD46" s="20"/>
      <c r="AE46" s="20"/>
      <c r="AF46" s="20"/>
    </row>
    <row r="47" spans="1:32">
      <c r="A47" s="241"/>
      <c r="B47" s="170"/>
      <c r="C47" s="170"/>
      <c r="D47" s="170"/>
      <c r="E47" s="170"/>
      <c r="F47" s="170"/>
      <c r="G47" s="170"/>
      <c r="H47" s="170"/>
      <c r="I47" s="170"/>
      <c r="J47" s="170"/>
      <c r="K47" s="170"/>
      <c r="L47" s="170"/>
      <c r="M47" s="170"/>
      <c r="N47" s="170"/>
      <c r="O47" s="170"/>
      <c r="P47" s="170"/>
      <c r="Q47" s="170"/>
      <c r="R47" s="170"/>
      <c r="S47" s="170"/>
      <c r="T47" s="170"/>
      <c r="U47" s="201"/>
      <c r="V47" s="20"/>
      <c r="W47" s="20"/>
      <c r="X47" s="20"/>
      <c r="Y47" s="20"/>
      <c r="Z47" s="20"/>
      <c r="AA47" s="20"/>
      <c r="AB47" s="20"/>
      <c r="AC47" s="20"/>
      <c r="AD47" s="20"/>
      <c r="AE47" s="20"/>
      <c r="AF47" s="20"/>
    </row>
    <row r="48" spans="1:32">
      <c r="A48" s="196"/>
      <c r="B48" s="170" t="s">
        <v>105</v>
      </c>
      <c r="C48" s="170"/>
      <c r="D48" s="170" t="s">
        <v>234</v>
      </c>
      <c r="E48" s="170"/>
      <c r="F48" s="170"/>
      <c r="G48" s="170"/>
      <c r="H48" s="170"/>
      <c r="I48" s="170"/>
      <c r="J48" s="170"/>
      <c r="K48" s="170"/>
      <c r="L48" s="170"/>
      <c r="M48" s="170"/>
      <c r="N48" s="170"/>
      <c r="O48" s="170"/>
      <c r="P48" s="312">
        <f>Datum!N89+(2*Datum!N96)</f>
        <v>0</v>
      </c>
      <c r="Q48" s="312"/>
      <c r="R48" s="312"/>
      <c r="S48" s="168"/>
      <c r="T48" s="206" t="s">
        <v>52</v>
      </c>
      <c r="U48" s="201"/>
      <c r="V48" s="20"/>
      <c r="W48" s="20"/>
      <c r="X48" s="20"/>
      <c r="Y48" s="20"/>
      <c r="Z48" s="20"/>
      <c r="AA48" s="20"/>
      <c r="AB48" s="20"/>
      <c r="AC48" s="20"/>
      <c r="AD48" s="20"/>
      <c r="AE48" s="20"/>
      <c r="AF48" s="20"/>
    </row>
    <row r="49" spans="1:32">
      <c r="A49" s="196"/>
      <c r="B49" s="171"/>
      <c r="C49" s="171"/>
      <c r="D49" s="170"/>
      <c r="E49" s="170"/>
      <c r="F49" s="170"/>
      <c r="G49" s="170"/>
      <c r="H49" s="170"/>
      <c r="I49" s="170"/>
      <c r="J49" s="170"/>
      <c r="K49" s="170"/>
      <c r="L49" s="170"/>
      <c r="M49" s="170"/>
      <c r="N49" s="229"/>
      <c r="O49" s="229"/>
      <c r="P49" s="170"/>
      <c r="Q49" s="170"/>
      <c r="R49" s="170"/>
      <c r="S49" s="170"/>
      <c r="T49" s="170"/>
      <c r="U49" s="201"/>
      <c r="V49" s="20"/>
      <c r="W49" s="20"/>
      <c r="X49" s="20"/>
      <c r="Y49" s="20"/>
      <c r="Z49" s="20"/>
      <c r="AA49" s="20"/>
      <c r="AB49" s="20"/>
      <c r="AC49" s="20"/>
      <c r="AD49" s="20"/>
      <c r="AE49" s="20"/>
      <c r="AF49" s="20"/>
    </row>
    <row r="50" spans="1:32">
      <c r="A50" s="196"/>
      <c r="B50" s="170" t="s">
        <v>107</v>
      </c>
      <c r="C50" s="170"/>
      <c r="D50" s="170" t="s">
        <v>235</v>
      </c>
      <c r="E50" s="170"/>
      <c r="F50" s="170"/>
      <c r="G50" s="170"/>
      <c r="H50" s="170"/>
      <c r="I50" s="170"/>
      <c r="J50" s="170"/>
      <c r="K50" s="170"/>
      <c r="L50" s="170"/>
      <c r="M50" s="170"/>
      <c r="N50" s="170"/>
      <c r="O50" s="170"/>
      <c r="P50" s="170"/>
      <c r="Q50" s="170"/>
      <c r="R50" s="170"/>
      <c r="S50" s="170"/>
      <c r="T50" s="170"/>
      <c r="U50" s="201"/>
      <c r="V50" s="20"/>
      <c r="W50" s="20"/>
      <c r="X50" s="20"/>
      <c r="Y50" s="20"/>
      <c r="Z50" s="20"/>
      <c r="AA50" s="20"/>
      <c r="AB50" s="20"/>
      <c r="AC50" s="20"/>
      <c r="AD50" s="20"/>
      <c r="AE50" s="20"/>
      <c r="AF50" s="20"/>
    </row>
    <row r="51" spans="1:32">
      <c r="A51" s="196"/>
      <c r="B51" s="171"/>
      <c r="C51" s="171"/>
      <c r="D51" s="170" t="s">
        <v>236</v>
      </c>
      <c r="E51" s="170"/>
      <c r="F51" s="170"/>
      <c r="G51" s="170"/>
      <c r="H51" s="170"/>
      <c r="I51" s="170"/>
      <c r="J51" s="170"/>
      <c r="K51" s="170"/>
      <c r="L51" s="170"/>
      <c r="M51" s="170"/>
      <c r="N51" s="229"/>
      <c r="O51" s="229"/>
      <c r="P51" s="170"/>
      <c r="Q51" s="170"/>
      <c r="R51" s="170"/>
      <c r="S51" s="170"/>
      <c r="T51" s="170"/>
      <c r="U51" s="201"/>
      <c r="V51" s="20"/>
      <c r="W51" s="20"/>
      <c r="X51" s="20"/>
      <c r="Y51" s="20"/>
      <c r="Z51" s="20"/>
      <c r="AA51" s="20"/>
      <c r="AB51" s="20"/>
      <c r="AC51" s="20"/>
      <c r="AD51" s="20"/>
      <c r="AE51" s="20"/>
      <c r="AF51" s="20"/>
    </row>
    <row r="52" spans="1:32">
      <c r="A52" s="196"/>
      <c r="B52" s="170"/>
      <c r="C52" s="170"/>
      <c r="D52" s="170"/>
      <c r="E52" s="170"/>
      <c r="F52" s="170"/>
      <c r="G52" s="170"/>
      <c r="H52" s="170"/>
      <c r="I52" s="170"/>
      <c r="J52" s="170"/>
      <c r="K52" s="170"/>
      <c r="L52" s="170"/>
      <c r="M52" s="170"/>
      <c r="N52" s="170"/>
      <c r="O52" s="170"/>
      <c r="P52" s="170"/>
      <c r="Q52" s="170"/>
      <c r="R52" s="170"/>
      <c r="S52" s="170"/>
      <c r="T52" s="170"/>
      <c r="U52" s="201"/>
      <c r="V52" s="401" t="s">
        <v>353</v>
      </c>
      <c r="W52" s="401"/>
      <c r="X52" s="20"/>
      <c r="Y52" s="20"/>
      <c r="Z52" s="20"/>
      <c r="AA52" s="20"/>
      <c r="AB52" s="20"/>
      <c r="AC52" s="20"/>
      <c r="AD52" s="20"/>
      <c r="AE52" s="20"/>
      <c r="AF52" s="20"/>
    </row>
    <row r="53" spans="1:32" ht="13.8" thickBot="1">
      <c r="A53" s="247"/>
      <c r="B53" s="248"/>
      <c r="C53" s="248"/>
      <c r="D53" s="243"/>
      <c r="E53" s="243"/>
      <c r="F53" s="243"/>
      <c r="G53" s="243"/>
      <c r="H53" s="243"/>
      <c r="I53" s="243"/>
      <c r="J53" s="243"/>
      <c r="K53" s="243"/>
      <c r="L53" s="243"/>
      <c r="M53" s="243"/>
      <c r="N53" s="243"/>
      <c r="O53" s="243"/>
      <c r="P53" s="243"/>
      <c r="Q53" s="243"/>
      <c r="R53" s="243"/>
      <c r="S53" s="243"/>
      <c r="T53" s="243"/>
      <c r="U53" s="245"/>
      <c r="V53" s="42"/>
      <c r="W53" s="20"/>
      <c r="X53" s="20"/>
      <c r="Y53" s="20"/>
      <c r="Z53" s="20"/>
      <c r="AA53" s="20"/>
      <c r="AB53" s="20"/>
      <c r="AC53" s="20"/>
      <c r="AD53" s="20"/>
      <c r="AE53" s="20"/>
      <c r="AF53" s="20"/>
    </row>
    <row r="54" spans="1:32" ht="13.8" thickTop="1">
      <c r="A54" s="84"/>
      <c r="B54" s="42"/>
      <c r="C54" s="42"/>
      <c r="D54" s="42"/>
      <c r="E54" s="42"/>
      <c r="F54" s="42"/>
      <c r="G54" s="42"/>
      <c r="H54" s="42"/>
      <c r="I54" s="42"/>
      <c r="J54" s="42"/>
      <c r="K54" s="42"/>
      <c r="L54" s="42"/>
      <c r="M54" s="42"/>
      <c r="N54" s="42"/>
      <c r="O54" s="42"/>
      <c r="P54" s="42"/>
      <c r="Q54" s="42"/>
      <c r="R54" s="42"/>
      <c r="S54" s="42"/>
      <c r="T54" s="42"/>
      <c r="U54" s="42"/>
      <c r="V54" s="42"/>
      <c r="W54" s="20"/>
      <c r="X54" s="20"/>
      <c r="Y54" s="20"/>
      <c r="Z54" s="20"/>
      <c r="AA54" s="20"/>
      <c r="AB54" s="20"/>
      <c r="AC54" s="20"/>
      <c r="AD54" s="20"/>
      <c r="AE54" s="20"/>
      <c r="AF54" s="20"/>
    </row>
    <row r="55" spans="1:32">
      <c r="A55" s="84"/>
      <c r="B55" s="42"/>
      <c r="C55" s="42"/>
      <c r="D55" s="42"/>
      <c r="E55" s="42"/>
      <c r="F55" s="42"/>
      <c r="G55" s="42"/>
      <c r="H55" s="42"/>
      <c r="I55" s="42"/>
      <c r="J55" s="42"/>
      <c r="K55" s="42"/>
      <c r="L55" s="42"/>
      <c r="M55" s="42"/>
      <c r="N55" s="42"/>
      <c r="O55" s="42"/>
      <c r="P55" s="42"/>
      <c r="Q55" s="42"/>
      <c r="R55" s="42"/>
      <c r="S55" s="42"/>
      <c r="T55" s="42"/>
      <c r="U55" s="42"/>
      <c r="V55" s="42"/>
      <c r="W55" s="20"/>
      <c r="X55" s="20"/>
      <c r="Y55" s="20"/>
      <c r="Z55" s="20"/>
      <c r="AA55" s="20"/>
      <c r="AB55" s="20"/>
      <c r="AC55" s="20"/>
      <c r="AD55" s="20"/>
      <c r="AE55" s="20"/>
      <c r="AF55" s="20"/>
    </row>
    <row r="56" spans="1:32">
      <c r="A56" s="84"/>
      <c r="B56" s="42"/>
      <c r="C56" s="42"/>
      <c r="D56" s="42"/>
      <c r="E56" s="42"/>
      <c r="F56" s="42"/>
      <c r="G56" s="42"/>
      <c r="H56" s="42"/>
      <c r="I56" s="42"/>
      <c r="J56" s="42"/>
      <c r="K56" s="42"/>
      <c r="L56" s="42"/>
      <c r="M56" s="42"/>
      <c r="N56" s="42"/>
      <c r="O56" s="42"/>
      <c r="P56" s="42"/>
      <c r="Q56" s="42"/>
      <c r="R56" s="42"/>
      <c r="S56" s="42"/>
      <c r="T56" s="42"/>
      <c r="U56" s="42"/>
      <c r="V56" s="42"/>
      <c r="W56" s="20"/>
      <c r="X56" s="20"/>
      <c r="Y56" s="20"/>
      <c r="Z56" s="20"/>
      <c r="AA56" s="20"/>
      <c r="AB56" s="20"/>
      <c r="AC56" s="20"/>
      <c r="AD56" s="20"/>
      <c r="AE56" s="20"/>
      <c r="AF56" s="20"/>
    </row>
    <row r="57" spans="1:32">
      <c r="A57" s="42"/>
      <c r="B57" s="41"/>
      <c r="C57" s="41"/>
      <c r="D57" s="42"/>
      <c r="E57" s="42"/>
      <c r="F57" s="42"/>
      <c r="G57" s="42"/>
      <c r="H57" s="42"/>
      <c r="I57" s="42"/>
      <c r="J57" s="42"/>
      <c r="K57" s="42"/>
      <c r="L57" s="42"/>
      <c r="M57" s="42"/>
      <c r="N57" s="42"/>
      <c r="O57" s="42"/>
      <c r="P57" s="42"/>
      <c r="Q57" s="42"/>
      <c r="R57" s="42"/>
      <c r="S57" s="42"/>
      <c r="T57" s="42"/>
      <c r="U57" s="42"/>
      <c r="V57" s="42"/>
      <c r="W57" s="20"/>
      <c r="X57" s="20"/>
      <c r="Y57" s="20"/>
      <c r="Z57" s="20"/>
      <c r="AA57" s="20"/>
      <c r="AB57" s="20"/>
      <c r="AC57" s="20"/>
      <c r="AD57" s="20"/>
      <c r="AE57" s="20"/>
      <c r="AF57" s="20"/>
    </row>
    <row r="58" spans="1:32">
      <c r="A58" s="42"/>
      <c r="B58" s="42"/>
      <c r="C58" s="42"/>
      <c r="D58" s="42"/>
      <c r="E58" s="42"/>
      <c r="F58" s="42"/>
      <c r="G58" s="42"/>
      <c r="H58" s="42"/>
      <c r="I58" s="42"/>
      <c r="J58" s="42"/>
      <c r="K58" s="42"/>
      <c r="L58" s="42"/>
      <c r="M58" s="42"/>
      <c r="N58" s="42"/>
      <c r="O58" s="42"/>
      <c r="P58" s="42"/>
      <c r="Q58" s="42"/>
      <c r="R58" s="42"/>
      <c r="S58" s="42"/>
      <c r="T58" s="42"/>
      <c r="U58" s="42"/>
      <c r="V58" s="42"/>
      <c r="W58" s="20"/>
      <c r="X58" s="20"/>
      <c r="Y58" s="20"/>
      <c r="Z58" s="20"/>
      <c r="AA58" s="20"/>
      <c r="AB58" s="20"/>
      <c r="AC58" s="20"/>
      <c r="AD58" s="20"/>
      <c r="AE58" s="20"/>
      <c r="AF58" s="20"/>
    </row>
    <row r="59" spans="1:32">
      <c r="A59" s="42"/>
      <c r="B59" s="42"/>
      <c r="C59" s="42"/>
      <c r="D59" s="42"/>
      <c r="E59" s="42"/>
      <c r="F59" s="42"/>
      <c r="G59" s="42"/>
      <c r="H59" s="42"/>
      <c r="I59" s="42"/>
      <c r="J59" s="42"/>
      <c r="K59" s="42"/>
      <c r="L59" s="42"/>
      <c r="M59" s="42"/>
      <c r="N59" s="42"/>
      <c r="O59" s="42"/>
      <c r="P59" s="42"/>
      <c r="Q59" s="42"/>
      <c r="R59" s="42"/>
      <c r="S59" s="42"/>
      <c r="T59" s="42"/>
      <c r="U59" s="42"/>
      <c r="V59" s="42"/>
      <c r="W59" s="20"/>
      <c r="X59" s="20"/>
      <c r="Y59" s="20"/>
      <c r="Z59" s="20"/>
      <c r="AA59" s="20"/>
      <c r="AB59" s="20"/>
      <c r="AC59" s="20"/>
      <c r="AD59" s="20"/>
      <c r="AE59" s="20"/>
      <c r="AF59" s="20"/>
    </row>
    <row r="60" spans="1:32">
      <c r="A60" s="42"/>
      <c r="B60" s="42"/>
      <c r="C60" s="42"/>
      <c r="D60" s="42"/>
      <c r="E60" s="42"/>
      <c r="F60" s="42"/>
      <c r="G60" s="42"/>
      <c r="H60" s="42"/>
      <c r="I60" s="42"/>
      <c r="J60" s="42"/>
      <c r="K60" s="42"/>
      <c r="L60" s="42"/>
      <c r="M60" s="42"/>
      <c r="N60" s="42"/>
      <c r="O60" s="42"/>
      <c r="P60" s="42"/>
      <c r="Q60" s="42"/>
      <c r="R60" s="42"/>
      <c r="S60" s="42"/>
      <c r="T60" s="42"/>
      <c r="U60" s="42"/>
      <c r="V60" s="42"/>
      <c r="W60" s="20"/>
      <c r="X60" s="20"/>
      <c r="Y60" s="20"/>
      <c r="Z60" s="20"/>
      <c r="AA60" s="20"/>
      <c r="AB60" s="20"/>
      <c r="AC60" s="20"/>
      <c r="AD60" s="20"/>
      <c r="AE60" s="20"/>
      <c r="AF60" s="20"/>
    </row>
    <row r="61" spans="1:32">
      <c r="A61" s="42"/>
      <c r="B61" s="42"/>
      <c r="C61" s="42"/>
      <c r="D61" s="42"/>
      <c r="E61" s="42"/>
      <c r="F61" s="42"/>
      <c r="G61" s="42"/>
      <c r="H61" s="42"/>
      <c r="I61" s="42"/>
      <c r="J61" s="42"/>
      <c r="K61" s="42"/>
      <c r="L61" s="42"/>
      <c r="M61" s="42"/>
      <c r="N61" s="42"/>
      <c r="O61" s="42"/>
      <c r="P61" s="42"/>
      <c r="Q61" s="42"/>
      <c r="R61" s="42"/>
      <c r="S61" s="42"/>
      <c r="T61" s="42"/>
      <c r="U61" s="42"/>
      <c r="V61" s="42"/>
      <c r="W61" s="20"/>
      <c r="X61" s="20"/>
      <c r="Y61" s="20"/>
      <c r="Z61" s="20"/>
      <c r="AA61" s="20"/>
      <c r="AB61" s="20"/>
      <c r="AC61" s="20"/>
      <c r="AD61" s="20"/>
      <c r="AE61" s="20"/>
      <c r="AF61" s="20"/>
    </row>
    <row r="62" spans="1:32">
      <c r="A62" s="42"/>
      <c r="B62" s="42"/>
      <c r="C62" s="42"/>
      <c r="D62" s="42"/>
      <c r="E62" s="42"/>
      <c r="F62" s="42"/>
      <c r="G62" s="42"/>
      <c r="H62" s="42"/>
      <c r="I62" s="42"/>
      <c r="J62" s="42"/>
      <c r="K62" s="42"/>
      <c r="L62" s="42"/>
      <c r="M62" s="42"/>
      <c r="N62" s="42"/>
      <c r="O62" s="42"/>
      <c r="P62" s="42"/>
      <c r="Q62" s="42"/>
      <c r="R62" s="42"/>
      <c r="S62" s="42"/>
      <c r="T62" s="42"/>
      <c r="U62" s="42"/>
      <c r="V62" s="42"/>
      <c r="W62" s="20"/>
      <c r="X62" s="20"/>
      <c r="Y62" s="20"/>
      <c r="Z62" s="20"/>
      <c r="AA62" s="20"/>
      <c r="AB62" s="20"/>
      <c r="AC62" s="20"/>
      <c r="AD62" s="20"/>
      <c r="AE62" s="20"/>
      <c r="AF62" s="20"/>
    </row>
    <row r="63" spans="1:32">
      <c r="A63" s="42"/>
      <c r="B63" s="42"/>
      <c r="C63" s="42"/>
      <c r="D63" s="42"/>
      <c r="E63" s="42"/>
      <c r="F63" s="42"/>
      <c r="G63" s="42"/>
      <c r="H63" s="42"/>
      <c r="I63" s="42"/>
      <c r="J63" s="42"/>
      <c r="K63" s="42"/>
      <c r="L63" s="42"/>
      <c r="M63" s="42"/>
      <c r="N63" s="42"/>
      <c r="O63" s="42"/>
      <c r="P63" s="42"/>
      <c r="Q63" s="42"/>
      <c r="R63" s="42"/>
      <c r="S63" s="42"/>
      <c r="T63" s="42"/>
      <c r="U63" s="42"/>
      <c r="V63" s="42"/>
      <c r="W63" s="20"/>
      <c r="X63" s="20"/>
      <c r="Y63" s="20"/>
      <c r="Z63" s="20"/>
      <c r="AA63" s="20"/>
      <c r="AB63" s="20"/>
      <c r="AC63" s="20"/>
      <c r="AD63" s="20"/>
      <c r="AE63" s="20"/>
      <c r="AF63" s="20"/>
    </row>
    <row r="64" spans="1:32">
      <c r="A64" s="42"/>
      <c r="B64" s="42"/>
      <c r="C64" s="42"/>
      <c r="D64" s="42"/>
      <c r="E64" s="42"/>
      <c r="F64" s="42"/>
      <c r="G64" s="42"/>
      <c r="H64" s="42"/>
      <c r="I64" s="42"/>
      <c r="J64" s="42"/>
      <c r="K64" s="42"/>
      <c r="L64" s="42"/>
      <c r="M64" s="42"/>
      <c r="N64" s="42"/>
      <c r="O64" s="42"/>
      <c r="P64" s="42"/>
      <c r="Q64" s="42"/>
      <c r="R64" s="42"/>
      <c r="S64" s="42"/>
      <c r="T64" s="42"/>
      <c r="U64" s="42"/>
      <c r="V64" s="42"/>
      <c r="W64" s="20"/>
      <c r="X64" s="20"/>
      <c r="Y64" s="20"/>
      <c r="Z64" s="20"/>
      <c r="AA64" s="20"/>
      <c r="AB64" s="20"/>
      <c r="AC64" s="20"/>
      <c r="AD64" s="20"/>
      <c r="AE64" s="20"/>
      <c r="AF64" s="20"/>
    </row>
    <row r="65" spans="1:32">
      <c r="A65" s="42"/>
      <c r="B65" s="42"/>
      <c r="C65" s="42"/>
      <c r="D65" s="42"/>
      <c r="E65" s="42"/>
      <c r="F65" s="42"/>
      <c r="G65" s="42"/>
      <c r="H65" s="42"/>
      <c r="I65" s="42"/>
      <c r="J65" s="42"/>
      <c r="K65" s="42"/>
      <c r="L65" s="42"/>
      <c r="M65" s="42"/>
      <c r="N65" s="42"/>
      <c r="O65" s="42"/>
      <c r="P65" s="42"/>
      <c r="Q65" s="42"/>
      <c r="R65" s="42"/>
      <c r="S65" s="42"/>
      <c r="T65" s="42"/>
      <c r="U65" s="42"/>
      <c r="V65" s="42"/>
      <c r="W65" s="20"/>
      <c r="X65" s="20"/>
      <c r="Y65" s="20"/>
      <c r="Z65" s="20"/>
      <c r="AA65" s="20"/>
      <c r="AB65" s="20"/>
      <c r="AC65" s="20"/>
      <c r="AD65" s="20"/>
      <c r="AE65" s="20"/>
      <c r="AF65" s="20"/>
    </row>
    <row r="66" spans="1:32">
      <c r="A66" s="41"/>
      <c r="B66" s="41"/>
      <c r="C66" s="41"/>
      <c r="D66" s="42"/>
      <c r="E66" s="42"/>
      <c r="F66" s="42"/>
      <c r="G66" s="42"/>
      <c r="H66" s="42"/>
      <c r="I66" s="42"/>
      <c r="J66" s="42"/>
      <c r="K66" s="42"/>
      <c r="L66" s="42"/>
      <c r="M66" s="42"/>
      <c r="N66" s="42"/>
      <c r="O66" s="42"/>
      <c r="P66" s="42"/>
      <c r="Q66" s="42"/>
      <c r="R66" s="42"/>
      <c r="S66" s="42"/>
      <c r="T66" s="42"/>
      <c r="U66" s="42"/>
      <c r="V66" s="42"/>
      <c r="W66" s="20"/>
      <c r="X66" s="20"/>
      <c r="Y66" s="20"/>
      <c r="Z66" s="20"/>
      <c r="AA66" s="20"/>
      <c r="AB66" s="20"/>
      <c r="AC66" s="20"/>
      <c r="AD66" s="20"/>
      <c r="AE66" s="20"/>
      <c r="AF66" s="20"/>
    </row>
    <row r="67" spans="1:32">
      <c r="A67" s="42"/>
      <c r="B67" s="42"/>
      <c r="C67" s="42"/>
      <c r="D67" s="42"/>
      <c r="E67" s="42"/>
      <c r="F67" s="42"/>
      <c r="G67" s="42"/>
      <c r="H67" s="42"/>
      <c r="I67" s="42"/>
      <c r="J67" s="42"/>
      <c r="K67" s="42"/>
      <c r="L67" s="42"/>
      <c r="M67" s="42"/>
      <c r="N67" s="42"/>
      <c r="O67" s="42"/>
      <c r="P67" s="42"/>
      <c r="Q67" s="42"/>
      <c r="R67" s="42"/>
      <c r="S67" s="42"/>
      <c r="T67" s="42"/>
      <c r="U67" s="42"/>
      <c r="V67" s="42"/>
      <c r="W67" s="20"/>
      <c r="X67" s="20"/>
      <c r="Y67" s="20"/>
      <c r="Z67" s="20"/>
      <c r="AA67" s="20"/>
      <c r="AB67" s="20"/>
      <c r="AC67" s="20"/>
      <c r="AD67" s="20"/>
      <c r="AE67" s="20"/>
      <c r="AF67" s="20"/>
    </row>
    <row r="68" spans="1:32">
      <c r="A68" s="42"/>
      <c r="B68" s="42"/>
      <c r="C68" s="42"/>
      <c r="D68" s="42"/>
      <c r="E68" s="42"/>
      <c r="F68" s="42"/>
      <c r="G68" s="42"/>
      <c r="H68" s="42"/>
      <c r="I68" s="42"/>
      <c r="J68" s="42"/>
      <c r="K68" s="42"/>
      <c r="L68" s="42"/>
      <c r="M68" s="42"/>
      <c r="N68" s="42"/>
      <c r="O68" s="42"/>
      <c r="P68" s="42"/>
      <c r="Q68" s="42"/>
      <c r="R68" s="42"/>
      <c r="S68" s="42"/>
      <c r="T68" s="42"/>
      <c r="U68" s="42"/>
      <c r="V68" s="42"/>
      <c r="W68" s="20"/>
      <c r="X68" s="20"/>
      <c r="Y68" s="20"/>
      <c r="Z68" s="20"/>
      <c r="AA68" s="20"/>
      <c r="AB68" s="20"/>
      <c r="AC68" s="20"/>
      <c r="AD68" s="20"/>
      <c r="AE68" s="20"/>
      <c r="AF68" s="20"/>
    </row>
    <row r="69" spans="1:32">
      <c r="A69" s="42"/>
      <c r="B69" s="42"/>
      <c r="C69" s="42"/>
      <c r="D69" s="42"/>
      <c r="E69" s="42"/>
      <c r="F69" s="42"/>
      <c r="G69" s="42"/>
      <c r="H69" s="42"/>
      <c r="I69" s="42"/>
      <c r="J69" s="42"/>
      <c r="K69" s="42"/>
      <c r="L69" s="42"/>
      <c r="M69" s="42"/>
      <c r="N69" s="42"/>
      <c r="O69" s="42"/>
      <c r="P69" s="42"/>
      <c r="Q69" s="42"/>
      <c r="R69" s="42"/>
      <c r="S69" s="42"/>
      <c r="T69" s="42"/>
      <c r="U69" s="42"/>
      <c r="V69" s="42"/>
      <c r="W69" s="20"/>
      <c r="X69" s="20"/>
      <c r="Y69" s="20"/>
      <c r="Z69" s="20"/>
      <c r="AA69" s="20"/>
      <c r="AB69" s="20"/>
      <c r="AC69" s="20"/>
      <c r="AD69" s="20"/>
      <c r="AE69" s="20"/>
      <c r="AF69" s="20"/>
    </row>
    <row r="70" spans="1:32">
      <c r="A70" s="42"/>
      <c r="B70" s="42"/>
      <c r="C70" s="42"/>
      <c r="D70" s="42"/>
      <c r="E70" s="42"/>
      <c r="F70" s="42"/>
      <c r="G70" s="42"/>
      <c r="H70" s="42"/>
      <c r="I70" s="42"/>
      <c r="J70" s="42"/>
      <c r="K70" s="42"/>
      <c r="L70" s="42"/>
      <c r="M70" s="42"/>
      <c r="N70" s="42"/>
      <c r="O70" s="42"/>
      <c r="P70" s="42"/>
      <c r="Q70" s="42"/>
      <c r="R70" s="42"/>
      <c r="S70" s="42"/>
      <c r="T70" s="42"/>
      <c r="U70" s="42"/>
      <c r="V70" s="42"/>
      <c r="W70" s="20"/>
      <c r="X70" s="20"/>
      <c r="Y70" s="20"/>
      <c r="Z70" s="20"/>
      <c r="AA70" s="20"/>
      <c r="AB70" s="20"/>
      <c r="AC70" s="20"/>
      <c r="AD70" s="20"/>
      <c r="AE70" s="20"/>
      <c r="AF70" s="20"/>
    </row>
    <row r="71" spans="1:32">
      <c r="A71" s="42"/>
      <c r="B71" s="42"/>
      <c r="C71" s="42"/>
      <c r="D71" s="42"/>
      <c r="E71" s="42"/>
      <c r="F71" s="42"/>
      <c r="G71" s="42"/>
      <c r="H71" s="42"/>
      <c r="I71" s="42"/>
      <c r="J71" s="42"/>
      <c r="K71" s="42"/>
      <c r="L71" s="42"/>
      <c r="M71" s="42"/>
      <c r="N71" s="42"/>
      <c r="O71" s="42"/>
      <c r="P71" s="42"/>
      <c r="Q71" s="42"/>
      <c r="R71" s="42"/>
      <c r="S71" s="42"/>
      <c r="T71" s="42"/>
      <c r="U71" s="42"/>
      <c r="V71" s="42"/>
      <c r="W71" s="20"/>
      <c r="X71" s="20"/>
      <c r="Y71" s="20"/>
      <c r="Z71" s="20"/>
      <c r="AA71" s="20"/>
      <c r="AB71" s="20"/>
      <c r="AC71" s="20"/>
      <c r="AD71" s="20"/>
      <c r="AE71" s="20"/>
      <c r="AF71" s="20"/>
    </row>
    <row r="72" spans="1:32">
      <c r="A72" s="42"/>
      <c r="B72" s="42"/>
      <c r="C72" s="42"/>
      <c r="D72" s="42"/>
      <c r="E72" s="42"/>
      <c r="F72" s="42"/>
      <c r="G72" s="42"/>
      <c r="H72" s="42"/>
      <c r="I72" s="42"/>
      <c r="J72" s="42"/>
      <c r="K72" s="42"/>
      <c r="L72" s="42"/>
      <c r="M72" s="42"/>
      <c r="N72" s="42"/>
      <c r="O72" s="42"/>
      <c r="P72" s="42"/>
      <c r="Q72" s="42"/>
      <c r="R72" s="42"/>
      <c r="S72" s="42"/>
      <c r="T72" s="42"/>
      <c r="U72" s="42"/>
      <c r="V72" s="42"/>
      <c r="W72" s="20"/>
      <c r="X72" s="20"/>
      <c r="Y72" s="20"/>
      <c r="Z72" s="20"/>
      <c r="AA72" s="20"/>
      <c r="AB72" s="20"/>
      <c r="AC72" s="20"/>
      <c r="AD72" s="20"/>
      <c r="AE72" s="20"/>
      <c r="AF72" s="20"/>
    </row>
    <row r="73" spans="1:32">
      <c r="A73" s="42"/>
      <c r="B73" s="84"/>
      <c r="C73" s="84"/>
      <c r="D73" s="42"/>
      <c r="E73" s="42"/>
      <c r="F73" s="42"/>
      <c r="G73" s="42"/>
      <c r="H73" s="42"/>
      <c r="I73" s="42"/>
      <c r="J73" s="42"/>
      <c r="K73" s="42"/>
      <c r="L73" s="42"/>
      <c r="M73" s="42"/>
      <c r="N73" s="42"/>
      <c r="O73" s="42"/>
      <c r="P73" s="42"/>
      <c r="Q73" s="42"/>
      <c r="R73" s="42"/>
      <c r="S73" s="42"/>
      <c r="T73" s="42"/>
      <c r="U73" s="42"/>
      <c r="V73" s="42"/>
      <c r="W73" s="20"/>
      <c r="X73" s="20"/>
      <c r="Y73" s="20"/>
      <c r="Z73" s="20"/>
      <c r="AA73" s="20"/>
      <c r="AB73" s="20"/>
      <c r="AC73" s="20"/>
      <c r="AD73" s="20"/>
      <c r="AE73" s="20"/>
      <c r="AF73" s="20"/>
    </row>
    <row r="74" spans="1:32">
      <c r="A74" s="42"/>
      <c r="B74" s="42"/>
      <c r="C74" s="42"/>
      <c r="D74" s="42"/>
      <c r="E74" s="42"/>
      <c r="F74" s="42"/>
      <c r="G74" s="42"/>
      <c r="H74" s="42"/>
      <c r="I74" s="42"/>
      <c r="J74" s="42"/>
      <c r="K74" s="42"/>
      <c r="L74" s="42"/>
      <c r="M74" s="42"/>
      <c r="N74" s="42"/>
      <c r="O74" s="42"/>
      <c r="P74" s="42"/>
      <c r="Q74" s="42"/>
      <c r="R74" s="42"/>
      <c r="S74" s="42"/>
      <c r="T74" s="42"/>
      <c r="U74" s="42"/>
      <c r="V74" s="42"/>
      <c r="W74" s="20"/>
      <c r="X74" s="20"/>
      <c r="Y74" s="20"/>
      <c r="Z74" s="20"/>
      <c r="AA74" s="20"/>
      <c r="AB74" s="20"/>
      <c r="AC74" s="20"/>
      <c r="AD74" s="20"/>
      <c r="AE74" s="20"/>
      <c r="AF74" s="20"/>
    </row>
    <row r="75" spans="1:32">
      <c r="A75" s="42"/>
      <c r="B75" s="84"/>
      <c r="C75" s="84"/>
      <c r="D75" s="42"/>
      <c r="E75" s="42"/>
      <c r="F75" s="42"/>
      <c r="G75" s="42"/>
      <c r="H75" s="42"/>
      <c r="I75" s="42"/>
      <c r="J75" s="42"/>
      <c r="K75" s="42"/>
      <c r="L75" s="42"/>
      <c r="M75" s="42"/>
      <c r="N75" s="42"/>
      <c r="O75" s="42"/>
      <c r="P75" s="42"/>
      <c r="Q75" s="42"/>
      <c r="R75" s="42"/>
      <c r="S75" s="42"/>
      <c r="T75" s="42"/>
      <c r="U75" s="42"/>
      <c r="V75" s="42"/>
      <c r="W75" s="20"/>
      <c r="X75" s="20"/>
      <c r="Y75" s="20"/>
      <c r="Z75" s="20"/>
      <c r="AA75" s="20"/>
      <c r="AB75" s="20"/>
      <c r="AC75" s="20"/>
      <c r="AD75" s="20"/>
      <c r="AE75" s="20"/>
      <c r="AF75" s="20"/>
    </row>
    <row r="76" spans="1:32">
      <c r="A76" s="42"/>
      <c r="B76" s="42"/>
      <c r="C76" s="42"/>
      <c r="D76" s="42"/>
      <c r="E76" s="42"/>
      <c r="F76" s="42"/>
      <c r="G76" s="42"/>
      <c r="H76" s="42"/>
      <c r="I76" s="42"/>
      <c r="J76" s="42"/>
      <c r="K76" s="42"/>
      <c r="L76" s="42"/>
      <c r="M76" s="42"/>
      <c r="N76" s="42"/>
      <c r="O76" s="42"/>
      <c r="P76" s="42"/>
      <c r="Q76" s="42"/>
      <c r="R76" s="42"/>
      <c r="S76" s="42"/>
      <c r="T76" s="42"/>
      <c r="U76" s="42"/>
      <c r="V76" s="42"/>
      <c r="W76" s="20"/>
      <c r="X76" s="20"/>
      <c r="Y76" s="20"/>
      <c r="Z76" s="20"/>
      <c r="AA76" s="20"/>
      <c r="AB76" s="20"/>
      <c r="AC76" s="20"/>
      <c r="AD76" s="20"/>
      <c r="AE76" s="20"/>
      <c r="AF76" s="20"/>
    </row>
    <row r="77" spans="1:32">
      <c r="A77" s="42"/>
      <c r="B77" s="84"/>
      <c r="C77" s="84"/>
      <c r="D77" s="42"/>
      <c r="E77" s="42"/>
      <c r="F77" s="42"/>
      <c r="G77" s="42"/>
      <c r="H77" s="42"/>
      <c r="I77" s="42"/>
      <c r="J77" s="42"/>
      <c r="K77" s="42"/>
      <c r="L77" s="42"/>
      <c r="M77" s="42"/>
      <c r="N77" s="42"/>
      <c r="O77" s="42"/>
      <c r="P77" s="42"/>
      <c r="Q77" s="42"/>
      <c r="R77" s="42"/>
      <c r="S77" s="42"/>
      <c r="T77" s="42"/>
      <c r="U77" s="42"/>
      <c r="V77" s="42"/>
      <c r="W77" s="20"/>
      <c r="X77" s="20"/>
      <c r="Y77" s="20"/>
      <c r="Z77" s="20"/>
      <c r="AA77" s="20"/>
      <c r="AB77" s="20"/>
      <c r="AC77" s="20"/>
      <c r="AD77" s="20"/>
      <c r="AE77" s="20"/>
      <c r="AF77" s="20"/>
    </row>
    <row r="78" spans="1:32">
      <c r="A78" s="42"/>
      <c r="B78" s="42"/>
      <c r="C78" s="42"/>
      <c r="D78" s="41"/>
      <c r="E78" s="42"/>
      <c r="F78" s="42"/>
      <c r="G78" s="42"/>
      <c r="H78" s="42"/>
      <c r="I78" s="42"/>
      <c r="J78" s="42"/>
      <c r="K78" s="42"/>
      <c r="L78" s="42"/>
      <c r="M78" s="42"/>
      <c r="N78" s="42"/>
      <c r="O78" s="42"/>
      <c r="P78" s="42"/>
      <c r="Q78" s="42"/>
      <c r="R78" s="42"/>
      <c r="S78" s="42"/>
      <c r="T78" s="42"/>
      <c r="U78" s="42"/>
      <c r="V78" s="42"/>
      <c r="W78" s="20"/>
      <c r="X78" s="20"/>
      <c r="Y78" s="20"/>
      <c r="Z78" s="20"/>
      <c r="AA78" s="20"/>
      <c r="AB78" s="20"/>
      <c r="AC78" s="20"/>
      <c r="AD78" s="20"/>
      <c r="AE78" s="20"/>
      <c r="AF78" s="20"/>
    </row>
    <row r="79" spans="1:32">
      <c r="A79" s="42"/>
      <c r="B79" s="42"/>
      <c r="C79" s="42"/>
      <c r="D79" s="42"/>
      <c r="E79" s="42"/>
      <c r="F79" s="42"/>
      <c r="G79" s="42"/>
      <c r="H79" s="42"/>
      <c r="I79" s="42"/>
      <c r="J79" s="42"/>
      <c r="K79" s="42"/>
      <c r="L79" s="42"/>
      <c r="M79" s="42"/>
      <c r="N79" s="42"/>
      <c r="O79" s="42"/>
      <c r="P79" s="42"/>
      <c r="Q79" s="42"/>
      <c r="R79" s="42"/>
      <c r="S79" s="42"/>
      <c r="T79" s="42"/>
      <c r="U79" s="42"/>
      <c r="V79" s="42"/>
      <c r="W79" s="20"/>
      <c r="X79" s="20"/>
      <c r="Y79" s="20"/>
      <c r="Z79" s="20"/>
      <c r="AA79" s="20"/>
      <c r="AB79" s="20"/>
      <c r="AC79" s="20"/>
      <c r="AD79" s="20"/>
      <c r="AE79" s="20"/>
      <c r="AF79" s="20"/>
    </row>
    <row r="80" spans="1:32">
      <c r="A80" s="42"/>
      <c r="B80" s="84"/>
      <c r="C80" s="84"/>
      <c r="D80" s="42"/>
      <c r="E80" s="42"/>
      <c r="F80" s="42"/>
      <c r="G80" s="42"/>
      <c r="H80" s="42"/>
      <c r="I80" s="42"/>
      <c r="J80" s="42"/>
      <c r="K80" s="42"/>
      <c r="L80" s="42"/>
      <c r="M80" s="42"/>
      <c r="N80" s="42"/>
      <c r="O80" s="42"/>
      <c r="P80" s="42"/>
      <c r="Q80" s="42"/>
      <c r="R80" s="42"/>
      <c r="S80" s="42"/>
      <c r="T80" s="42"/>
      <c r="U80" s="42"/>
      <c r="V80" s="42"/>
      <c r="W80" s="20"/>
      <c r="X80" s="20"/>
      <c r="Y80" s="20"/>
      <c r="Z80" s="20"/>
      <c r="AA80" s="20"/>
      <c r="AB80" s="20"/>
      <c r="AC80" s="20"/>
      <c r="AD80" s="20"/>
      <c r="AE80" s="20"/>
      <c r="AF80" s="20"/>
    </row>
    <row r="81" spans="1:32">
      <c r="A81" s="42"/>
      <c r="B81" s="42"/>
      <c r="C81" s="42"/>
      <c r="D81" s="41"/>
      <c r="E81" s="42"/>
      <c r="F81" s="42"/>
      <c r="G81" s="42"/>
      <c r="H81" s="42"/>
      <c r="I81" s="42"/>
      <c r="J81" s="42"/>
      <c r="K81" s="42"/>
      <c r="L81" s="42"/>
      <c r="M81" s="42"/>
      <c r="N81" s="42"/>
      <c r="O81" s="42"/>
      <c r="P81" s="42"/>
      <c r="Q81" s="42"/>
      <c r="R81" s="42"/>
      <c r="S81" s="42"/>
      <c r="T81" s="42"/>
      <c r="U81" s="42"/>
      <c r="V81" s="42"/>
      <c r="W81" s="20"/>
      <c r="X81" s="20"/>
      <c r="Y81" s="20"/>
      <c r="Z81" s="20"/>
      <c r="AA81" s="20"/>
      <c r="AB81" s="20"/>
      <c r="AC81" s="20"/>
      <c r="AD81" s="20"/>
      <c r="AE81" s="20"/>
      <c r="AF81" s="20"/>
    </row>
    <row r="82" spans="1:32">
      <c r="A82" s="42"/>
      <c r="B82" s="42"/>
      <c r="C82" s="42"/>
      <c r="D82" s="42"/>
      <c r="E82" s="42"/>
      <c r="F82" s="42"/>
      <c r="G82" s="42"/>
      <c r="H82" s="42"/>
      <c r="I82" s="42"/>
      <c r="J82" s="42"/>
      <c r="K82" s="42"/>
      <c r="L82" s="42"/>
      <c r="M82" s="42"/>
      <c r="N82" s="42"/>
      <c r="O82" s="42"/>
      <c r="P82" s="42"/>
      <c r="Q82" s="42"/>
      <c r="R82" s="42"/>
      <c r="S82" s="42"/>
      <c r="T82" s="42"/>
      <c r="U82" s="42"/>
      <c r="V82" s="42"/>
      <c r="W82" s="20"/>
      <c r="X82" s="20"/>
      <c r="Y82" s="20"/>
      <c r="Z82" s="20"/>
      <c r="AA82" s="20"/>
      <c r="AB82" s="20"/>
      <c r="AC82" s="20"/>
      <c r="AD82" s="20"/>
      <c r="AE82" s="20"/>
      <c r="AF82" s="20"/>
    </row>
    <row r="83" spans="1:32">
      <c r="A83" s="41"/>
      <c r="B83" s="41"/>
      <c r="C83" s="41"/>
      <c r="D83" s="42"/>
      <c r="E83" s="42"/>
      <c r="F83" s="42"/>
      <c r="G83" s="42"/>
      <c r="H83" s="42"/>
      <c r="I83" s="42"/>
      <c r="J83" s="42"/>
      <c r="K83" s="42"/>
      <c r="L83" s="42"/>
      <c r="M83" s="42"/>
      <c r="N83" s="42"/>
      <c r="O83" s="42"/>
      <c r="P83" s="42"/>
      <c r="Q83" s="42"/>
      <c r="R83" s="42"/>
      <c r="S83" s="42"/>
      <c r="T83" s="42"/>
      <c r="U83" s="42"/>
      <c r="V83" s="42"/>
      <c r="W83" s="20"/>
      <c r="X83" s="20"/>
      <c r="Y83" s="20"/>
      <c r="Z83" s="20"/>
      <c r="AA83" s="20"/>
      <c r="AB83" s="20"/>
      <c r="AC83" s="20"/>
      <c r="AD83" s="20"/>
      <c r="AE83" s="20"/>
      <c r="AF83" s="20"/>
    </row>
    <row r="84" spans="1:32">
      <c r="A84" s="42"/>
      <c r="B84" s="42"/>
      <c r="C84" s="42"/>
      <c r="D84" s="42"/>
      <c r="E84" s="42"/>
      <c r="F84" s="42"/>
      <c r="G84" s="42"/>
      <c r="H84" s="42"/>
      <c r="I84" s="42"/>
      <c r="J84" s="42"/>
      <c r="K84" s="42"/>
      <c r="L84" s="42"/>
      <c r="M84" s="42"/>
      <c r="N84" s="42"/>
      <c r="O84" s="42"/>
      <c r="P84" s="42"/>
      <c r="Q84" s="42"/>
      <c r="R84" s="42"/>
      <c r="S84" s="42"/>
      <c r="T84" s="42"/>
      <c r="U84" s="42"/>
      <c r="V84" s="42"/>
      <c r="W84" s="20"/>
      <c r="X84" s="20"/>
      <c r="Y84" s="20"/>
      <c r="Z84" s="20"/>
      <c r="AA84" s="20"/>
      <c r="AB84" s="20"/>
      <c r="AC84" s="20"/>
      <c r="AD84" s="20"/>
      <c r="AE84" s="20"/>
      <c r="AF84" s="20"/>
    </row>
    <row r="85" spans="1:32">
      <c r="A85" s="42"/>
      <c r="B85" s="42"/>
      <c r="C85" s="42"/>
      <c r="D85" s="42"/>
      <c r="E85" s="42"/>
      <c r="F85" s="42"/>
      <c r="G85" s="42"/>
      <c r="H85" s="42"/>
      <c r="I85" s="42"/>
      <c r="J85" s="42"/>
      <c r="K85" s="42"/>
      <c r="L85" s="42"/>
      <c r="M85" s="42"/>
      <c r="N85" s="42"/>
      <c r="O85" s="42"/>
      <c r="P85" s="42"/>
      <c r="Q85" s="42"/>
      <c r="R85" s="42"/>
      <c r="S85" s="42"/>
      <c r="T85" s="42"/>
      <c r="U85" s="42"/>
      <c r="V85" s="42"/>
      <c r="W85" s="20"/>
      <c r="X85" s="20"/>
      <c r="Y85" s="20"/>
      <c r="Z85" s="20"/>
      <c r="AA85" s="20"/>
      <c r="AB85" s="20"/>
      <c r="AC85" s="20"/>
      <c r="AD85" s="20"/>
      <c r="AE85" s="20"/>
      <c r="AF85" s="20"/>
    </row>
    <row r="86" spans="1:32">
      <c r="A86" s="42"/>
      <c r="B86" s="42"/>
      <c r="C86" s="42"/>
      <c r="D86" s="42"/>
      <c r="E86" s="42"/>
      <c r="F86" s="42"/>
      <c r="G86" s="42"/>
      <c r="H86" s="42"/>
      <c r="I86" s="42"/>
      <c r="J86" s="42"/>
      <c r="K86" s="42"/>
      <c r="L86" s="42"/>
      <c r="M86" s="42"/>
      <c r="N86" s="42"/>
      <c r="O86" s="42"/>
      <c r="P86" s="42"/>
      <c r="Q86" s="42"/>
      <c r="R86" s="42"/>
      <c r="S86" s="42"/>
      <c r="T86" s="42"/>
      <c r="U86" s="42"/>
      <c r="V86" s="42"/>
      <c r="W86" s="20"/>
      <c r="X86" s="20"/>
      <c r="Y86" s="20"/>
      <c r="Z86" s="20"/>
      <c r="AA86" s="20"/>
      <c r="AB86" s="20"/>
      <c r="AC86" s="20"/>
      <c r="AD86" s="20"/>
      <c r="AE86" s="20"/>
      <c r="AF86" s="20"/>
    </row>
    <row r="87" spans="1:32">
      <c r="A87" s="42"/>
      <c r="B87" s="84"/>
      <c r="C87" s="84"/>
      <c r="D87" s="42"/>
      <c r="E87" s="42"/>
      <c r="F87" s="42"/>
      <c r="G87" s="42"/>
      <c r="H87" s="42"/>
      <c r="I87" s="42"/>
      <c r="J87" s="42"/>
      <c r="K87" s="42"/>
      <c r="L87" s="42"/>
      <c r="M87" s="42"/>
      <c r="N87" s="42"/>
      <c r="O87" s="42"/>
      <c r="P87" s="42"/>
      <c r="Q87" s="42"/>
      <c r="R87" s="42"/>
      <c r="S87" s="42"/>
      <c r="T87" s="42"/>
      <c r="U87" s="42"/>
      <c r="V87" s="42"/>
      <c r="W87" s="20"/>
      <c r="X87" s="20"/>
      <c r="Y87" s="20"/>
      <c r="Z87" s="20"/>
      <c r="AA87" s="20"/>
      <c r="AB87" s="20"/>
      <c r="AC87" s="20"/>
      <c r="AD87" s="20"/>
      <c r="AE87" s="20"/>
      <c r="AF87" s="20"/>
    </row>
    <row r="88" spans="1:32">
      <c r="A88" s="42"/>
      <c r="B88" s="42"/>
      <c r="C88" s="42"/>
      <c r="D88" s="42"/>
      <c r="E88" s="42"/>
      <c r="F88" s="42"/>
      <c r="G88" s="42"/>
      <c r="H88" s="42"/>
      <c r="I88" s="42"/>
      <c r="J88" s="42"/>
      <c r="K88" s="42"/>
      <c r="L88" s="42"/>
      <c r="M88" s="42"/>
      <c r="N88" s="42"/>
      <c r="O88" s="42"/>
      <c r="P88" s="42"/>
      <c r="Q88" s="42"/>
      <c r="R88" s="42"/>
      <c r="S88" s="42"/>
      <c r="T88" s="42"/>
      <c r="U88" s="42"/>
      <c r="V88" s="42"/>
      <c r="W88" s="20"/>
      <c r="X88" s="20"/>
      <c r="Y88" s="20"/>
      <c r="Z88" s="20"/>
      <c r="AA88" s="20"/>
      <c r="AB88" s="20"/>
      <c r="AC88" s="20"/>
      <c r="AD88" s="20"/>
      <c r="AE88" s="20"/>
      <c r="AF88" s="20"/>
    </row>
    <row r="89" spans="1:32">
      <c r="A89" s="42"/>
      <c r="B89" s="42"/>
      <c r="C89" s="42"/>
      <c r="D89" s="42"/>
      <c r="E89" s="42"/>
      <c r="F89" s="42"/>
      <c r="G89" s="42"/>
      <c r="H89" s="42"/>
      <c r="I89" s="42"/>
      <c r="J89" s="42"/>
      <c r="K89" s="42"/>
      <c r="L89" s="42"/>
      <c r="M89" s="42"/>
      <c r="N89" s="42"/>
      <c r="O89" s="42"/>
      <c r="P89" s="42"/>
      <c r="Q89" s="42"/>
      <c r="R89" s="42"/>
      <c r="S89" s="42"/>
      <c r="T89" s="42"/>
      <c r="U89" s="42"/>
      <c r="V89" s="42"/>
      <c r="W89" s="20"/>
      <c r="X89" s="20"/>
      <c r="Y89" s="20"/>
      <c r="Z89" s="20"/>
      <c r="AA89" s="20"/>
      <c r="AB89" s="20"/>
      <c r="AC89" s="20"/>
      <c r="AD89" s="20"/>
      <c r="AE89" s="20"/>
      <c r="AF89" s="20"/>
    </row>
    <row r="90" spans="1:32">
      <c r="A90" s="42"/>
      <c r="B90" s="84"/>
      <c r="C90" s="84"/>
      <c r="D90" s="42"/>
      <c r="E90" s="42"/>
      <c r="F90" s="42"/>
      <c r="G90" s="42"/>
      <c r="H90" s="42"/>
      <c r="I90" s="42"/>
      <c r="J90" s="42"/>
      <c r="K90" s="42"/>
      <c r="L90" s="42"/>
      <c r="M90" s="42"/>
      <c r="N90" s="42"/>
      <c r="O90" s="42"/>
      <c r="P90" s="42"/>
      <c r="Q90" s="42"/>
      <c r="R90" s="42"/>
      <c r="S90" s="42"/>
      <c r="T90" s="42"/>
      <c r="U90" s="42"/>
      <c r="V90" s="42"/>
      <c r="W90" s="20"/>
      <c r="X90" s="20"/>
      <c r="Y90" s="20"/>
      <c r="Z90" s="20"/>
      <c r="AA90" s="20"/>
      <c r="AB90" s="20"/>
      <c r="AC90" s="20"/>
      <c r="AD90" s="20"/>
      <c r="AE90" s="20"/>
      <c r="AF90" s="20"/>
    </row>
    <row r="91" spans="1:32">
      <c r="A91" s="42"/>
      <c r="B91" s="42"/>
      <c r="C91" s="42"/>
      <c r="D91" s="42"/>
      <c r="E91" s="42"/>
      <c r="F91" s="42"/>
      <c r="G91" s="42"/>
      <c r="H91" s="42"/>
      <c r="I91" s="42"/>
      <c r="J91" s="42"/>
      <c r="K91" s="42"/>
      <c r="L91" s="42"/>
      <c r="M91" s="42"/>
      <c r="N91" s="42"/>
      <c r="O91" s="42"/>
      <c r="P91" s="42"/>
      <c r="Q91" s="42"/>
      <c r="R91" s="42"/>
      <c r="S91" s="42"/>
      <c r="T91" s="42"/>
      <c r="U91" s="42"/>
      <c r="V91" s="42"/>
      <c r="W91" s="20"/>
      <c r="X91" s="20"/>
      <c r="Y91" s="20"/>
      <c r="Z91" s="20"/>
      <c r="AA91" s="20"/>
      <c r="AB91" s="20"/>
      <c r="AC91" s="20"/>
      <c r="AD91" s="20"/>
      <c r="AE91" s="20"/>
      <c r="AF91" s="20"/>
    </row>
    <row r="92" spans="1:32">
      <c r="A92" s="42"/>
      <c r="B92" s="42"/>
      <c r="C92" s="42"/>
      <c r="D92" s="42"/>
      <c r="E92" s="42"/>
      <c r="F92" s="42"/>
      <c r="G92" s="42"/>
      <c r="H92" s="42"/>
      <c r="I92" s="42"/>
      <c r="J92" s="42"/>
      <c r="K92" s="42"/>
      <c r="L92" s="42"/>
      <c r="M92" s="42"/>
      <c r="N92" s="42"/>
      <c r="O92" s="42"/>
      <c r="P92" s="42"/>
      <c r="Q92" s="42"/>
      <c r="R92" s="42"/>
      <c r="S92" s="42"/>
      <c r="T92" s="42"/>
      <c r="U92" s="42"/>
      <c r="V92" s="42"/>
      <c r="W92" s="20"/>
      <c r="X92" s="20"/>
      <c r="Y92" s="20"/>
      <c r="Z92" s="20"/>
      <c r="AA92" s="20"/>
      <c r="AB92" s="20"/>
      <c r="AC92" s="20"/>
      <c r="AD92" s="20"/>
      <c r="AE92" s="20"/>
      <c r="AF92" s="20"/>
    </row>
    <row r="93" spans="1:32">
      <c r="A93" s="42"/>
      <c r="B93" s="84"/>
      <c r="C93" s="84"/>
      <c r="D93" s="84"/>
      <c r="E93" s="42"/>
      <c r="F93" s="42"/>
      <c r="G93" s="42"/>
      <c r="H93" s="42"/>
      <c r="I93" s="42"/>
      <c r="J93" s="42"/>
      <c r="K93" s="42"/>
      <c r="L93" s="42"/>
      <c r="M93" s="42"/>
      <c r="N93" s="42"/>
      <c r="O93" s="42"/>
      <c r="P93" s="42"/>
      <c r="Q93" s="42"/>
      <c r="R93" s="42"/>
      <c r="S93" s="42"/>
      <c r="T93" s="42"/>
      <c r="U93" s="42"/>
      <c r="V93" s="42"/>
      <c r="W93" s="20"/>
      <c r="X93" s="20"/>
      <c r="Y93" s="20"/>
      <c r="Z93" s="20"/>
      <c r="AA93" s="20"/>
      <c r="AB93" s="20"/>
      <c r="AC93" s="20"/>
      <c r="AD93" s="20"/>
      <c r="AE93" s="20"/>
      <c r="AF93" s="20"/>
    </row>
    <row r="94" spans="1:32">
      <c r="A94" s="42"/>
      <c r="B94" s="42"/>
      <c r="C94" s="42"/>
      <c r="D94" s="42"/>
      <c r="E94" s="42"/>
      <c r="F94" s="42"/>
      <c r="G94" s="42"/>
      <c r="H94" s="42"/>
      <c r="I94" s="42"/>
      <c r="J94" s="42"/>
      <c r="K94" s="42"/>
      <c r="L94" s="42"/>
      <c r="M94" s="42"/>
      <c r="N94" s="42"/>
      <c r="O94" s="42"/>
      <c r="P94" s="42"/>
      <c r="Q94" s="42"/>
      <c r="R94" s="42"/>
      <c r="S94" s="42"/>
      <c r="T94" s="42"/>
      <c r="U94" s="42"/>
      <c r="V94" s="42"/>
      <c r="W94" s="20"/>
      <c r="X94" s="20"/>
      <c r="Y94" s="20"/>
      <c r="Z94" s="20"/>
      <c r="AA94" s="20"/>
      <c r="AB94" s="20"/>
      <c r="AC94" s="20"/>
      <c r="AD94" s="20"/>
      <c r="AE94" s="20"/>
      <c r="AF94" s="20"/>
    </row>
    <row r="95" spans="1:32">
      <c r="A95" s="41"/>
      <c r="B95" s="41"/>
      <c r="C95" s="41"/>
      <c r="D95" s="42"/>
      <c r="E95" s="42"/>
      <c r="F95" s="42"/>
      <c r="G95" s="42"/>
      <c r="H95" s="42"/>
      <c r="I95" s="42"/>
      <c r="J95" s="42"/>
      <c r="K95" s="42"/>
      <c r="L95" s="42"/>
      <c r="M95" s="42"/>
      <c r="N95" s="42"/>
      <c r="O95" s="42"/>
      <c r="P95" s="42"/>
      <c r="Q95" s="42"/>
      <c r="R95" s="42"/>
      <c r="S95" s="42"/>
      <c r="T95" s="42"/>
      <c r="U95" s="42"/>
      <c r="V95" s="42"/>
      <c r="W95" s="20"/>
      <c r="X95" s="20"/>
      <c r="Y95" s="20"/>
      <c r="Z95" s="20"/>
      <c r="AA95" s="20"/>
      <c r="AB95" s="20"/>
      <c r="AC95" s="20"/>
      <c r="AD95" s="20"/>
      <c r="AE95" s="20"/>
      <c r="AF95" s="20"/>
    </row>
    <row r="96" spans="1:32">
      <c r="A96" s="42"/>
      <c r="B96" s="42"/>
      <c r="C96" s="42"/>
      <c r="D96" s="42"/>
      <c r="E96" s="42"/>
      <c r="F96" s="42"/>
      <c r="G96" s="42"/>
      <c r="H96" s="42"/>
      <c r="I96" s="42"/>
      <c r="J96" s="42"/>
      <c r="K96" s="42"/>
      <c r="L96" s="42"/>
      <c r="M96" s="42"/>
      <c r="N96" s="42"/>
      <c r="O96" s="42"/>
      <c r="P96" s="42"/>
      <c r="Q96" s="42"/>
      <c r="R96" s="42"/>
      <c r="S96" s="42"/>
      <c r="T96" s="42"/>
      <c r="U96" s="42"/>
      <c r="V96" s="42"/>
      <c r="W96" s="20"/>
      <c r="X96" s="20"/>
      <c r="Y96" s="20"/>
      <c r="Z96" s="20"/>
      <c r="AA96" s="20"/>
      <c r="AB96" s="20"/>
      <c r="AC96" s="20"/>
      <c r="AD96" s="20"/>
      <c r="AE96" s="20"/>
      <c r="AF96" s="20"/>
    </row>
    <row r="97" spans="1:32">
      <c r="A97" s="42"/>
      <c r="B97" s="42"/>
      <c r="C97" s="42"/>
      <c r="D97" s="42"/>
      <c r="E97" s="42"/>
      <c r="F97" s="42"/>
      <c r="G97" s="42"/>
      <c r="H97" s="42"/>
      <c r="I97" s="42"/>
      <c r="J97" s="42"/>
      <c r="K97" s="42"/>
      <c r="L97" s="42"/>
      <c r="M97" s="42"/>
      <c r="N97" s="42"/>
      <c r="O97" s="42"/>
      <c r="P97" s="42"/>
      <c r="Q97" s="42"/>
      <c r="R97" s="42"/>
      <c r="S97" s="42"/>
      <c r="T97" s="42"/>
      <c r="U97" s="42"/>
      <c r="V97" s="42"/>
      <c r="W97" s="20"/>
      <c r="X97" s="20"/>
      <c r="Y97" s="20"/>
      <c r="Z97" s="20"/>
      <c r="AA97" s="20"/>
      <c r="AB97" s="20"/>
      <c r="AC97" s="20"/>
      <c r="AD97" s="20"/>
      <c r="AE97" s="20"/>
      <c r="AF97" s="20"/>
    </row>
    <row r="98" spans="1:32">
      <c r="A98" s="42"/>
      <c r="B98" s="84"/>
      <c r="C98" s="84"/>
      <c r="D98" s="42"/>
      <c r="E98" s="42"/>
      <c r="F98" s="42"/>
      <c r="G98" s="42"/>
      <c r="H98" s="42"/>
      <c r="I98" s="42"/>
      <c r="J98" s="42"/>
      <c r="K98" s="42"/>
      <c r="L98" s="42"/>
      <c r="M98" s="42"/>
      <c r="N98" s="42"/>
      <c r="O98" s="42"/>
      <c r="P98" s="42"/>
      <c r="Q98" s="42"/>
      <c r="R98" s="42"/>
      <c r="S98" s="42"/>
      <c r="T98" s="42"/>
      <c r="U98" s="42"/>
      <c r="V98" s="42"/>
      <c r="W98" s="20"/>
      <c r="X98" s="20"/>
      <c r="Y98" s="20"/>
      <c r="Z98" s="20"/>
      <c r="AA98" s="20"/>
      <c r="AB98" s="20"/>
      <c r="AC98" s="20"/>
      <c r="AD98" s="20"/>
      <c r="AE98" s="20"/>
      <c r="AF98" s="20"/>
    </row>
    <row r="99" spans="1:32">
      <c r="A99" s="42"/>
      <c r="B99" s="42"/>
      <c r="C99" s="42"/>
      <c r="D99" s="42"/>
      <c r="E99" s="42"/>
      <c r="F99" s="42"/>
      <c r="G99" s="42"/>
      <c r="H99" s="42"/>
      <c r="I99" s="42"/>
      <c r="J99" s="42"/>
      <c r="K99" s="42"/>
      <c r="L99" s="42"/>
      <c r="M99" s="42"/>
      <c r="N99" s="42"/>
      <c r="O99" s="42"/>
      <c r="P99" s="42"/>
      <c r="Q99" s="42"/>
      <c r="R99" s="42"/>
      <c r="S99" s="42"/>
      <c r="T99" s="42"/>
      <c r="U99" s="42"/>
      <c r="V99" s="42"/>
      <c r="W99" s="20"/>
      <c r="X99" s="20"/>
      <c r="Y99" s="20"/>
      <c r="Z99" s="20"/>
      <c r="AA99" s="20"/>
      <c r="AB99" s="20"/>
      <c r="AC99" s="20"/>
      <c r="AD99" s="20"/>
      <c r="AE99" s="20"/>
      <c r="AF99" s="20"/>
    </row>
    <row r="100" spans="1:32">
      <c r="A100" s="42"/>
      <c r="B100" s="84"/>
      <c r="C100" s="84"/>
      <c r="D100" s="42"/>
      <c r="E100" s="42"/>
      <c r="F100" s="42"/>
      <c r="G100" s="42"/>
      <c r="H100" s="42"/>
      <c r="I100" s="42"/>
      <c r="J100" s="42"/>
      <c r="K100" s="42"/>
      <c r="L100" s="42"/>
      <c r="M100" s="42"/>
      <c r="N100" s="42"/>
      <c r="O100" s="42"/>
      <c r="P100" s="42"/>
      <c r="Q100" s="42"/>
      <c r="R100" s="42"/>
      <c r="S100" s="42"/>
      <c r="T100" s="42"/>
      <c r="U100" s="42"/>
      <c r="V100" s="42"/>
      <c r="W100" s="20"/>
      <c r="X100" s="20"/>
      <c r="Y100" s="20"/>
      <c r="Z100" s="20"/>
      <c r="AA100" s="20"/>
      <c r="AB100" s="20"/>
      <c r="AC100" s="20"/>
      <c r="AD100" s="20"/>
      <c r="AE100" s="20"/>
      <c r="AF100" s="20"/>
    </row>
    <row r="101" spans="1:32">
      <c r="A101" s="42"/>
      <c r="B101" s="42"/>
      <c r="C101" s="42"/>
      <c r="D101" s="42"/>
      <c r="E101" s="42"/>
      <c r="F101" s="42"/>
      <c r="G101" s="42"/>
      <c r="H101" s="42"/>
      <c r="I101" s="42"/>
      <c r="J101" s="42"/>
      <c r="K101" s="42"/>
      <c r="L101" s="42"/>
      <c r="M101" s="42"/>
      <c r="N101" s="42"/>
      <c r="O101" s="42"/>
      <c r="P101" s="42"/>
      <c r="Q101" s="42"/>
      <c r="R101" s="42"/>
      <c r="S101" s="42"/>
      <c r="T101" s="42"/>
      <c r="U101" s="42"/>
      <c r="V101" s="42"/>
      <c r="W101" s="20"/>
      <c r="X101" s="20"/>
      <c r="Y101" s="20"/>
      <c r="Z101" s="20"/>
      <c r="AA101" s="20"/>
      <c r="AB101" s="20"/>
      <c r="AC101" s="20"/>
      <c r="AD101" s="20"/>
      <c r="AE101" s="20"/>
      <c r="AF101" s="20"/>
    </row>
    <row r="102" spans="1:32">
      <c r="A102" s="42"/>
      <c r="B102" s="84"/>
      <c r="C102" s="84"/>
      <c r="D102" s="42"/>
      <c r="E102" s="42"/>
      <c r="F102" s="42"/>
      <c r="G102" s="42"/>
      <c r="H102" s="42"/>
      <c r="I102" s="42"/>
      <c r="J102" s="42"/>
      <c r="K102" s="42"/>
      <c r="L102" s="42"/>
      <c r="M102" s="42"/>
      <c r="N102" s="42"/>
      <c r="O102" s="42"/>
      <c r="P102" s="42"/>
      <c r="Q102" s="42"/>
      <c r="R102" s="42"/>
      <c r="S102" s="42"/>
      <c r="T102" s="42"/>
      <c r="U102" s="42"/>
      <c r="V102" s="42"/>
      <c r="W102" s="20"/>
      <c r="X102" s="20"/>
      <c r="Y102" s="20"/>
      <c r="Z102" s="20"/>
      <c r="AA102" s="20"/>
      <c r="AB102" s="20"/>
      <c r="AC102" s="20"/>
      <c r="AD102" s="20"/>
      <c r="AE102" s="20"/>
      <c r="AF102" s="20"/>
    </row>
    <row r="103" spans="1:32">
      <c r="A103" s="42"/>
      <c r="B103" s="42"/>
      <c r="C103" s="42"/>
      <c r="D103" s="42"/>
      <c r="E103" s="42"/>
      <c r="F103" s="42"/>
      <c r="G103" s="42"/>
      <c r="H103" s="42"/>
      <c r="I103" s="42"/>
      <c r="J103" s="42"/>
      <c r="K103" s="42"/>
      <c r="L103" s="42"/>
      <c r="M103" s="42"/>
      <c r="N103" s="42"/>
      <c r="O103" s="42"/>
      <c r="P103" s="42"/>
      <c r="Q103" s="42"/>
      <c r="R103" s="42"/>
      <c r="S103" s="42"/>
      <c r="T103" s="42"/>
      <c r="U103" s="42"/>
      <c r="V103" s="42"/>
      <c r="W103" s="20"/>
      <c r="X103" s="20"/>
      <c r="Y103" s="20"/>
      <c r="Z103" s="20"/>
      <c r="AA103" s="20"/>
      <c r="AB103" s="20"/>
      <c r="AC103" s="20"/>
      <c r="AD103" s="20"/>
      <c r="AE103" s="20"/>
      <c r="AF103" s="20"/>
    </row>
    <row r="104" spans="1:32">
      <c r="A104" s="42"/>
      <c r="B104" s="84"/>
      <c r="C104" s="84"/>
      <c r="D104" s="42"/>
      <c r="E104" s="42"/>
      <c r="F104" s="42"/>
      <c r="G104" s="42"/>
      <c r="H104" s="42"/>
      <c r="I104" s="42"/>
      <c r="J104" s="42"/>
      <c r="K104" s="42"/>
      <c r="L104" s="42"/>
      <c r="M104" s="42"/>
      <c r="N104" s="42"/>
      <c r="O104" s="42"/>
      <c r="P104" s="42"/>
      <c r="Q104" s="42"/>
      <c r="R104" s="42"/>
      <c r="S104" s="42"/>
      <c r="T104" s="42"/>
      <c r="U104" s="42"/>
      <c r="V104" s="42"/>
      <c r="W104" s="20"/>
      <c r="X104" s="20"/>
      <c r="Y104" s="20"/>
      <c r="Z104" s="20"/>
      <c r="AA104" s="20"/>
      <c r="AB104" s="20"/>
      <c r="AC104" s="20"/>
      <c r="AD104" s="20"/>
      <c r="AE104" s="20"/>
      <c r="AF104" s="20"/>
    </row>
    <row r="105" spans="1:32">
      <c r="A105" s="42"/>
      <c r="B105" s="42"/>
      <c r="C105" s="42"/>
      <c r="D105" s="42"/>
      <c r="E105" s="42"/>
      <c r="F105" s="42"/>
      <c r="G105" s="42"/>
      <c r="H105" s="42"/>
      <c r="I105" s="42"/>
      <c r="J105" s="42"/>
      <c r="K105" s="42"/>
      <c r="L105" s="42"/>
      <c r="M105" s="42"/>
      <c r="N105" s="42"/>
      <c r="O105" s="42"/>
      <c r="P105" s="42"/>
      <c r="Q105" s="42"/>
      <c r="R105" s="42"/>
      <c r="S105" s="42"/>
      <c r="T105" s="42"/>
      <c r="U105" s="42"/>
      <c r="V105" s="42"/>
      <c r="W105" s="20"/>
      <c r="X105" s="20"/>
      <c r="Y105" s="20"/>
      <c r="Z105" s="20"/>
      <c r="AA105" s="20"/>
      <c r="AB105" s="20"/>
      <c r="AC105" s="20"/>
      <c r="AD105" s="20"/>
      <c r="AE105" s="20"/>
      <c r="AF105" s="20"/>
    </row>
    <row r="106" spans="1:32">
      <c r="A106" s="42"/>
      <c r="B106" s="42"/>
      <c r="C106" s="42"/>
      <c r="D106" s="42"/>
      <c r="E106" s="42"/>
      <c r="F106" s="42"/>
      <c r="G106" s="42"/>
      <c r="H106" s="42"/>
      <c r="I106" s="42"/>
      <c r="J106" s="42"/>
      <c r="K106" s="42"/>
      <c r="L106" s="42"/>
      <c r="M106" s="42"/>
      <c r="N106" s="42"/>
      <c r="O106" s="42"/>
      <c r="P106" s="42"/>
      <c r="Q106" s="42"/>
      <c r="R106" s="42"/>
      <c r="S106" s="42"/>
      <c r="T106" s="42"/>
      <c r="U106" s="42"/>
      <c r="V106" s="42"/>
      <c r="W106" s="20"/>
      <c r="X106" s="20"/>
      <c r="Y106" s="20"/>
      <c r="Z106" s="20"/>
      <c r="AA106" s="20"/>
      <c r="AB106" s="20"/>
      <c r="AC106" s="20"/>
      <c r="AD106" s="20"/>
      <c r="AE106" s="20"/>
      <c r="AF106" s="20"/>
    </row>
    <row r="107" spans="1:32">
      <c r="A107" s="42"/>
      <c r="B107" s="42"/>
      <c r="C107" s="42"/>
      <c r="D107" s="42"/>
      <c r="E107" s="42"/>
      <c r="F107" s="42"/>
      <c r="G107" s="42"/>
      <c r="H107" s="42"/>
      <c r="I107" s="42"/>
      <c r="J107" s="42"/>
      <c r="K107" s="42"/>
      <c r="L107" s="42"/>
      <c r="M107" s="42"/>
      <c r="N107" s="42"/>
      <c r="O107" s="42"/>
      <c r="P107" s="42"/>
      <c r="Q107" s="42"/>
      <c r="R107" s="42"/>
      <c r="S107" s="42"/>
      <c r="T107" s="42"/>
      <c r="U107" s="42"/>
      <c r="V107" s="42"/>
      <c r="W107" s="20"/>
      <c r="X107" s="20"/>
      <c r="Y107" s="20"/>
      <c r="Z107" s="20"/>
      <c r="AA107" s="20"/>
      <c r="AB107" s="20"/>
      <c r="AC107" s="20"/>
      <c r="AD107" s="20"/>
      <c r="AE107" s="20"/>
      <c r="AF107" s="20"/>
    </row>
    <row r="108" spans="1:32">
      <c r="A108" s="42"/>
      <c r="B108" s="42"/>
      <c r="C108" s="42"/>
      <c r="D108" s="42"/>
      <c r="E108" s="42"/>
      <c r="F108" s="42"/>
      <c r="G108" s="42"/>
      <c r="H108" s="42"/>
      <c r="I108" s="42"/>
      <c r="J108" s="42"/>
      <c r="K108" s="42"/>
      <c r="L108" s="42"/>
      <c r="M108" s="42"/>
      <c r="N108" s="42"/>
      <c r="O108" s="42"/>
      <c r="P108" s="42"/>
      <c r="Q108" s="42"/>
      <c r="R108" s="42"/>
      <c r="S108" s="42"/>
      <c r="T108" s="42"/>
      <c r="U108" s="42"/>
      <c r="V108" s="42"/>
      <c r="W108" s="20"/>
      <c r="X108" s="20"/>
      <c r="Y108" s="20"/>
      <c r="Z108" s="20"/>
      <c r="AA108" s="20"/>
      <c r="AB108" s="20"/>
      <c r="AC108" s="20"/>
      <c r="AD108" s="20"/>
      <c r="AE108" s="20"/>
      <c r="AF108" s="20"/>
    </row>
    <row r="109" spans="1:32">
      <c r="A109" s="42"/>
      <c r="B109" s="42"/>
      <c r="C109" s="42"/>
      <c r="D109" s="42"/>
      <c r="E109" s="42"/>
      <c r="F109" s="42"/>
      <c r="G109" s="42"/>
      <c r="H109" s="42"/>
      <c r="I109" s="42"/>
      <c r="J109" s="42"/>
      <c r="K109" s="42"/>
      <c r="L109" s="42"/>
      <c r="M109" s="42"/>
      <c r="N109" s="42"/>
      <c r="O109" s="42"/>
      <c r="P109" s="42"/>
      <c r="Q109" s="42"/>
      <c r="R109" s="42"/>
      <c r="S109" s="42"/>
      <c r="T109" s="42"/>
      <c r="U109" s="42"/>
      <c r="V109" s="42"/>
      <c r="W109" s="20"/>
      <c r="X109" s="20"/>
      <c r="Y109" s="20"/>
      <c r="Z109" s="20"/>
      <c r="AA109" s="20"/>
      <c r="AB109" s="20"/>
      <c r="AC109" s="20"/>
      <c r="AD109" s="20"/>
      <c r="AE109" s="20"/>
      <c r="AF109" s="20"/>
    </row>
    <row r="110" spans="1:32">
      <c r="A110" s="42"/>
      <c r="B110" s="42"/>
      <c r="C110" s="42"/>
      <c r="D110" s="42"/>
      <c r="E110" s="42"/>
      <c r="F110" s="42"/>
      <c r="G110" s="42"/>
      <c r="H110" s="42"/>
      <c r="I110" s="42"/>
      <c r="J110" s="42"/>
      <c r="K110" s="42"/>
      <c r="L110" s="42"/>
      <c r="M110" s="42"/>
      <c r="N110" s="42"/>
      <c r="O110" s="42"/>
      <c r="P110" s="42"/>
      <c r="Q110" s="42"/>
      <c r="R110" s="42"/>
      <c r="S110" s="42"/>
      <c r="T110" s="42"/>
      <c r="U110" s="42"/>
      <c r="V110" s="42"/>
      <c r="W110" s="20"/>
      <c r="X110" s="20"/>
      <c r="Y110" s="20"/>
      <c r="Z110" s="20"/>
      <c r="AA110" s="20"/>
      <c r="AB110" s="20"/>
      <c r="AC110" s="20"/>
      <c r="AD110" s="20"/>
      <c r="AE110" s="20"/>
      <c r="AF110" s="20"/>
    </row>
    <row r="111" spans="1:32">
      <c r="A111" s="42"/>
      <c r="B111" s="42"/>
      <c r="C111" s="42"/>
      <c r="D111" s="42"/>
      <c r="E111" s="42"/>
      <c r="F111" s="42"/>
      <c r="G111" s="42"/>
      <c r="H111" s="42"/>
      <c r="I111" s="42"/>
      <c r="J111" s="42"/>
      <c r="K111" s="42"/>
      <c r="L111" s="42"/>
      <c r="M111" s="42"/>
      <c r="N111" s="42"/>
      <c r="O111" s="42"/>
      <c r="P111" s="42"/>
      <c r="Q111" s="42"/>
      <c r="R111" s="42"/>
      <c r="S111" s="42"/>
      <c r="T111" s="42"/>
      <c r="U111" s="42"/>
      <c r="V111" s="42"/>
      <c r="W111" s="20"/>
      <c r="X111" s="20"/>
      <c r="Y111" s="20"/>
      <c r="Z111" s="20"/>
      <c r="AA111" s="20"/>
      <c r="AB111" s="20"/>
      <c r="AC111" s="20"/>
      <c r="AD111" s="20"/>
      <c r="AE111" s="20"/>
      <c r="AF111" s="20"/>
    </row>
    <row r="112" spans="1:32">
      <c r="A112" s="42"/>
      <c r="B112" s="42"/>
      <c r="C112" s="42"/>
      <c r="D112" s="42"/>
      <c r="E112" s="42"/>
      <c r="F112" s="42"/>
      <c r="G112" s="42"/>
      <c r="H112" s="42"/>
      <c r="I112" s="42"/>
      <c r="J112" s="42"/>
      <c r="K112" s="42"/>
      <c r="L112" s="42"/>
      <c r="M112" s="42"/>
      <c r="N112" s="42"/>
      <c r="O112" s="42"/>
      <c r="P112" s="42"/>
      <c r="Q112" s="42"/>
      <c r="R112" s="42"/>
      <c r="S112" s="42"/>
      <c r="T112" s="42"/>
      <c r="U112" s="42"/>
      <c r="V112" s="42"/>
      <c r="W112" s="20"/>
      <c r="X112" s="20"/>
      <c r="Y112" s="20"/>
      <c r="Z112" s="20"/>
      <c r="AA112" s="20"/>
      <c r="AB112" s="20"/>
      <c r="AC112" s="20"/>
      <c r="AD112" s="20"/>
      <c r="AE112" s="20"/>
      <c r="AF112" s="20"/>
    </row>
    <row r="113" spans="1:32">
      <c r="A113" s="42"/>
      <c r="B113" s="42"/>
      <c r="C113" s="42"/>
      <c r="D113" s="42"/>
      <c r="E113" s="42"/>
      <c r="F113" s="42"/>
      <c r="G113" s="42"/>
      <c r="H113" s="42"/>
      <c r="I113" s="42"/>
      <c r="J113" s="42"/>
      <c r="K113" s="42"/>
      <c r="L113" s="42"/>
      <c r="M113" s="42"/>
      <c r="N113" s="42"/>
      <c r="O113" s="42"/>
      <c r="P113" s="42"/>
      <c r="Q113" s="42"/>
      <c r="R113" s="42"/>
      <c r="S113" s="42"/>
      <c r="T113" s="42"/>
      <c r="U113" s="42"/>
      <c r="V113" s="42"/>
      <c r="W113" s="20"/>
      <c r="X113" s="20"/>
      <c r="Y113" s="20"/>
      <c r="Z113" s="20"/>
      <c r="AA113" s="20"/>
      <c r="AB113" s="20"/>
      <c r="AC113" s="20"/>
      <c r="AD113" s="20"/>
      <c r="AE113" s="20"/>
      <c r="AF113" s="20"/>
    </row>
    <row r="114" spans="1:32">
      <c r="A114" s="42"/>
      <c r="B114" s="42"/>
      <c r="C114" s="42"/>
      <c r="D114" s="42"/>
      <c r="E114" s="42"/>
      <c r="F114" s="42"/>
      <c r="G114" s="42"/>
      <c r="H114" s="42"/>
      <c r="I114" s="42"/>
      <c r="J114" s="42"/>
      <c r="K114" s="42"/>
      <c r="L114" s="42"/>
      <c r="M114" s="42"/>
      <c r="N114" s="42"/>
      <c r="O114" s="42"/>
      <c r="P114" s="42"/>
      <c r="Q114" s="42"/>
      <c r="R114" s="42"/>
      <c r="S114" s="42"/>
      <c r="T114" s="42"/>
      <c r="U114" s="42"/>
      <c r="V114" s="42"/>
      <c r="W114" s="20"/>
      <c r="X114" s="20"/>
      <c r="Y114" s="20"/>
      <c r="Z114" s="20"/>
      <c r="AA114" s="20"/>
      <c r="AB114" s="20"/>
      <c r="AC114" s="20"/>
      <c r="AD114" s="20"/>
      <c r="AE114" s="20"/>
      <c r="AF114" s="20"/>
    </row>
    <row r="115" spans="1:32">
      <c r="A115" s="42"/>
      <c r="B115" s="42"/>
      <c r="C115" s="42"/>
      <c r="D115" s="42"/>
      <c r="E115" s="42"/>
      <c r="F115" s="42"/>
      <c r="G115" s="42"/>
      <c r="H115" s="42"/>
      <c r="I115" s="42"/>
      <c r="J115" s="42"/>
      <c r="K115" s="42"/>
      <c r="L115" s="42"/>
      <c r="M115" s="42"/>
      <c r="N115" s="42"/>
      <c r="O115" s="42"/>
      <c r="P115" s="42"/>
      <c r="Q115" s="42"/>
      <c r="R115" s="42"/>
      <c r="S115" s="42"/>
      <c r="T115" s="42"/>
      <c r="U115" s="42"/>
      <c r="V115" s="42"/>
      <c r="W115" s="20"/>
      <c r="X115" s="20"/>
      <c r="Y115" s="20"/>
      <c r="Z115" s="20"/>
      <c r="AA115" s="20"/>
      <c r="AB115" s="20"/>
      <c r="AC115" s="20"/>
      <c r="AD115" s="20"/>
      <c r="AE115" s="20"/>
      <c r="AF115" s="20"/>
    </row>
    <row r="116" spans="1:32">
      <c r="A116" s="20"/>
      <c r="B116" s="20"/>
      <c r="C116" s="20"/>
      <c r="D116" s="20"/>
      <c r="E116" s="20"/>
      <c r="F116" s="20"/>
      <c r="G116" s="20"/>
      <c r="H116" s="20"/>
      <c r="I116" s="20"/>
      <c r="J116" s="20"/>
      <c r="K116" s="20"/>
      <c r="L116" s="20"/>
      <c r="M116" s="20"/>
      <c r="N116" s="20"/>
      <c r="O116" s="20"/>
      <c r="P116" s="20"/>
      <c r="Q116" s="20"/>
      <c r="R116" s="20"/>
      <c r="S116" s="20"/>
      <c r="T116" s="20"/>
      <c r="U116" s="20"/>
      <c r="V116" s="20"/>
      <c r="W116" s="20"/>
      <c r="X116" s="20"/>
      <c r="Y116" s="20"/>
      <c r="Z116" s="20"/>
      <c r="AA116" s="20"/>
      <c r="AB116" s="20"/>
      <c r="AC116" s="20"/>
      <c r="AD116" s="20"/>
      <c r="AE116" s="20"/>
      <c r="AF116" s="20"/>
    </row>
    <row r="117" spans="1:32">
      <c r="A117" s="20"/>
      <c r="B117" s="20"/>
      <c r="C117" s="20"/>
      <c r="D117" s="20"/>
      <c r="E117" s="20"/>
      <c r="F117" s="20"/>
      <c r="G117" s="20"/>
      <c r="H117" s="20"/>
      <c r="I117" s="20"/>
      <c r="J117" s="20"/>
      <c r="K117" s="20"/>
      <c r="L117" s="20"/>
      <c r="M117" s="20"/>
      <c r="N117" s="20"/>
      <c r="O117" s="20"/>
      <c r="P117" s="20"/>
      <c r="Q117" s="20"/>
      <c r="R117" s="20"/>
      <c r="S117" s="20"/>
      <c r="T117" s="20"/>
      <c r="U117" s="20"/>
      <c r="V117" s="20"/>
      <c r="W117" s="20"/>
      <c r="X117" s="20"/>
      <c r="Y117" s="20"/>
      <c r="Z117" s="20"/>
      <c r="AA117" s="20"/>
      <c r="AB117" s="20"/>
      <c r="AC117" s="20"/>
      <c r="AD117" s="20"/>
      <c r="AE117" s="20"/>
      <c r="AF117" s="20"/>
    </row>
    <row r="118" spans="1:32">
      <c r="A118" s="20"/>
      <c r="B118" s="20"/>
      <c r="C118" s="20"/>
      <c r="D118" s="20"/>
      <c r="E118" s="20"/>
      <c r="F118" s="20"/>
      <c r="G118" s="20"/>
      <c r="H118" s="20"/>
      <c r="I118" s="20"/>
      <c r="J118" s="20"/>
      <c r="K118" s="20"/>
      <c r="L118" s="20"/>
      <c r="M118" s="20"/>
      <c r="N118" s="20"/>
      <c r="O118" s="20"/>
      <c r="P118" s="20"/>
      <c r="Q118" s="20"/>
      <c r="R118" s="20"/>
      <c r="S118" s="20"/>
      <c r="T118" s="20"/>
      <c r="U118" s="20"/>
      <c r="V118" s="20"/>
      <c r="W118" s="20"/>
      <c r="X118" s="20"/>
      <c r="Y118" s="20"/>
      <c r="Z118" s="20"/>
      <c r="AA118" s="20"/>
      <c r="AB118" s="20"/>
      <c r="AC118" s="20"/>
      <c r="AD118" s="20"/>
      <c r="AE118" s="20"/>
      <c r="AF118" s="20"/>
    </row>
    <row r="119" spans="1:32">
      <c r="A119" s="20"/>
      <c r="B119" s="20"/>
      <c r="C119" s="20"/>
      <c r="D119" s="20"/>
      <c r="E119" s="20"/>
      <c r="F119" s="20"/>
      <c r="G119" s="20"/>
      <c r="H119" s="20"/>
      <c r="I119" s="20"/>
      <c r="J119" s="20"/>
      <c r="K119" s="20"/>
      <c r="L119" s="20"/>
      <c r="M119" s="20"/>
      <c r="N119" s="20"/>
      <c r="O119" s="20"/>
      <c r="P119" s="20"/>
      <c r="Q119" s="20"/>
      <c r="R119" s="20"/>
      <c r="S119" s="20"/>
      <c r="T119" s="20"/>
      <c r="U119" s="20"/>
      <c r="V119" s="20"/>
      <c r="W119" s="20"/>
      <c r="X119" s="20"/>
      <c r="Y119" s="20"/>
      <c r="Z119" s="20"/>
      <c r="AA119" s="20"/>
      <c r="AB119" s="20"/>
      <c r="AC119" s="20"/>
      <c r="AD119" s="20"/>
      <c r="AE119" s="20"/>
      <c r="AF119" s="20"/>
    </row>
    <row r="120" spans="1:32">
      <c r="A120" s="20"/>
      <c r="B120" s="20"/>
      <c r="C120" s="20"/>
      <c r="D120" s="20"/>
      <c r="E120" s="20"/>
      <c r="F120" s="20"/>
      <c r="G120" s="20"/>
      <c r="H120" s="20"/>
      <c r="I120" s="20"/>
      <c r="J120" s="20"/>
      <c r="K120" s="20"/>
      <c r="L120" s="20"/>
      <c r="M120" s="20"/>
      <c r="N120" s="20"/>
      <c r="O120" s="20"/>
      <c r="P120" s="20"/>
      <c r="Q120" s="20"/>
      <c r="R120" s="20"/>
      <c r="S120" s="20"/>
      <c r="T120" s="20"/>
      <c r="U120" s="20"/>
      <c r="V120" s="20"/>
      <c r="W120" s="20"/>
      <c r="X120" s="20"/>
      <c r="Y120" s="20"/>
      <c r="Z120" s="20"/>
      <c r="AA120" s="20"/>
      <c r="AB120" s="20"/>
      <c r="AC120" s="20"/>
      <c r="AD120" s="20"/>
      <c r="AE120" s="20"/>
      <c r="AF120" s="20"/>
    </row>
    <row r="121" spans="1:32">
      <c r="A121" s="20"/>
      <c r="B121" s="20"/>
      <c r="C121" s="20"/>
      <c r="D121" s="20"/>
      <c r="E121" s="20"/>
      <c r="F121" s="20"/>
      <c r="G121" s="20"/>
      <c r="H121" s="20"/>
      <c r="I121" s="20"/>
      <c r="J121" s="20"/>
      <c r="K121" s="20"/>
      <c r="L121" s="20"/>
      <c r="M121" s="20"/>
      <c r="N121" s="20"/>
      <c r="O121" s="20"/>
      <c r="P121" s="20"/>
      <c r="Q121" s="20"/>
      <c r="R121" s="20"/>
      <c r="S121" s="20"/>
      <c r="T121" s="20"/>
      <c r="U121" s="20"/>
      <c r="V121" s="20"/>
      <c r="W121" s="20"/>
      <c r="X121" s="20"/>
      <c r="Y121" s="20"/>
      <c r="Z121" s="20"/>
      <c r="AA121" s="20"/>
      <c r="AB121" s="20"/>
      <c r="AC121" s="20"/>
      <c r="AD121" s="20"/>
      <c r="AE121" s="20"/>
      <c r="AF121" s="20"/>
    </row>
    <row r="122" spans="1:32">
      <c r="A122" s="20"/>
      <c r="B122" s="20"/>
      <c r="C122" s="20"/>
      <c r="D122" s="20"/>
      <c r="E122" s="20"/>
      <c r="F122" s="20"/>
      <c r="G122" s="20"/>
      <c r="H122" s="20"/>
      <c r="I122" s="20"/>
      <c r="J122" s="20"/>
      <c r="K122" s="20"/>
      <c r="L122" s="20"/>
      <c r="M122" s="20"/>
      <c r="N122" s="20"/>
      <c r="O122" s="20"/>
      <c r="P122" s="20"/>
      <c r="Q122" s="20"/>
      <c r="R122" s="20"/>
      <c r="S122" s="20"/>
      <c r="T122" s="20"/>
      <c r="U122" s="20"/>
      <c r="V122" s="20"/>
      <c r="W122" s="20"/>
      <c r="X122" s="20"/>
      <c r="Y122" s="20"/>
      <c r="Z122" s="20"/>
      <c r="AA122" s="20"/>
      <c r="AB122" s="20"/>
      <c r="AC122" s="20"/>
      <c r="AD122" s="20"/>
      <c r="AE122" s="20"/>
      <c r="AF122" s="20"/>
    </row>
    <row r="123" spans="1:32">
      <c r="A123" s="20"/>
      <c r="B123" s="20"/>
      <c r="C123" s="20"/>
      <c r="D123" s="20"/>
      <c r="E123" s="20"/>
      <c r="F123" s="20"/>
      <c r="G123" s="20"/>
      <c r="H123" s="20"/>
      <c r="I123" s="20"/>
      <c r="J123" s="20"/>
      <c r="K123" s="20"/>
      <c r="L123" s="20"/>
      <c r="M123" s="20"/>
      <c r="N123" s="20"/>
      <c r="O123" s="20"/>
      <c r="P123" s="20"/>
      <c r="Q123" s="20"/>
      <c r="R123" s="20"/>
      <c r="S123" s="20"/>
      <c r="T123" s="20"/>
      <c r="U123" s="20"/>
      <c r="V123" s="20"/>
      <c r="W123" s="20"/>
      <c r="X123" s="20"/>
      <c r="Y123" s="20"/>
      <c r="Z123" s="20"/>
      <c r="AA123" s="20"/>
      <c r="AB123" s="20"/>
      <c r="AC123" s="20"/>
      <c r="AD123" s="20"/>
      <c r="AE123" s="20"/>
      <c r="AF123" s="20"/>
    </row>
    <row r="124" spans="1:32">
      <c r="A124" s="20"/>
      <c r="B124" s="20"/>
      <c r="C124" s="20"/>
      <c r="D124" s="20"/>
      <c r="E124" s="20"/>
      <c r="F124" s="20"/>
      <c r="G124" s="20"/>
      <c r="H124" s="20"/>
      <c r="I124" s="20"/>
      <c r="J124" s="20"/>
      <c r="K124" s="20"/>
      <c r="L124" s="20"/>
      <c r="M124" s="20"/>
      <c r="N124" s="20"/>
      <c r="O124" s="20"/>
      <c r="P124" s="20"/>
      <c r="Q124" s="20"/>
      <c r="R124" s="20"/>
      <c r="S124" s="20"/>
      <c r="T124" s="20"/>
      <c r="U124" s="20"/>
      <c r="V124" s="20"/>
      <c r="W124" s="20"/>
      <c r="X124" s="20"/>
      <c r="Y124" s="20"/>
      <c r="Z124" s="20"/>
      <c r="AA124" s="20"/>
      <c r="AB124" s="20"/>
      <c r="AC124" s="20"/>
      <c r="AD124" s="20"/>
      <c r="AE124" s="20"/>
      <c r="AF124" s="20"/>
    </row>
    <row r="125" spans="1:32">
      <c r="A125" s="20"/>
      <c r="B125" s="20"/>
      <c r="C125" s="20"/>
      <c r="D125" s="20"/>
      <c r="E125" s="20"/>
      <c r="F125" s="20"/>
      <c r="G125" s="20"/>
      <c r="H125" s="20"/>
      <c r="I125" s="20"/>
      <c r="J125" s="20"/>
      <c r="K125" s="20"/>
      <c r="L125" s="20"/>
      <c r="M125" s="20"/>
      <c r="N125" s="20"/>
      <c r="O125" s="20"/>
      <c r="P125" s="20"/>
      <c r="Q125" s="20"/>
      <c r="R125" s="20"/>
      <c r="S125" s="20"/>
      <c r="T125" s="20"/>
      <c r="U125" s="20"/>
      <c r="V125" s="20"/>
      <c r="W125" s="20"/>
      <c r="X125" s="20"/>
      <c r="Y125" s="20"/>
      <c r="Z125" s="20"/>
      <c r="AA125" s="20"/>
      <c r="AB125" s="20"/>
      <c r="AC125" s="20"/>
      <c r="AD125" s="20"/>
      <c r="AE125" s="20"/>
      <c r="AF125" s="20"/>
    </row>
    <row r="126" spans="1:32">
      <c r="A126" s="20"/>
      <c r="B126" s="20"/>
      <c r="C126" s="20"/>
      <c r="D126" s="20"/>
      <c r="E126" s="20"/>
      <c r="F126" s="20"/>
      <c r="G126" s="20"/>
      <c r="H126" s="20"/>
      <c r="I126" s="20"/>
      <c r="J126" s="20"/>
      <c r="K126" s="20"/>
      <c r="L126" s="20"/>
      <c r="M126" s="20"/>
      <c r="N126" s="20"/>
      <c r="O126" s="20"/>
      <c r="P126" s="20"/>
      <c r="Q126" s="20"/>
      <c r="R126" s="20"/>
      <c r="S126" s="20"/>
      <c r="T126" s="20"/>
      <c r="U126" s="20"/>
      <c r="V126" s="20"/>
      <c r="W126" s="20"/>
      <c r="X126" s="20"/>
      <c r="Y126" s="20"/>
      <c r="Z126" s="20"/>
      <c r="AA126" s="20"/>
      <c r="AB126" s="20"/>
      <c r="AC126" s="20"/>
      <c r="AD126" s="20"/>
      <c r="AE126" s="20"/>
      <c r="AF126" s="20"/>
    </row>
    <row r="127" spans="1:32">
      <c r="A127" s="20"/>
      <c r="B127" s="20"/>
      <c r="C127" s="20"/>
      <c r="D127" s="20"/>
      <c r="E127" s="20"/>
      <c r="F127" s="20"/>
      <c r="G127" s="20"/>
      <c r="H127" s="20"/>
      <c r="I127" s="20"/>
      <c r="J127" s="20"/>
      <c r="K127" s="20"/>
      <c r="L127" s="20"/>
      <c r="M127" s="20"/>
      <c r="N127" s="20"/>
      <c r="O127" s="20"/>
      <c r="P127" s="20"/>
      <c r="Q127" s="20"/>
      <c r="R127" s="20"/>
      <c r="S127" s="20"/>
      <c r="T127" s="20"/>
      <c r="U127" s="20"/>
      <c r="V127" s="20"/>
      <c r="W127" s="20"/>
      <c r="X127" s="20"/>
      <c r="Y127" s="20"/>
      <c r="Z127" s="20"/>
      <c r="AA127" s="20"/>
      <c r="AB127" s="20"/>
      <c r="AC127" s="20"/>
      <c r="AD127" s="20"/>
      <c r="AE127" s="20"/>
      <c r="AF127" s="20"/>
    </row>
    <row r="128" spans="1:32">
      <c r="A128" s="20"/>
      <c r="B128" s="20"/>
      <c r="C128" s="20"/>
      <c r="D128" s="20"/>
      <c r="E128" s="20"/>
      <c r="F128" s="20"/>
      <c r="G128" s="20"/>
      <c r="H128" s="20"/>
      <c r="I128" s="20"/>
      <c r="J128" s="20"/>
      <c r="K128" s="20"/>
      <c r="L128" s="20"/>
      <c r="M128" s="20"/>
      <c r="N128" s="20"/>
      <c r="O128" s="20"/>
      <c r="P128" s="20"/>
      <c r="Q128" s="20"/>
      <c r="R128" s="20"/>
      <c r="S128" s="20"/>
      <c r="T128" s="20"/>
      <c r="U128" s="20"/>
      <c r="V128" s="20"/>
      <c r="W128" s="20"/>
      <c r="X128" s="20"/>
      <c r="Y128" s="20"/>
      <c r="Z128" s="20"/>
      <c r="AA128" s="20"/>
      <c r="AB128" s="20"/>
      <c r="AC128" s="20"/>
      <c r="AD128" s="20"/>
      <c r="AE128" s="20"/>
      <c r="AF128" s="20"/>
    </row>
    <row r="129" spans="1:32">
      <c r="A129" s="20"/>
      <c r="B129" s="20"/>
      <c r="C129" s="20"/>
      <c r="D129" s="20"/>
      <c r="E129" s="20"/>
      <c r="F129" s="20"/>
      <c r="G129" s="20"/>
      <c r="H129" s="20"/>
      <c r="I129" s="20"/>
      <c r="J129" s="20"/>
      <c r="K129" s="20"/>
      <c r="L129" s="20"/>
      <c r="M129" s="20"/>
      <c r="N129" s="20"/>
      <c r="O129" s="20"/>
      <c r="P129" s="20"/>
      <c r="Q129" s="20"/>
      <c r="R129" s="20"/>
      <c r="S129" s="20"/>
      <c r="T129" s="20"/>
      <c r="U129" s="20"/>
      <c r="V129" s="20"/>
      <c r="W129" s="20"/>
      <c r="X129" s="20"/>
      <c r="Y129" s="20"/>
      <c r="Z129" s="20"/>
      <c r="AA129" s="20"/>
      <c r="AB129" s="20"/>
      <c r="AC129" s="20"/>
      <c r="AD129" s="20"/>
      <c r="AE129" s="20"/>
      <c r="AF129" s="20"/>
    </row>
    <row r="130" spans="1:32">
      <c r="A130" s="20"/>
      <c r="B130" s="20"/>
      <c r="C130" s="20"/>
      <c r="D130" s="20"/>
      <c r="E130" s="20"/>
      <c r="F130" s="20"/>
      <c r="G130" s="20"/>
      <c r="H130" s="20"/>
      <c r="I130" s="20"/>
      <c r="J130" s="20"/>
      <c r="K130" s="20"/>
      <c r="L130" s="20"/>
      <c r="M130" s="20"/>
      <c r="N130" s="20"/>
      <c r="O130" s="20"/>
      <c r="P130" s="20"/>
      <c r="Q130" s="20"/>
      <c r="R130" s="20"/>
      <c r="S130" s="20"/>
      <c r="T130" s="20"/>
      <c r="U130" s="20"/>
      <c r="V130" s="20"/>
      <c r="W130" s="20"/>
      <c r="X130" s="20"/>
      <c r="Y130" s="20"/>
      <c r="Z130" s="20"/>
      <c r="AA130" s="20"/>
      <c r="AB130" s="20"/>
      <c r="AC130" s="20"/>
      <c r="AD130" s="20"/>
      <c r="AE130" s="20"/>
      <c r="AF130" s="20"/>
    </row>
    <row r="131" spans="1:32">
      <c r="A131" s="20"/>
      <c r="B131" s="20"/>
      <c r="C131" s="20"/>
      <c r="D131" s="20"/>
      <c r="E131" s="20"/>
      <c r="F131" s="20"/>
      <c r="G131" s="20"/>
      <c r="H131" s="20"/>
      <c r="I131" s="20"/>
      <c r="J131" s="20"/>
      <c r="K131" s="20"/>
      <c r="L131" s="20"/>
      <c r="M131" s="20"/>
      <c r="N131" s="20"/>
      <c r="O131" s="20"/>
      <c r="P131" s="20"/>
      <c r="Q131" s="20"/>
      <c r="R131" s="20"/>
      <c r="S131" s="20"/>
      <c r="T131" s="20"/>
      <c r="U131" s="20"/>
      <c r="V131" s="20"/>
      <c r="W131" s="20"/>
      <c r="X131" s="20"/>
      <c r="Y131" s="20"/>
      <c r="Z131" s="20"/>
      <c r="AA131" s="20"/>
      <c r="AB131" s="20"/>
      <c r="AC131" s="20"/>
      <c r="AD131" s="20"/>
      <c r="AE131" s="20"/>
      <c r="AF131" s="20"/>
    </row>
    <row r="132" spans="1:32">
      <c r="A132" s="20"/>
      <c r="B132" s="20"/>
      <c r="C132" s="20"/>
      <c r="D132" s="20"/>
      <c r="E132" s="20"/>
      <c r="F132" s="20"/>
      <c r="G132" s="20"/>
      <c r="H132" s="20"/>
      <c r="I132" s="20"/>
      <c r="J132" s="20"/>
      <c r="K132" s="20"/>
      <c r="L132" s="20"/>
      <c r="M132" s="20"/>
      <c r="N132" s="20"/>
      <c r="O132" s="20"/>
      <c r="P132" s="20"/>
      <c r="Q132" s="20"/>
      <c r="R132" s="20"/>
      <c r="S132" s="20"/>
      <c r="T132" s="20"/>
      <c r="U132" s="20"/>
      <c r="V132" s="20"/>
      <c r="W132" s="20"/>
      <c r="X132" s="20"/>
      <c r="Y132" s="20"/>
      <c r="Z132" s="20"/>
      <c r="AA132" s="20"/>
      <c r="AB132" s="20"/>
      <c r="AC132" s="20"/>
      <c r="AD132" s="20"/>
      <c r="AE132" s="20"/>
      <c r="AF132" s="20"/>
    </row>
    <row r="133" spans="1:32">
      <c r="A133" s="20"/>
      <c r="B133" s="20"/>
      <c r="C133" s="20"/>
      <c r="D133" s="20"/>
      <c r="E133" s="20"/>
      <c r="F133" s="20"/>
      <c r="G133" s="20"/>
      <c r="H133" s="20"/>
      <c r="I133" s="20"/>
      <c r="J133" s="20"/>
      <c r="K133" s="20"/>
      <c r="L133" s="20"/>
      <c r="M133" s="20"/>
      <c r="N133" s="20"/>
      <c r="O133" s="20"/>
      <c r="P133" s="20"/>
      <c r="Q133" s="20"/>
      <c r="R133" s="20"/>
      <c r="S133" s="20"/>
      <c r="T133" s="20"/>
      <c r="U133" s="20"/>
      <c r="V133" s="20"/>
      <c r="W133" s="20"/>
      <c r="X133" s="20"/>
      <c r="Y133" s="20"/>
      <c r="Z133" s="20"/>
      <c r="AA133" s="20"/>
      <c r="AB133" s="20"/>
      <c r="AC133" s="20"/>
      <c r="AD133" s="20"/>
      <c r="AE133" s="20"/>
      <c r="AF133" s="20"/>
    </row>
    <row r="134" spans="1:32">
      <c r="A134" s="20"/>
      <c r="B134" s="20"/>
      <c r="C134" s="20"/>
      <c r="D134" s="20"/>
      <c r="E134" s="20"/>
      <c r="F134" s="20"/>
      <c r="G134" s="20"/>
      <c r="H134" s="20"/>
      <c r="I134" s="20"/>
      <c r="J134" s="20"/>
      <c r="K134" s="20"/>
      <c r="L134" s="20"/>
      <c r="M134" s="20"/>
      <c r="N134" s="20"/>
      <c r="O134" s="20"/>
      <c r="P134" s="20"/>
      <c r="Q134" s="20"/>
      <c r="R134" s="20"/>
      <c r="S134" s="20"/>
      <c r="T134" s="20"/>
      <c r="U134" s="20"/>
      <c r="V134" s="20"/>
      <c r="W134" s="20"/>
      <c r="X134" s="20"/>
      <c r="Y134" s="20"/>
      <c r="Z134" s="20"/>
      <c r="AA134" s="20"/>
      <c r="AB134" s="20"/>
      <c r="AC134" s="20"/>
      <c r="AD134" s="20"/>
      <c r="AE134" s="20"/>
      <c r="AF134" s="20"/>
    </row>
    <row r="135" spans="1:32">
      <c r="A135" s="20"/>
      <c r="B135" s="20"/>
      <c r="C135" s="20"/>
      <c r="D135" s="20"/>
      <c r="E135" s="20"/>
      <c r="F135" s="20"/>
      <c r="G135" s="20"/>
      <c r="H135" s="20"/>
      <c r="I135" s="20"/>
      <c r="J135" s="20"/>
      <c r="K135" s="20"/>
      <c r="L135" s="20"/>
      <c r="M135" s="20"/>
      <c r="N135" s="20"/>
      <c r="O135" s="20"/>
      <c r="P135" s="20"/>
      <c r="Q135" s="20"/>
      <c r="R135" s="20"/>
      <c r="S135" s="20"/>
      <c r="T135" s="20"/>
      <c r="U135" s="20"/>
      <c r="V135" s="20"/>
      <c r="W135" s="20"/>
      <c r="X135" s="20"/>
      <c r="Y135" s="20"/>
      <c r="Z135" s="20"/>
      <c r="AA135" s="20"/>
      <c r="AB135" s="20"/>
      <c r="AC135" s="20"/>
      <c r="AD135" s="20"/>
      <c r="AE135" s="20"/>
      <c r="AF135" s="20"/>
    </row>
    <row r="136" spans="1:32">
      <c r="A136" s="20"/>
      <c r="B136" s="20"/>
      <c r="C136" s="20"/>
      <c r="D136" s="20"/>
      <c r="E136" s="20"/>
      <c r="F136" s="20"/>
      <c r="G136" s="20"/>
      <c r="H136" s="20"/>
      <c r="I136" s="20"/>
      <c r="J136" s="20"/>
      <c r="K136" s="20"/>
      <c r="L136" s="20"/>
      <c r="M136" s="20"/>
      <c r="N136" s="20"/>
      <c r="O136" s="20"/>
      <c r="P136" s="20"/>
      <c r="Q136" s="20"/>
      <c r="R136" s="20"/>
      <c r="S136" s="20"/>
      <c r="T136" s="20"/>
      <c r="U136" s="20"/>
      <c r="V136" s="20"/>
      <c r="W136" s="20"/>
      <c r="X136" s="20"/>
      <c r="Y136" s="20"/>
      <c r="Z136" s="20"/>
      <c r="AA136" s="20"/>
      <c r="AB136" s="20"/>
      <c r="AC136" s="20"/>
      <c r="AD136" s="20"/>
      <c r="AE136" s="20"/>
      <c r="AF136" s="20"/>
    </row>
    <row r="137" spans="1:32">
      <c r="A137" s="20"/>
      <c r="B137" s="20"/>
      <c r="C137" s="20"/>
      <c r="D137" s="20"/>
      <c r="E137" s="20"/>
      <c r="F137" s="20"/>
      <c r="G137" s="20"/>
      <c r="H137" s="20"/>
      <c r="I137" s="20"/>
      <c r="J137" s="20"/>
      <c r="K137" s="20"/>
      <c r="L137" s="20"/>
      <c r="M137" s="20"/>
      <c r="N137" s="20"/>
      <c r="O137" s="20"/>
      <c r="P137" s="20"/>
      <c r="Q137" s="20"/>
      <c r="R137" s="20"/>
      <c r="S137" s="20"/>
      <c r="T137" s="20"/>
      <c r="U137" s="20"/>
      <c r="V137" s="20"/>
      <c r="W137" s="20"/>
      <c r="X137" s="20"/>
      <c r="Y137" s="20"/>
      <c r="Z137" s="20"/>
      <c r="AA137" s="20"/>
      <c r="AB137" s="20"/>
      <c r="AC137" s="20"/>
      <c r="AD137" s="20"/>
      <c r="AE137" s="20"/>
      <c r="AF137" s="20"/>
    </row>
    <row r="138" spans="1:32">
      <c r="A138" s="20"/>
      <c r="B138" s="20"/>
      <c r="C138" s="20"/>
      <c r="D138" s="20"/>
      <c r="E138" s="20"/>
      <c r="F138" s="20"/>
      <c r="G138" s="20"/>
      <c r="H138" s="20"/>
      <c r="I138" s="20"/>
      <c r="J138" s="20"/>
      <c r="K138" s="20"/>
      <c r="L138" s="20"/>
      <c r="M138" s="20"/>
      <c r="N138" s="20"/>
      <c r="O138" s="20"/>
      <c r="P138" s="20"/>
      <c r="Q138" s="20"/>
      <c r="R138" s="20"/>
      <c r="S138" s="20"/>
      <c r="T138" s="20"/>
      <c r="U138" s="20"/>
      <c r="V138" s="20"/>
      <c r="W138" s="20"/>
      <c r="X138" s="20"/>
      <c r="Y138" s="20"/>
      <c r="Z138" s="20"/>
      <c r="AA138" s="20"/>
      <c r="AB138" s="20"/>
      <c r="AC138" s="20"/>
      <c r="AD138" s="20"/>
      <c r="AE138" s="20"/>
      <c r="AF138" s="20"/>
    </row>
    <row r="139" spans="1:32">
      <c r="A139" s="20"/>
      <c r="B139" s="20"/>
      <c r="C139" s="20"/>
      <c r="D139" s="20"/>
      <c r="E139" s="20"/>
      <c r="F139" s="20"/>
      <c r="G139" s="20"/>
      <c r="H139" s="20"/>
      <c r="I139" s="20"/>
      <c r="J139" s="20"/>
      <c r="K139" s="20"/>
      <c r="L139" s="20"/>
      <c r="M139" s="20"/>
      <c r="N139" s="20"/>
      <c r="O139" s="20"/>
      <c r="P139" s="20"/>
      <c r="Q139" s="20"/>
      <c r="R139" s="20"/>
      <c r="S139" s="20"/>
      <c r="T139" s="20"/>
      <c r="U139" s="20"/>
      <c r="V139" s="20"/>
      <c r="W139" s="20"/>
      <c r="X139" s="20"/>
      <c r="Y139" s="20"/>
      <c r="Z139" s="20"/>
      <c r="AA139" s="20"/>
      <c r="AB139" s="20"/>
      <c r="AC139" s="20"/>
      <c r="AD139" s="20"/>
      <c r="AE139" s="20"/>
      <c r="AF139" s="20"/>
    </row>
    <row r="140" spans="1:32">
      <c r="A140" s="20"/>
      <c r="B140" s="20"/>
      <c r="C140" s="20"/>
      <c r="D140" s="20"/>
      <c r="E140" s="20"/>
      <c r="F140" s="20"/>
      <c r="G140" s="20"/>
      <c r="H140" s="20"/>
      <c r="I140" s="20"/>
      <c r="J140" s="20"/>
      <c r="K140" s="20"/>
      <c r="L140" s="20"/>
      <c r="M140" s="20"/>
      <c r="N140" s="20"/>
      <c r="O140" s="20"/>
      <c r="P140" s="20"/>
      <c r="Q140" s="20"/>
      <c r="R140" s="20"/>
      <c r="S140" s="20"/>
      <c r="T140" s="20"/>
      <c r="U140" s="20"/>
      <c r="V140" s="20"/>
      <c r="W140" s="20"/>
      <c r="X140" s="20"/>
      <c r="Y140" s="20"/>
      <c r="Z140" s="20"/>
      <c r="AA140" s="20"/>
      <c r="AB140" s="20"/>
      <c r="AC140" s="20"/>
      <c r="AD140" s="20"/>
      <c r="AE140" s="20"/>
      <c r="AF140" s="20"/>
    </row>
    <row r="141" spans="1:32">
      <c r="A141" s="20"/>
      <c r="B141" s="20"/>
      <c r="C141" s="20"/>
      <c r="D141" s="20"/>
      <c r="E141" s="20"/>
      <c r="F141" s="20"/>
      <c r="G141" s="20"/>
      <c r="H141" s="20"/>
      <c r="I141" s="20"/>
      <c r="J141" s="20"/>
      <c r="K141" s="20"/>
      <c r="L141" s="20"/>
      <c r="M141" s="20"/>
      <c r="N141" s="20"/>
      <c r="O141" s="20"/>
      <c r="P141" s="20"/>
      <c r="Q141" s="20"/>
      <c r="R141" s="20"/>
      <c r="S141" s="20"/>
      <c r="T141" s="20"/>
      <c r="U141" s="20"/>
      <c r="V141" s="20"/>
      <c r="W141" s="20"/>
      <c r="X141" s="20"/>
      <c r="Y141" s="20"/>
      <c r="Z141" s="20"/>
      <c r="AA141" s="20"/>
      <c r="AB141" s="20"/>
      <c r="AC141" s="20"/>
      <c r="AD141" s="20"/>
      <c r="AE141" s="20"/>
      <c r="AF141" s="20"/>
    </row>
    <row r="142" spans="1:32">
      <c r="A142" s="20"/>
      <c r="B142" s="20"/>
      <c r="C142" s="20"/>
      <c r="D142" s="20"/>
      <c r="E142" s="20"/>
      <c r="F142" s="20"/>
      <c r="G142" s="20"/>
      <c r="H142" s="20"/>
      <c r="I142" s="20"/>
      <c r="J142" s="20"/>
      <c r="K142" s="20"/>
      <c r="L142" s="20"/>
      <c r="M142" s="20"/>
      <c r="N142" s="20"/>
      <c r="O142" s="20"/>
      <c r="P142" s="20"/>
      <c r="Q142" s="20"/>
      <c r="R142" s="20"/>
      <c r="S142" s="20"/>
      <c r="T142" s="20"/>
      <c r="U142" s="20"/>
      <c r="V142" s="20"/>
      <c r="W142" s="20"/>
      <c r="X142" s="20"/>
      <c r="Y142" s="20"/>
      <c r="Z142" s="20"/>
      <c r="AA142" s="20"/>
      <c r="AB142" s="20"/>
      <c r="AC142" s="20"/>
      <c r="AD142" s="20"/>
      <c r="AE142" s="20"/>
      <c r="AF142" s="20"/>
    </row>
    <row r="143" spans="1:32">
      <c r="A143" s="20"/>
      <c r="B143" s="20"/>
      <c r="C143" s="20"/>
      <c r="D143" s="20"/>
      <c r="E143" s="20"/>
      <c r="F143" s="20"/>
      <c r="G143" s="20"/>
      <c r="H143" s="20"/>
      <c r="I143" s="20"/>
      <c r="J143" s="20"/>
      <c r="K143" s="20"/>
      <c r="L143" s="20"/>
      <c r="M143" s="20"/>
      <c r="N143" s="20"/>
      <c r="O143" s="20"/>
      <c r="P143" s="20"/>
      <c r="Q143" s="20"/>
      <c r="R143" s="20"/>
      <c r="S143" s="20"/>
      <c r="T143" s="20"/>
      <c r="U143" s="20"/>
      <c r="V143" s="20"/>
      <c r="W143" s="20"/>
      <c r="X143" s="20"/>
      <c r="Y143" s="20"/>
      <c r="Z143" s="20"/>
      <c r="AA143" s="20"/>
      <c r="AB143" s="20"/>
      <c r="AC143" s="20"/>
      <c r="AD143" s="20"/>
      <c r="AE143" s="20"/>
      <c r="AF143" s="20"/>
    </row>
    <row r="144" spans="1:32">
      <c r="A144" s="20"/>
      <c r="B144" s="20"/>
      <c r="C144" s="20"/>
      <c r="D144" s="20"/>
      <c r="E144" s="20"/>
      <c r="F144" s="20"/>
      <c r="G144" s="20"/>
      <c r="H144" s="20"/>
      <c r="I144" s="20"/>
      <c r="J144" s="20"/>
      <c r="K144" s="20"/>
      <c r="L144" s="20"/>
      <c r="M144" s="20"/>
      <c r="N144" s="20"/>
      <c r="O144" s="20"/>
      <c r="P144" s="20"/>
      <c r="Q144" s="20"/>
      <c r="R144" s="20"/>
      <c r="S144" s="20"/>
      <c r="T144" s="20"/>
      <c r="U144" s="20"/>
      <c r="V144" s="20"/>
      <c r="W144" s="20"/>
      <c r="X144" s="20"/>
      <c r="Y144" s="20"/>
      <c r="Z144" s="20"/>
      <c r="AA144" s="20"/>
      <c r="AB144" s="20"/>
      <c r="AC144" s="20"/>
      <c r="AD144" s="20"/>
      <c r="AE144" s="20"/>
      <c r="AF144" s="20"/>
    </row>
    <row r="145" spans="1:32">
      <c r="A145" s="20"/>
      <c r="B145" s="20"/>
      <c r="C145" s="20"/>
      <c r="D145" s="20"/>
      <c r="E145" s="20"/>
      <c r="F145" s="20"/>
      <c r="G145" s="20"/>
      <c r="H145" s="20"/>
      <c r="I145" s="20"/>
      <c r="J145" s="20"/>
      <c r="K145" s="20"/>
      <c r="L145" s="20"/>
      <c r="M145" s="20"/>
      <c r="N145" s="20"/>
      <c r="O145" s="20"/>
      <c r="P145" s="20"/>
      <c r="Q145" s="20"/>
      <c r="R145" s="20"/>
      <c r="S145" s="20"/>
      <c r="T145" s="20"/>
      <c r="U145" s="20"/>
      <c r="V145" s="20"/>
      <c r="W145" s="20"/>
      <c r="X145" s="20"/>
      <c r="Y145" s="20"/>
      <c r="Z145" s="20"/>
      <c r="AA145" s="20"/>
      <c r="AB145" s="20"/>
      <c r="AC145" s="20"/>
      <c r="AD145" s="20"/>
      <c r="AE145" s="20"/>
      <c r="AF145" s="20"/>
    </row>
    <row r="146" spans="1:32">
      <c r="A146" s="20"/>
      <c r="B146" s="20"/>
      <c r="C146" s="20"/>
      <c r="D146" s="20"/>
      <c r="E146" s="20"/>
      <c r="F146" s="20"/>
      <c r="G146" s="20"/>
      <c r="H146" s="20"/>
      <c r="I146" s="20"/>
      <c r="J146" s="20"/>
      <c r="K146" s="20"/>
      <c r="L146" s="20"/>
      <c r="M146" s="20"/>
      <c r="N146" s="20"/>
      <c r="O146" s="20"/>
      <c r="P146" s="20"/>
      <c r="Q146" s="20"/>
      <c r="R146" s="20"/>
      <c r="S146" s="20"/>
      <c r="T146" s="20"/>
      <c r="U146" s="20"/>
      <c r="V146" s="20"/>
      <c r="W146" s="20"/>
      <c r="X146" s="20"/>
      <c r="Y146" s="20"/>
      <c r="Z146" s="20"/>
      <c r="AA146" s="20"/>
      <c r="AB146" s="20"/>
      <c r="AC146" s="20"/>
      <c r="AD146" s="20"/>
      <c r="AE146" s="20"/>
      <c r="AF146" s="20"/>
    </row>
    <row r="147" spans="1:32">
      <c r="A147" s="20"/>
      <c r="B147" s="20"/>
      <c r="C147" s="20"/>
      <c r="D147" s="20"/>
      <c r="E147" s="20"/>
      <c r="F147" s="20"/>
      <c r="G147" s="20"/>
      <c r="H147" s="20"/>
      <c r="I147" s="20"/>
      <c r="J147" s="20"/>
      <c r="K147" s="20"/>
      <c r="L147" s="20"/>
      <c r="M147" s="20"/>
      <c r="N147" s="20"/>
      <c r="O147" s="20"/>
      <c r="P147" s="20"/>
      <c r="Q147" s="20"/>
      <c r="R147" s="20"/>
      <c r="S147" s="20"/>
      <c r="T147" s="20"/>
      <c r="U147" s="20"/>
      <c r="V147" s="20"/>
      <c r="W147" s="20"/>
      <c r="X147" s="20"/>
      <c r="Y147" s="20"/>
      <c r="Z147" s="20"/>
      <c r="AA147" s="20"/>
      <c r="AB147" s="20"/>
      <c r="AC147" s="20"/>
      <c r="AD147" s="20"/>
      <c r="AE147" s="20"/>
      <c r="AF147" s="20"/>
    </row>
    <row r="148" spans="1:32">
      <c r="A148" s="20"/>
      <c r="B148" s="20"/>
      <c r="C148" s="20"/>
      <c r="D148" s="20"/>
      <c r="E148" s="20"/>
      <c r="F148" s="20"/>
      <c r="G148" s="20"/>
      <c r="H148" s="20"/>
      <c r="I148" s="20"/>
      <c r="J148" s="20"/>
      <c r="K148" s="20"/>
      <c r="L148" s="20"/>
      <c r="M148" s="20"/>
      <c r="N148" s="20"/>
      <c r="O148" s="20"/>
      <c r="P148" s="20"/>
      <c r="Q148" s="20"/>
      <c r="R148" s="20"/>
      <c r="S148" s="20"/>
      <c r="T148" s="20"/>
      <c r="U148" s="20"/>
      <c r="V148" s="20"/>
      <c r="W148" s="20"/>
      <c r="X148" s="20"/>
      <c r="Y148" s="20"/>
      <c r="Z148" s="20"/>
      <c r="AA148" s="20"/>
      <c r="AB148" s="20"/>
      <c r="AC148" s="20"/>
      <c r="AD148" s="20"/>
      <c r="AE148" s="20"/>
      <c r="AF148" s="20"/>
    </row>
    <row r="149" spans="1:32">
      <c r="A149" s="20"/>
      <c r="B149" s="20"/>
      <c r="C149" s="20"/>
      <c r="D149" s="20"/>
      <c r="E149" s="20"/>
      <c r="F149" s="20"/>
      <c r="G149" s="20"/>
      <c r="H149" s="20"/>
      <c r="I149" s="20"/>
      <c r="J149" s="20"/>
      <c r="K149" s="20"/>
      <c r="L149" s="20"/>
      <c r="M149" s="20"/>
      <c r="N149" s="20"/>
      <c r="O149" s="20"/>
      <c r="P149" s="20"/>
      <c r="Q149" s="20"/>
      <c r="R149" s="20"/>
      <c r="S149" s="20"/>
      <c r="T149" s="20"/>
      <c r="U149" s="20"/>
      <c r="V149" s="20"/>
      <c r="W149" s="20"/>
      <c r="X149" s="20"/>
      <c r="Y149" s="20"/>
      <c r="Z149" s="20"/>
      <c r="AA149" s="20"/>
      <c r="AB149" s="20"/>
      <c r="AC149" s="20"/>
      <c r="AD149" s="20"/>
      <c r="AE149" s="20"/>
      <c r="AF149" s="20"/>
    </row>
    <row r="150" spans="1:32">
      <c r="A150" s="20"/>
      <c r="B150" s="20"/>
      <c r="C150" s="20"/>
      <c r="D150" s="20"/>
      <c r="E150" s="20"/>
      <c r="F150" s="20"/>
      <c r="G150" s="20"/>
      <c r="H150" s="20"/>
      <c r="I150" s="20"/>
      <c r="J150" s="20"/>
      <c r="K150" s="20"/>
      <c r="L150" s="20"/>
      <c r="M150" s="20"/>
      <c r="N150" s="20"/>
      <c r="O150" s="20"/>
      <c r="P150" s="20"/>
      <c r="Q150" s="20"/>
      <c r="R150" s="20"/>
      <c r="S150" s="20"/>
      <c r="T150" s="20"/>
      <c r="U150" s="20"/>
      <c r="V150" s="20"/>
      <c r="W150" s="20"/>
      <c r="X150" s="20"/>
      <c r="Y150" s="20"/>
      <c r="Z150" s="20"/>
      <c r="AA150" s="20"/>
      <c r="AB150" s="20"/>
      <c r="AC150" s="20"/>
      <c r="AD150" s="20"/>
      <c r="AE150" s="20"/>
      <c r="AF150" s="20"/>
    </row>
    <row r="151" spans="1:32">
      <c r="A151" s="20"/>
      <c r="B151" s="20"/>
      <c r="C151" s="20"/>
      <c r="D151" s="20"/>
      <c r="E151" s="20"/>
      <c r="F151" s="20"/>
      <c r="G151" s="20"/>
      <c r="H151" s="20"/>
      <c r="I151" s="20"/>
      <c r="J151" s="20"/>
      <c r="K151" s="20"/>
      <c r="L151" s="20"/>
      <c r="M151" s="20"/>
      <c r="N151" s="20"/>
      <c r="O151" s="20"/>
      <c r="P151" s="20"/>
      <c r="Q151" s="20"/>
      <c r="R151" s="20"/>
      <c r="S151" s="20"/>
      <c r="T151" s="20"/>
      <c r="U151" s="20"/>
      <c r="V151" s="20"/>
      <c r="W151" s="20"/>
      <c r="X151" s="20"/>
      <c r="Y151" s="20"/>
      <c r="Z151" s="20"/>
      <c r="AA151" s="20"/>
      <c r="AB151" s="20"/>
      <c r="AC151" s="20"/>
      <c r="AD151" s="20"/>
      <c r="AE151" s="20"/>
      <c r="AF151" s="20"/>
    </row>
    <row r="152" spans="1:32">
      <c r="A152" s="20"/>
      <c r="B152" s="20"/>
      <c r="C152" s="20"/>
      <c r="D152" s="20"/>
      <c r="E152" s="20"/>
      <c r="F152" s="20"/>
      <c r="G152" s="20"/>
      <c r="H152" s="20"/>
      <c r="I152" s="20"/>
      <c r="J152" s="20"/>
      <c r="K152" s="20"/>
      <c r="L152" s="20"/>
      <c r="M152" s="20"/>
      <c r="N152" s="20"/>
      <c r="O152" s="20"/>
      <c r="P152" s="20"/>
      <c r="Q152" s="20"/>
      <c r="R152" s="20"/>
      <c r="S152" s="20"/>
      <c r="T152" s="20"/>
      <c r="U152" s="20"/>
      <c r="V152" s="20"/>
      <c r="W152" s="20"/>
      <c r="X152" s="20"/>
      <c r="Y152" s="20"/>
      <c r="Z152" s="20"/>
      <c r="AA152" s="20"/>
      <c r="AB152" s="20"/>
      <c r="AC152" s="20"/>
      <c r="AD152" s="20"/>
      <c r="AE152" s="20"/>
      <c r="AF152" s="20"/>
    </row>
    <row r="153" spans="1:32">
      <c r="A153" s="20"/>
      <c r="B153" s="20"/>
      <c r="C153" s="20"/>
      <c r="D153" s="20"/>
      <c r="E153" s="20"/>
      <c r="F153" s="20"/>
      <c r="G153" s="20"/>
      <c r="H153" s="20"/>
      <c r="I153" s="20"/>
      <c r="J153" s="20"/>
      <c r="K153" s="20"/>
      <c r="L153" s="20"/>
      <c r="M153" s="20"/>
      <c r="N153" s="20"/>
      <c r="O153" s="20"/>
      <c r="P153" s="20"/>
      <c r="Q153" s="20"/>
      <c r="R153" s="20"/>
      <c r="S153" s="20"/>
      <c r="T153" s="20"/>
      <c r="U153" s="20"/>
      <c r="V153" s="20"/>
      <c r="W153" s="20"/>
      <c r="X153" s="20"/>
      <c r="Y153" s="20"/>
      <c r="Z153" s="20"/>
      <c r="AA153" s="20"/>
      <c r="AB153" s="20"/>
      <c r="AC153" s="20"/>
      <c r="AD153" s="20"/>
      <c r="AE153" s="20"/>
      <c r="AF153" s="20"/>
    </row>
    <row r="154" spans="1:32">
      <c r="A154" s="20"/>
      <c r="B154" s="20"/>
      <c r="C154" s="20"/>
      <c r="D154" s="20"/>
      <c r="E154" s="20"/>
      <c r="F154" s="20"/>
      <c r="G154" s="20"/>
      <c r="H154" s="20"/>
      <c r="I154" s="20"/>
      <c r="J154" s="20"/>
      <c r="K154" s="20"/>
      <c r="L154" s="20"/>
      <c r="M154" s="20"/>
      <c r="N154" s="20"/>
      <c r="O154" s="20"/>
      <c r="P154" s="20"/>
      <c r="Q154" s="20"/>
      <c r="R154" s="20"/>
      <c r="S154" s="20"/>
      <c r="T154" s="20"/>
      <c r="U154" s="20"/>
      <c r="V154" s="20"/>
      <c r="W154" s="20"/>
      <c r="X154" s="20"/>
      <c r="Y154" s="20"/>
      <c r="Z154" s="20"/>
      <c r="AA154" s="20"/>
      <c r="AB154" s="20"/>
      <c r="AC154" s="20"/>
      <c r="AD154" s="20"/>
      <c r="AE154" s="20"/>
      <c r="AF154" s="20"/>
    </row>
    <row r="155" spans="1:32">
      <c r="A155" s="20"/>
      <c r="B155" s="20"/>
      <c r="C155" s="20"/>
      <c r="D155" s="20"/>
      <c r="E155" s="20"/>
      <c r="F155" s="20"/>
      <c r="G155" s="20"/>
      <c r="H155" s="20"/>
      <c r="I155" s="20"/>
      <c r="J155" s="20"/>
      <c r="K155" s="20"/>
      <c r="L155" s="20"/>
      <c r="M155" s="20"/>
      <c r="N155" s="20"/>
      <c r="O155" s="20"/>
      <c r="P155" s="20"/>
      <c r="Q155" s="20"/>
      <c r="R155" s="20"/>
      <c r="S155" s="20"/>
      <c r="T155" s="20"/>
      <c r="U155" s="20"/>
      <c r="V155" s="20"/>
      <c r="W155" s="20"/>
      <c r="X155" s="20"/>
      <c r="Y155" s="20"/>
      <c r="Z155" s="20"/>
      <c r="AA155" s="20"/>
      <c r="AB155" s="20"/>
      <c r="AC155" s="20"/>
      <c r="AD155" s="20"/>
      <c r="AE155" s="20"/>
      <c r="AF155" s="20"/>
    </row>
    <row r="156" spans="1:32">
      <c r="A156" s="20"/>
      <c r="B156" s="20"/>
      <c r="C156" s="20"/>
      <c r="D156" s="20"/>
      <c r="E156" s="20"/>
      <c r="F156" s="20"/>
      <c r="G156" s="20"/>
      <c r="H156" s="20"/>
      <c r="I156" s="20"/>
      <c r="J156" s="20"/>
      <c r="K156" s="20"/>
      <c r="L156" s="20"/>
      <c r="M156" s="20"/>
      <c r="N156" s="20"/>
      <c r="O156" s="20"/>
      <c r="P156" s="20"/>
      <c r="Q156" s="20"/>
      <c r="R156" s="20"/>
      <c r="S156" s="20"/>
      <c r="T156" s="20"/>
      <c r="U156" s="20"/>
      <c r="V156" s="20"/>
      <c r="W156" s="20"/>
      <c r="X156" s="20"/>
      <c r="Y156" s="20"/>
      <c r="Z156" s="20"/>
      <c r="AA156" s="20"/>
      <c r="AB156" s="20"/>
      <c r="AC156" s="20"/>
      <c r="AD156" s="20"/>
      <c r="AE156" s="20"/>
      <c r="AF156" s="20"/>
    </row>
    <row r="157" spans="1:32">
      <c r="A157" s="20"/>
      <c r="B157" s="20"/>
      <c r="C157" s="20"/>
      <c r="D157" s="20"/>
      <c r="E157" s="20"/>
      <c r="F157" s="20"/>
      <c r="G157" s="20"/>
      <c r="H157" s="20"/>
      <c r="I157" s="20"/>
      <c r="J157" s="20"/>
      <c r="K157" s="20"/>
      <c r="L157" s="20"/>
      <c r="M157" s="20"/>
      <c r="N157" s="20"/>
      <c r="O157" s="20"/>
      <c r="P157" s="20"/>
      <c r="Q157" s="20"/>
      <c r="R157" s="20"/>
      <c r="S157" s="20"/>
      <c r="T157" s="20"/>
      <c r="U157" s="20"/>
      <c r="V157" s="20"/>
      <c r="W157" s="20"/>
      <c r="X157" s="20"/>
      <c r="Y157" s="20"/>
      <c r="Z157" s="20"/>
      <c r="AA157" s="20"/>
      <c r="AB157" s="20"/>
      <c r="AC157" s="20"/>
      <c r="AD157" s="20"/>
      <c r="AE157" s="20"/>
      <c r="AF157" s="20"/>
    </row>
    <row r="158" spans="1:32">
      <c r="A158" s="20"/>
      <c r="B158" s="20"/>
      <c r="C158" s="20"/>
      <c r="D158" s="20"/>
      <c r="E158" s="20"/>
      <c r="F158" s="20"/>
      <c r="G158" s="20"/>
      <c r="H158" s="20"/>
      <c r="I158" s="20"/>
      <c r="J158" s="20"/>
      <c r="K158" s="20"/>
      <c r="L158" s="20"/>
      <c r="M158" s="20"/>
      <c r="N158" s="20"/>
      <c r="O158" s="20"/>
      <c r="P158" s="20"/>
      <c r="Q158" s="20"/>
      <c r="R158" s="20"/>
      <c r="S158" s="20"/>
      <c r="T158" s="20"/>
      <c r="U158" s="20"/>
      <c r="V158" s="20"/>
      <c r="W158" s="20"/>
      <c r="X158" s="20"/>
      <c r="Y158" s="20"/>
      <c r="Z158" s="20"/>
      <c r="AA158" s="20"/>
      <c r="AB158" s="20"/>
      <c r="AC158" s="20"/>
      <c r="AD158" s="20"/>
      <c r="AE158" s="20"/>
      <c r="AF158" s="20"/>
    </row>
    <row r="159" spans="1:32">
      <c r="A159" s="20"/>
      <c r="B159" s="20"/>
      <c r="C159" s="20"/>
      <c r="D159" s="20"/>
      <c r="E159" s="20"/>
      <c r="F159" s="20"/>
      <c r="G159" s="20"/>
      <c r="H159" s="20"/>
      <c r="I159" s="20"/>
      <c r="J159" s="20"/>
      <c r="K159" s="20"/>
      <c r="L159" s="20"/>
      <c r="M159" s="20"/>
      <c r="N159" s="20"/>
      <c r="O159" s="20"/>
      <c r="P159" s="20"/>
      <c r="Q159" s="20"/>
      <c r="R159" s="20"/>
      <c r="S159" s="20"/>
      <c r="T159" s="20"/>
      <c r="U159" s="20"/>
      <c r="V159" s="20"/>
      <c r="W159" s="20"/>
      <c r="X159" s="20"/>
      <c r="Y159" s="20"/>
      <c r="Z159" s="20"/>
      <c r="AA159" s="20"/>
      <c r="AB159" s="20"/>
      <c r="AC159" s="20"/>
      <c r="AD159" s="20"/>
      <c r="AE159" s="20"/>
      <c r="AF159" s="20"/>
    </row>
    <row r="160" spans="1:32">
      <c r="A160" s="20"/>
      <c r="B160" s="20"/>
      <c r="C160" s="20"/>
      <c r="D160" s="20"/>
      <c r="E160" s="20"/>
      <c r="F160" s="20"/>
      <c r="G160" s="20"/>
      <c r="H160" s="20"/>
      <c r="I160" s="20"/>
      <c r="J160" s="20"/>
      <c r="K160" s="20"/>
      <c r="L160" s="20"/>
      <c r="M160" s="20"/>
      <c r="N160" s="20"/>
      <c r="O160" s="20"/>
      <c r="P160" s="20"/>
      <c r="Q160" s="20"/>
      <c r="R160" s="20"/>
      <c r="S160" s="20"/>
      <c r="T160" s="20"/>
      <c r="U160" s="20"/>
      <c r="V160" s="20"/>
      <c r="W160" s="20"/>
      <c r="X160" s="20"/>
      <c r="Y160" s="20"/>
      <c r="Z160" s="20"/>
      <c r="AA160" s="20"/>
      <c r="AB160" s="20"/>
      <c r="AC160" s="20"/>
      <c r="AD160" s="20"/>
      <c r="AE160" s="20"/>
      <c r="AF160" s="20"/>
    </row>
    <row r="161" spans="1:32">
      <c r="A161" s="20"/>
      <c r="B161" s="20"/>
      <c r="C161" s="20"/>
      <c r="D161" s="20"/>
      <c r="E161" s="20"/>
      <c r="F161" s="20"/>
      <c r="G161" s="20"/>
      <c r="H161" s="20"/>
      <c r="I161" s="20"/>
      <c r="J161" s="20"/>
      <c r="K161" s="20"/>
      <c r="L161" s="20"/>
      <c r="M161" s="20"/>
      <c r="N161" s="20"/>
      <c r="O161" s="20"/>
      <c r="P161" s="20"/>
      <c r="Q161" s="20"/>
      <c r="R161" s="20"/>
      <c r="S161" s="20"/>
      <c r="T161" s="20"/>
      <c r="U161" s="20"/>
      <c r="V161" s="20"/>
      <c r="W161" s="20"/>
      <c r="X161" s="20"/>
      <c r="Y161" s="20"/>
      <c r="Z161" s="20"/>
      <c r="AA161" s="20"/>
      <c r="AB161" s="20"/>
      <c r="AC161" s="20"/>
      <c r="AD161" s="20"/>
      <c r="AE161" s="20"/>
      <c r="AF161" s="20"/>
    </row>
    <row r="162" spans="1:32">
      <c r="A162" s="20"/>
      <c r="B162" s="20"/>
      <c r="C162" s="20"/>
      <c r="D162" s="20"/>
      <c r="E162" s="20"/>
      <c r="F162" s="20"/>
      <c r="G162" s="20"/>
      <c r="H162" s="20"/>
      <c r="I162" s="20"/>
      <c r="J162" s="20"/>
      <c r="K162" s="20"/>
      <c r="L162" s="20"/>
      <c r="M162" s="20"/>
      <c r="N162" s="20"/>
      <c r="O162" s="20"/>
      <c r="P162" s="20"/>
      <c r="Q162" s="20"/>
      <c r="R162" s="20"/>
      <c r="S162" s="20"/>
      <c r="T162" s="20"/>
      <c r="U162" s="20"/>
      <c r="V162" s="20"/>
      <c r="W162" s="20"/>
      <c r="X162" s="20"/>
      <c r="Y162" s="20"/>
      <c r="Z162" s="20"/>
      <c r="AA162" s="20"/>
      <c r="AB162" s="20"/>
      <c r="AC162" s="20"/>
      <c r="AD162" s="20"/>
      <c r="AE162" s="20"/>
      <c r="AF162" s="20"/>
    </row>
    <row r="163" spans="1:32">
      <c r="A163" s="20"/>
      <c r="B163" s="20"/>
      <c r="C163" s="20"/>
      <c r="D163" s="20"/>
      <c r="E163" s="20"/>
      <c r="F163" s="20"/>
      <c r="G163" s="20"/>
      <c r="H163" s="20"/>
      <c r="I163" s="20"/>
      <c r="J163" s="20"/>
      <c r="K163" s="20"/>
      <c r="L163" s="20"/>
      <c r="M163" s="20"/>
      <c r="N163" s="20"/>
      <c r="O163" s="20"/>
      <c r="P163" s="20"/>
      <c r="Q163" s="20"/>
      <c r="R163" s="20"/>
      <c r="S163" s="20"/>
      <c r="T163" s="20"/>
      <c r="U163" s="20"/>
      <c r="V163" s="20"/>
      <c r="W163" s="20"/>
      <c r="X163" s="20"/>
      <c r="Y163" s="20"/>
      <c r="Z163" s="20"/>
      <c r="AA163" s="20"/>
      <c r="AB163" s="20"/>
      <c r="AC163" s="20"/>
      <c r="AD163" s="20"/>
      <c r="AE163" s="20"/>
      <c r="AF163" s="20"/>
    </row>
    <row r="164" spans="1:32">
      <c r="A164" s="20"/>
      <c r="B164" s="20"/>
      <c r="C164" s="20"/>
      <c r="D164" s="20"/>
      <c r="E164" s="20"/>
      <c r="F164" s="20"/>
      <c r="G164" s="20"/>
      <c r="H164" s="20"/>
      <c r="I164" s="20"/>
      <c r="J164" s="20"/>
      <c r="K164" s="20"/>
      <c r="L164" s="20"/>
      <c r="M164" s="20"/>
      <c r="N164" s="20"/>
      <c r="O164" s="20"/>
      <c r="P164" s="20"/>
      <c r="Q164" s="20"/>
      <c r="R164" s="20"/>
      <c r="S164" s="20"/>
      <c r="T164" s="20"/>
      <c r="U164" s="20"/>
      <c r="V164" s="20"/>
      <c r="W164" s="20"/>
      <c r="X164" s="20"/>
      <c r="Y164" s="20"/>
      <c r="Z164" s="20"/>
      <c r="AA164" s="20"/>
      <c r="AB164" s="20"/>
      <c r="AC164" s="20"/>
      <c r="AD164" s="20"/>
      <c r="AE164" s="20"/>
      <c r="AF164" s="20"/>
    </row>
    <row r="165" spans="1:32">
      <c r="A165" s="20"/>
      <c r="B165" s="20"/>
      <c r="C165" s="20"/>
      <c r="D165" s="20"/>
      <c r="E165" s="20"/>
      <c r="F165" s="20"/>
      <c r="G165" s="20"/>
      <c r="H165" s="20"/>
      <c r="I165" s="20"/>
      <c r="J165" s="20"/>
      <c r="K165" s="20"/>
      <c r="L165" s="20"/>
      <c r="M165" s="20"/>
      <c r="N165" s="20"/>
      <c r="O165" s="20"/>
      <c r="P165" s="20"/>
      <c r="Q165" s="20"/>
      <c r="R165" s="20"/>
      <c r="S165" s="20"/>
      <c r="T165" s="20"/>
      <c r="U165" s="20"/>
      <c r="V165" s="20"/>
      <c r="W165" s="20"/>
      <c r="X165" s="20"/>
      <c r="Y165" s="20"/>
      <c r="Z165" s="20"/>
      <c r="AA165" s="20"/>
      <c r="AB165" s="20"/>
      <c r="AC165" s="20"/>
      <c r="AD165" s="20"/>
      <c r="AE165" s="20"/>
      <c r="AF165" s="20"/>
    </row>
    <row r="166" spans="1:32">
      <c r="A166" s="20"/>
      <c r="B166" s="20"/>
      <c r="C166" s="20"/>
      <c r="D166" s="20"/>
      <c r="E166" s="20"/>
      <c r="F166" s="20"/>
      <c r="G166" s="20"/>
      <c r="H166" s="20"/>
      <c r="I166" s="20"/>
      <c r="J166" s="20"/>
      <c r="K166" s="20"/>
      <c r="L166" s="20"/>
      <c r="M166" s="20"/>
      <c r="N166" s="20"/>
      <c r="O166" s="20"/>
      <c r="P166" s="20"/>
      <c r="Q166" s="20"/>
      <c r="R166" s="20"/>
      <c r="S166" s="20"/>
      <c r="T166" s="20"/>
      <c r="U166" s="20"/>
      <c r="V166" s="20"/>
      <c r="W166" s="20"/>
      <c r="X166" s="20"/>
      <c r="Y166" s="20"/>
      <c r="Z166" s="20"/>
      <c r="AA166" s="20"/>
      <c r="AB166" s="20"/>
      <c r="AC166" s="20"/>
      <c r="AD166" s="20"/>
      <c r="AE166" s="20"/>
      <c r="AF166" s="20"/>
    </row>
    <row r="167" spans="1:32">
      <c r="A167" s="20"/>
      <c r="B167" s="20"/>
      <c r="C167" s="20"/>
      <c r="D167" s="20"/>
      <c r="E167" s="20"/>
      <c r="F167" s="20"/>
      <c r="G167" s="20"/>
      <c r="H167" s="20"/>
      <c r="I167" s="20"/>
      <c r="J167" s="20"/>
      <c r="K167" s="20"/>
      <c r="L167" s="20"/>
      <c r="M167" s="20"/>
      <c r="N167" s="20"/>
      <c r="O167" s="20"/>
      <c r="P167" s="20"/>
      <c r="Q167" s="20"/>
      <c r="R167" s="20"/>
      <c r="S167" s="20"/>
      <c r="T167" s="20"/>
      <c r="U167" s="20"/>
      <c r="V167" s="20"/>
      <c r="W167" s="20"/>
      <c r="X167" s="20"/>
      <c r="Y167" s="20"/>
      <c r="Z167" s="20"/>
      <c r="AA167" s="20"/>
      <c r="AB167" s="20"/>
      <c r="AC167" s="20"/>
      <c r="AD167" s="20"/>
      <c r="AE167" s="20"/>
      <c r="AF167" s="20"/>
    </row>
    <row r="168" spans="1:32">
      <c r="A168" s="20"/>
      <c r="B168" s="20"/>
      <c r="C168" s="20"/>
      <c r="D168" s="20"/>
      <c r="E168" s="20"/>
      <c r="F168" s="20"/>
      <c r="G168" s="20"/>
      <c r="H168" s="20"/>
      <c r="I168" s="20"/>
      <c r="J168" s="20"/>
      <c r="K168" s="20"/>
      <c r="L168" s="20"/>
      <c r="M168" s="20"/>
      <c r="N168" s="20"/>
      <c r="O168" s="20"/>
      <c r="P168" s="20"/>
      <c r="Q168" s="20"/>
      <c r="R168" s="20"/>
      <c r="S168" s="20"/>
      <c r="T168" s="20"/>
      <c r="U168" s="20"/>
      <c r="V168" s="20"/>
      <c r="W168" s="20"/>
      <c r="X168" s="20"/>
      <c r="Y168" s="20"/>
      <c r="Z168" s="20"/>
      <c r="AA168" s="20"/>
      <c r="AB168" s="20"/>
      <c r="AC168" s="20"/>
      <c r="AD168" s="20"/>
      <c r="AE168" s="20"/>
      <c r="AF168" s="20"/>
    </row>
    <row r="169" spans="1:32">
      <c r="A169" s="20"/>
      <c r="B169" s="20"/>
      <c r="C169" s="20"/>
      <c r="D169" s="20"/>
      <c r="E169" s="20"/>
      <c r="F169" s="20"/>
      <c r="G169" s="20"/>
      <c r="H169" s="20"/>
      <c r="I169" s="20"/>
      <c r="J169" s="20"/>
      <c r="K169" s="20"/>
      <c r="L169" s="20"/>
      <c r="M169" s="20"/>
      <c r="N169" s="20"/>
      <c r="O169" s="20"/>
      <c r="P169" s="20"/>
      <c r="Q169" s="20"/>
      <c r="R169" s="20"/>
      <c r="S169" s="20"/>
      <c r="T169" s="20"/>
      <c r="U169" s="20"/>
      <c r="V169" s="20"/>
      <c r="W169" s="20"/>
      <c r="X169" s="20"/>
      <c r="Y169" s="20"/>
      <c r="Z169" s="20"/>
      <c r="AA169" s="20"/>
      <c r="AB169" s="20"/>
      <c r="AC169" s="20"/>
      <c r="AD169" s="20"/>
      <c r="AE169" s="20"/>
      <c r="AF169" s="20"/>
    </row>
    <row r="170" spans="1:32">
      <c r="A170" s="20"/>
      <c r="B170" s="20"/>
      <c r="C170" s="20"/>
      <c r="D170" s="20"/>
      <c r="E170" s="20"/>
      <c r="F170" s="20"/>
      <c r="G170" s="20"/>
      <c r="H170" s="20"/>
      <c r="I170" s="20"/>
      <c r="J170" s="20"/>
      <c r="K170" s="20"/>
      <c r="L170" s="20"/>
      <c r="M170" s="20"/>
      <c r="N170" s="20"/>
      <c r="O170" s="20"/>
      <c r="P170" s="20"/>
      <c r="Q170" s="20"/>
      <c r="R170" s="20"/>
      <c r="S170" s="20"/>
      <c r="T170" s="20"/>
      <c r="U170" s="20"/>
      <c r="V170" s="20"/>
      <c r="W170" s="20"/>
      <c r="X170" s="20"/>
      <c r="Y170" s="20"/>
      <c r="Z170" s="20"/>
      <c r="AA170" s="20"/>
      <c r="AB170" s="20"/>
      <c r="AC170" s="20"/>
      <c r="AD170" s="20"/>
      <c r="AE170" s="20"/>
      <c r="AF170" s="20"/>
    </row>
    <row r="171" spans="1:32">
      <c r="A171" s="20"/>
      <c r="B171" s="20"/>
      <c r="C171" s="20"/>
      <c r="D171" s="20"/>
      <c r="E171" s="20"/>
      <c r="F171" s="20"/>
      <c r="G171" s="20"/>
      <c r="H171" s="20"/>
      <c r="I171" s="20"/>
      <c r="J171" s="20"/>
      <c r="K171" s="20"/>
      <c r="L171" s="20"/>
      <c r="M171" s="20"/>
      <c r="N171" s="20"/>
      <c r="O171" s="20"/>
      <c r="P171" s="20"/>
      <c r="Q171" s="20"/>
      <c r="R171" s="20"/>
      <c r="S171" s="20"/>
      <c r="T171" s="20"/>
      <c r="U171" s="20"/>
      <c r="V171" s="20"/>
      <c r="W171" s="20"/>
      <c r="X171" s="20"/>
      <c r="Y171" s="20"/>
      <c r="Z171" s="20"/>
      <c r="AA171" s="20"/>
      <c r="AB171" s="20"/>
      <c r="AC171" s="20"/>
      <c r="AD171" s="20"/>
      <c r="AE171" s="20"/>
      <c r="AF171" s="20"/>
    </row>
    <row r="172" spans="1:32">
      <c r="A172" s="20"/>
      <c r="B172" s="20"/>
      <c r="C172" s="20"/>
      <c r="D172" s="20"/>
      <c r="E172" s="20"/>
      <c r="F172" s="20"/>
      <c r="G172" s="20"/>
      <c r="H172" s="20"/>
      <c r="I172" s="20"/>
      <c r="J172" s="20"/>
      <c r="K172" s="20"/>
      <c r="L172" s="20"/>
      <c r="M172" s="20"/>
      <c r="N172" s="20"/>
      <c r="O172" s="20"/>
      <c r="P172" s="20"/>
      <c r="Q172" s="20"/>
      <c r="R172" s="20"/>
      <c r="S172" s="20"/>
      <c r="T172" s="20"/>
      <c r="U172" s="20"/>
      <c r="V172" s="20"/>
      <c r="W172" s="20"/>
      <c r="X172" s="20"/>
      <c r="Y172" s="20"/>
      <c r="Z172" s="20"/>
      <c r="AA172" s="20"/>
      <c r="AB172" s="20"/>
      <c r="AC172" s="20"/>
      <c r="AD172" s="20"/>
      <c r="AE172" s="20"/>
      <c r="AF172" s="20"/>
    </row>
    <row r="173" spans="1:32">
      <c r="A173" s="20"/>
      <c r="B173" s="20"/>
      <c r="C173" s="20"/>
      <c r="D173" s="20"/>
      <c r="E173" s="20"/>
      <c r="F173" s="20"/>
      <c r="G173" s="20"/>
      <c r="H173" s="20"/>
      <c r="I173" s="20"/>
      <c r="J173" s="20"/>
      <c r="K173" s="20"/>
      <c r="L173" s="20"/>
      <c r="M173" s="20"/>
      <c r="N173" s="20"/>
      <c r="O173" s="20"/>
      <c r="P173" s="20"/>
      <c r="Q173" s="20"/>
      <c r="R173" s="20"/>
      <c r="S173" s="20"/>
      <c r="T173" s="20"/>
      <c r="U173" s="20"/>
      <c r="V173" s="20"/>
      <c r="W173" s="20"/>
      <c r="X173" s="20"/>
      <c r="Y173" s="20"/>
      <c r="Z173" s="20"/>
      <c r="AA173" s="20"/>
      <c r="AB173" s="20"/>
      <c r="AC173" s="20"/>
      <c r="AD173" s="20"/>
      <c r="AE173" s="20"/>
      <c r="AF173" s="20"/>
    </row>
    <row r="174" spans="1:32">
      <c r="A174" s="20"/>
      <c r="B174" s="20"/>
      <c r="C174" s="20"/>
      <c r="D174" s="20"/>
      <c r="E174" s="20"/>
      <c r="F174" s="20"/>
      <c r="G174" s="20"/>
      <c r="H174" s="20"/>
      <c r="I174" s="20"/>
      <c r="J174" s="20"/>
      <c r="K174" s="20"/>
      <c r="L174" s="20"/>
      <c r="M174" s="20"/>
      <c r="N174" s="20"/>
      <c r="O174" s="20"/>
      <c r="P174" s="20"/>
      <c r="Q174" s="20"/>
      <c r="R174" s="20"/>
      <c r="S174" s="20"/>
      <c r="T174" s="20"/>
      <c r="U174" s="20"/>
      <c r="V174" s="20"/>
      <c r="W174" s="20"/>
      <c r="X174" s="20"/>
      <c r="Y174" s="20"/>
      <c r="Z174" s="20"/>
      <c r="AA174" s="20"/>
      <c r="AB174" s="20"/>
      <c r="AC174" s="20"/>
      <c r="AD174" s="20"/>
      <c r="AE174" s="20"/>
      <c r="AF174" s="20"/>
    </row>
    <row r="175" spans="1:32">
      <c r="A175" s="20"/>
      <c r="B175" s="20"/>
      <c r="C175" s="20"/>
      <c r="D175" s="20"/>
      <c r="E175" s="20"/>
      <c r="F175" s="20"/>
      <c r="G175" s="20"/>
      <c r="H175" s="20"/>
      <c r="I175" s="20"/>
      <c r="J175" s="20"/>
      <c r="K175" s="20"/>
      <c r="L175" s="20"/>
      <c r="M175" s="20"/>
      <c r="N175" s="20"/>
      <c r="O175" s="20"/>
      <c r="P175" s="20"/>
      <c r="Q175" s="20"/>
      <c r="R175" s="20"/>
      <c r="S175" s="20"/>
      <c r="T175" s="20"/>
      <c r="U175" s="20"/>
      <c r="V175" s="20"/>
      <c r="W175" s="20"/>
      <c r="X175" s="20"/>
      <c r="Y175" s="20"/>
      <c r="Z175" s="20"/>
      <c r="AA175" s="20"/>
      <c r="AB175" s="20"/>
      <c r="AC175" s="20"/>
      <c r="AD175" s="20"/>
      <c r="AE175" s="20"/>
      <c r="AF175" s="20"/>
    </row>
    <row r="176" spans="1:32">
      <c r="A176" s="20"/>
      <c r="B176" s="20"/>
      <c r="C176" s="20"/>
      <c r="D176" s="20"/>
      <c r="E176" s="20"/>
      <c r="F176" s="20"/>
      <c r="G176" s="20"/>
      <c r="H176" s="20"/>
      <c r="I176" s="20"/>
      <c r="J176" s="20"/>
      <c r="K176" s="20"/>
      <c r="L176" s="20"/>
      <c r="M176" s="20"/>
      <c r="N176" s="20"/>
      <c r="O176" s="20"/>
      <c r="P176" s="20"/>
      <c r="Q176" s="20"/>
      <c r="R176" s="20"/>
      <c r="S176" s="20"/>
      <c r="T176" s="20"/>
      <c r="U176" s="20"/>
      <c r="V176" s="20"/>
      <c r="W176" s="20"/>
      <c r="X176" s="20"/>
      <c r="Y176" s="20"/>
      <c r="Z176" s="20"/>
      <c r="AA176" s="20"/>
      <c r="AB176" s="20"/>
      <c r="AC176" s="20"/>
      <c r="AD176" s="20"/>
      <c r="AE176" s="20"/>
      <c r="AF176" s="20"/>
    </row>
    <row r="177" spans="1:32">
      <c r="A177" s="20"/>
      <c r="B177" s="20"/>
      <c r="C177" s="20"/>
      <c r="D177" s="20"/>
      <c r="E177" s="20"/>
      <c r="F177" s="20"/>
      <c r="G177" s="20"/>
      <c r="H177" s="20"/>
      <c r="I177" s="20"/>
      <c r="J177" s="20"/>
      <c r="K177" s="20"/>
      <c r="L177" s="20"/>
      <c r="M177" s="20"/>
      <c r="N177" s="20"/>
      <c r="O177" s="20"/>
      <c r="P177" s="20"/>
      <c r="Q177" s="20"/>
      <c r="R177" s="20"/>
      <c r="S177" s="20"/>
      <c r="T177" s="20"/>
      <c r="U177" s="20"/>
      <c r="V177" s="20"/>
      <c r="W177" s="20"/>
      <c r="X177" s="20"/>
      <c r="Y177" s="20"/>
      <c r="Z177" s="20"/>
      <c r="AA177" s="20"/>
      <c r="AB177" s="20"/>
      <c r="AC177" s="20"/>
      <c r="AD177" s="20"/>
      <c r="AE177" s="20"/>
      <c r="AF177" s="20"/>
    </row>
    <row r="178" spans="1:32">
      <c r="A178" s="20"/>
      <c r="B178" s="20"/>
      <c r="C178" s="20"/>
      <c r="D178" s="20"/>
      <c r="E178" s="20"/>
      <c r="F178" s="20"/>
      <c r="G178" s="20"/>
      <c r="H178" s="20"/>
      <c r="I178" s="20"/>
      <c r="J178" s="20"/>
      <c r="K178" s="20"/>
      <c r="L178" s="20"/>
      <c r="M178" s="20"/>
      <c r="N178" s="20"/>
      <c r="O178" s="20"/>
      <c r="P178" s="20"/>
      <c r="Q178" s="20"/>
      <c r="R178" s="20"/>
      <c r="S178" s="20"/>
      <c r="T178" s="20"/>
      <c r="U178" s="20"/>
      <c r="V178" s="20"/>
      <c r="W178" s="20"/>
      <c r="X178" s="20"/>
      <c r="Y178" s="20"/>
      <c r="Z178" s="20"/>
      <c r="AA178" s="20"/>
      <c r="AB178" s="20"/>
      <c r="AC178" s="20"/>
      <c r="AD178" s="20"/>
      <c r="AE178" s="20"/>
      <c r="AF178" s="20"/>
    </row>
    <row r="179" spans="1:32">
      <c r="A179" s="20"/>
      <c r="B179" s="20"/>
      <c r="C179" s="20"/>
      <c r="D179" s="20"/>
      <c r="E179" s="20"/>
      <c r="F179" s="20"/>
      <c r="G179" s="20"/>
      <c r="H179" s="20"/>
      <c r="I179" s="20"/>
      <c r="J179" s="20"/>
      <c r="K179" s="20"/>
      <c r="L179" s="20"/>
      <c r="M179" s="20"/>
      <c r="N179" s="20"/>
      <c r="O179" s="20"/>
      <c r="P179" s="20"/>
      <c r="Q179" s="20"/>
      <c r="R179" s="20"/>
      <c r="S179" s="20"/>
      <c r="T179" s="20"/>
      <c r="U179" s="20"/>
      <c r="V179" s="20"/>
      <c r="W179" s="20"/>
      <c r="X179" s="20"/>
      <c r="Y179" s="20"/>
      <c r="Z179" s="20"/>
      <c r="AA179" s="20"/>
      <c r="AB179" s="20"/>
      <c r="AC179" s="20"/>
      <c r="AD179" s="20"/>
      <c r="AE179" s="20"/>
      <c r="AF179" s="20"/>
    </row>
    <row r="180" spans="1:32">
      <c r="A180" s="20"/>
      <c r="B180" s="20"/>
      <c r="C180" s="20"/>
      <c r="D180" s="20"/>
      <c r="E180" s="20"/>
      <c r="F180" s="20"/>
      <c r="G180" s="20"/>
      <c r="H180" s="20"/>
      <c r="I180" s="20"/>
      <c r="J180" s="20"/>
      <c r="K180" s="20"/>
      <c r="L180" s="20"/>
      <c r="M180" s="20"/>
      <c r="N180" s="20"/>
      <c r="O180" s="20"/>
      <c r="P180" s="20"/>
      <c r="Q180" s="20"/>
      <c r="R180" s="20"/>
      <c r="S180" s="20"/>
      <c r="T180" s="20"/>
      <c r="U180" s="20"/>
      <c r="V180" s="20"/>
      <c r="W180" s="20"/>
      <c r="X180" s="20"/>
      <c r="Y180" s="20"/>
      <c r="Z180" s="20"/>
      <c r="AA180" s="20"/>
      <c r="AB180" s="20"/>
      <c r="AC180" s="20"/>
      <c r="AD180" s="20"/>
      <c r="AE180" s="20"/>
      <c r="AF180" s="20"/>
    </row>
    <row r="181" spans="1:32">
      <c r="A181" s="20"/>
      <c r="B181" s="20"/>
      <c r="C181" s="20"/>
      <c r="D181" s="20"/>
      <c r="E181" s="20"/>
      <c r="F181" s="20"/>
      <c r="G181" s="20"/>
      <c r="H181" s="20"/>
      <c r="I181" s="20"/>
      <c r="J181" s="20"/>
      <c r="K181" s="20"/>
      <c r="L181" s="20"/>
      <c r="M181" s="20"/>
      <c r="N181" s="20"/>
      <c r="O181" s="20"/>
      <c r="P181" s="20"/>
      <c r="Q181" s="20"/>
      <c r="R181" s="20"/>
      <c r="S181" s="20"/>
      <c r="T181" s="20"/>
      <c r="U181" s="20"/>
      <c r="V181" s="20"/>
      <c r="W181" s="20"/>
      <c r="X181" s="20"/>
      <c r="Y181" s="20"/>
      <c r="Z181" s="20"/>
      <c r="AA181" s="20"/>
      <c r="AB181" s="20"/>
      <c r="AC181" s="20"/>
      <c r="AD181" s="20"/>
      <c r="AE181" s="20"/>
      <c r="AF181" s="20"/>
    </row>
    <row r="182" spans="1:32">
      <c r="A182" s="20"/>
      <c r="B182" s="20"/>
      <c r="C182" s="20"/>
      <c r="D182" s="20"/>
      <c r="E182" s="20"/>
      <c r="F182" s="20"/>
      <c r="G182" s="20"/>
      <c r="H182" s="20"/>
      <c r="I182" s="20"/>
      <c r="J182" s="20"/>
      <c r="K182" s="20"/>
      <c r="L182" s="20"/>
      <c r="M182" s="20"/>
      <c r="N182" s="20"/>
      <c r="O182" s="20"/>
      <c r="P182" s="20"/>
      <c r="Q182" s="20"/>
      <c r="R182" s="20"/>
      <c r="S182" s="20"/>
      <c r="T182" s="20"/>
      <c r="U182" s="20"/>
      <c r="V182" s="20"/>
      <c r="W182" s="20"/>
      <c r="X182" s="20"/>
      <c r="Y182" s="20"/>
      <c r="Z182" s="20"/>
      <c r="AA182" s="20"/>
      <c r="AB182" s="20"/>
      <c r="AC182" s="20"/>
      <c r="AD182" s="20"/>
      <c r="AE182" s="20"/>
      <c r="AF182" s="20"/>
    </row>
    <row r="183" spans="1:32">
      <c r="A183" s="20"/>
      <c r="B183" s="20"/>
      <c r="C183" s="20"/>
      <c r="D183" s="20"/>
      <c r="E183" s="20"/>
      <c r="F183" s="20"/>
      <c r="G183" s="20"/>
      <c r="H183" s="20"/>
      <c r="I183" s="20"/>
      <c r="J183" s="20"/>
      <c r="K183" s="20"/>
      <c r="L183" s="20"/>
      <c r="M183" s="20"/>
      <c r="N183" s="20"/>
      <c r="O183" s="20"/>
      <c r="P183" s="20"/>
      <c r="Q183" s="20"/>
      <c r="R183" s="20"/>
      <c r="S183" s="20"/>
      <c r="T183" s="20"/>
      <c r="U183" s="20"/>
      <c r="V183" s="20"/>
      <c r="W183" s="20"/>
      <c r="X183" s="20"/>
      <c r="Y183" s="20"/>
      <c r="Z183" s="20"/>
      <c r="AA183" s="20"/>
      <c r="AB183" s="20"/>
      <c r="AC183" s="20"/>
      <c r="AD183" s="20"/>
      <c r="AE183" s="20"/>
      <c r="AF183" s="20"/>
    </row>
    <row r="184" spans="1:32">
      <c r="A184" s="20"/>
      <c r="B184" s="20"/>
      <c r="C184" s="20"/>
      <c r="D184" s="20"/>
      <c r="E184" s="20"/>
      <c r="F184" s="20"/>
      <c r="G184" s="20"/>
      <c r="H184" s="20"/>
      <c r="I184" s="20"/>
      <c r="J184" s="20"/>
      <c r="K184" s="20"/>
      <c r="L184" s="20"/>
      <c r="M184" s="20"/>
      <c r="N184" s="20"/>
      <c r="O184" s="20"/>
      <c r="P184" s="20"/>
      <c r="Q184" s="20"/>
      <c r="R184" s="20"/>
      <c r="S184" s="20"/>
      <c r="T184" s="20"/>
      <c r="U184" s="20"/>
      <c r="V184" s="20"/>
      <c r="W184" s="20"/>
      <c r="X184" s="20"/>
      <c r="Y184" s="20"/>
      <c r="Z184" s="20"/>
      <c r="AA184" s="20"/>
      <c r="AB184" s="20"/>
      <c r="AC184" s="20"/>
      <c r="AD184" s="20"/>
      <c r="AE184" s="20"/>
      <c r="AF184" s="20"/>
    </row>
    <row r="185" spans="1:32">
      <c r="A185" s="20"/>
      <c r="B185" s="20"/>
      <c r="C185" s="20"/>
      <c r="D185" s="20"/>
      <c r="E185" s="20"/>
      <c r="F185" s="20"/>
      <c r="G185" s="20"/>
      <c r="H185" s="20"/>
      <c r="I185" s="20"/>
      <c r="J185" s="20"/>
      <c r="K185" s="20"/>
      <c r="L185" s="20"/>
      <c r="M185" s="20"/>
      <c r="N185" s="20"/>
      <c r="O185" s="20"/>
      <c r="P185" s="20"/>
      <c r="Q185" s="20"/>
      <c r="R185" s="20"/>
      <c r="S185" s="20"/>
      <c r="T185" s="20"/>
      <c r="U185" s="20"/>
      <c r="V185" s="20"/>
      <c r="W185" s="20"/>
      <c r="X185" s="20"/>
      <c r="Y185" s="20"/>
      <c r="Z185" s="20"/>
      <c r="AA185" s="20"/>
      <c r="AB185" s="20"/>
      <c r="AC185" s="20"/>
      <c r="AD185" s="20"/>
      <c r="AE185" s="20"/>
      <c r="AF185" s="20"/>
    </row>
    <row r="186" spans="1:32">
      <c r="A186" s="20"/>
      <c r="B186" s="20"/>
      <c r="C186" s="20"/>
      <c r="D186" s="20"/>
      <c r="E186" s="20"/>
      <c r="F186" s="20"/>
      <c r="G186" s="20"/>
      <c r="H186" s="20"/>
      <c r="I186" s="20"/>
      <c r="J186" s="20"/>
      <c r="K186" s="20"/>
      <c r="L186" s="20"/>
      <c r="M186" s="20"/>
      <c r="N186" s="20"/>
      <c r="O186" s="20"/>
      <c r="P186" s="20"/>
      <c r="Q186" s="20"/>
      <c r="R186" s="20"/>
      <c r="S186" s="20"/>
      <c r="T186" s="20"/>
      <c r="U186" s="20"/>
      <c r="V186" s="20"/>
      <c r="W186" s="20"/>
      <c r="X186" s="20"/>
      <c r="Y186" s="20"/>
      <c r="Z186" s="20"/>
      <c r="AA186" s="20"/>
      <c r="AB186" s="20"/>
      <c r="AC186" s="20"/>
      <c r="AD186" s="20"/>
      <c r="AE186" s="20"/>
      <c r="AF186" s="20"/>
    </row>
    <row r="187" spans="1:32">
      <c r="A187" s="20"/>
      <c r="B187" s="20"/>
      <c r="C187" s="20"/>
      <c r="D187" s="20"/>
      <c r="E187" s="20"/>
      <c r="F187" s="20"/>
      <c r="G187" s="20"/>
      <c r="H187" s="20"/>
      <c r="I187" s="20"/>
      <c r="J187" s="20"/>
      <c r="K187" s="20"/>
      <c r="L187" s="20"/>
      <c r="M187" s="20"/>
      <c r="N187" s="20"/>
      <c r="O187" s="20"/>
      <c r="P187" s="20"/>
      <c r="Q187" s="20"/>
      <c r="R187" s="20"/>
      <c r="S187" s="20"/>
      <c r="T187" s="20"/>
      <c r="U187" s="20"/>
      <c r="V187" s="20"/>
      <c r="W187" s="20"/>
      <c r="X187" s="20"/>
      <c r="Y187" s="20"/>
      <c r="Z187" s="20"/>
      <c r="AA187" s="20"/>
      <c r="AB187" s="20"/>
      <c r="AC187" s="20"/>
      <c r="AD187" s="20"/>
      <c r="AE187" s="20"/>
      <c r="AF187" s="20"/>
    </row>
    <row r="188" spans="1:32">
      <c r="A188" s="20"/>
      <c r="B188" s="20"/>
      <c r="C188" s="20"/>
      <c r="D188" s="20"/>
      <c r="E188" s="20"/>
      <c r="F188" s="20"/>
      <c r="G188" s="20"/>
      <c r="H188" s="20"/>
      <c r="I188" s="20"/>
      <c r="J188" s="20"/>
      <c r="K188" s="20"/>
      <c r="L188" s="20"/>
      <c r="M188" s="20"/>
      <c r="N188" s="20"/>
      <c r="O188" s="20"/>
      <c r="P188" s="20"/>
      <c r="Q188" s="20"/>
      <c r="R188" s="20"/>
      <c r="S188" s="20"/>
      <c r="T188" s="20"/>
      <c r="U188" s="20"/>
      <c r="V188" s="20"/>
      <c r="W188" s="20"/>
      <c r="X188" s="20"/>
      <c r="Y188" s="20"/>
      <c r="Z188" s="20"/>
      <c r="AA188" s="20"/>
      <c r="AB188" s="20"/>
      <c r="AC188" s="20"/>
      <c r="AD188" s="20"/>
      <c r="AE188" s="20"/>
      <c r="AF188" s="20"/>
    </row>
    <row r="189" spans="1:32">
      <c r="A189" s="20"/>
      <c r="B189" s="20"/>
      <c r="C189" s="20"/>
      <c r="D189" s="20"/>
      <c r="E189" s="20"/>
      <c r="F189" s="20"/>
      <c r="G189" s="20"/>
      <c r="H189" s="20"/>
      <c r="I189" s="20"/>
      <c r="J189" s="20"/>
      <c r="K189" s="20"/>
      <c r="L189" s="20"/>
      <c r="M189" s="20"/>
      <c r="N189" s="20"/>
      <c r="O189" s="20"/>
      <c r="P189" s="20"/>
      <c r="Q189" s="20"/>
      <c r="R189" s="20"/>
      <c r="S189" s="20"/>
      <c r="T189" s="20"/>
      <c r="U189" s="20"/>
      <c r="V189" s="20"/>
      <c r="W189" s="20"/>
      <c r="X189" s="20"/>
      <c r="Y189" s="20"/>
      <c r="Z189" s="20"/>
      <c r="AA189" s="20"/>
      <c r="AB189" s="20"/>
      <c r="AC189" s="20"/>
      <c r="AD189" s="20"/>
      <c r="AE189" s="20"/>
      <c r="AF189" s="20"/>
    </row>
    <row r="190" spans="1:32">
      <c r="A190" s="20"/>
      <c r="B190" s="20"/>
      <c r="C190" s="20"/>
      <c r="D190" s="20"/>
      <c r="E190" s="20"/>
      <c r="F190" s="20"/>
      <c r="G190" s="20"/>
      <c r="H190" s="20"/>
      <c r="I190" s="20"/>
      <c r="J190" s="20"/>
      <c r="K190" s="20"/>
      <c r="L190" s="20"/>
      <c r="M190" s="20"/>
      <c r="N190" s="20"/>
      <c r="O190" s="20"/>
      <c r="P190" s="20"/>
      <c r="Q190" s="20"/>
      <c r="R190" s="20"/>
      <c r="S190" s="20"/>
      <c r="T190" s="20"/>
      <c r="U190" s="20"/>
      <c r="V190" s="20"/>
      <c r="W190" s="20"/>
      <c r="X190" s="20"/>
      <c r="Y190" s="20"/>
      <c r="Z190" s="20"/>
      <c r="AA190" s="20"/>
      <c r="AB190" s="20"/>
      <c r="AC190" s="20"/>
      <c r="AD190" s="20"/>
      <c r="AE190" s="20"/>
      <c r="AF190" s="20"/>
    </row>
    <row r="191" spans="1:32">
      <c r="A191" s="20"/>
      <c r="B191" s="20"/>
      <c r="C191" s="20"/>
      <c r="D191" s="20"/>
      <c r="E191" s="20"/>
      <c r="F191" s="20"/>
      <c r="G191" s="20"/>
      <c r="H191" s="20"/>
      <c r="I191" s="20"/>
      <c r="J191" s="20"/>
      <c r="K191" s="20"/>
      <c r="L191" s="20"/>
      <c r="M191" s="20"/>
      <c r="N191" s="20"/>
      <c r="O191" s="20"/>
      <c r="P191" s="20"/>
      <c r="Q191" s="20"/>
      <c r="R191" s="20"/>
      <c r="S191" s="20"/>
      <c r="T191" s="20"/>
      <c r="U191" s="20"/>
      <c r="V191" s="20"/>
      <c r="W191" s="20"/>
      <c r="X191" s="20"/>
      <c r="Y191" s="20"/>
      <c r="Z191" s="20"/>
      <c r="AA191" s="20"/>
      <c r="AB191" s="20"/>
      <c r="AC191" s="20"/>
      <c r="AD191" s="20"/>
      <c r="AE191" s="20"/>
      <c r="AF191" s="20"/>
    </row>
    <row r="192" spans="1:32">
      <c r="A192" s="20"/>
      <c r="B192" s="20"/>
      <c r="C192" s="20"/>
      <c r="D192" s="20"/>
      <c r="E192" s="20"/>
      <c r="F192" s="20"/>
      <c r="G192" s="20"/>
      <c r="H192" s="20"/>
      <c r="I192" s="20"/>
      <c r="J192" s="20"/>
      <c r="K192" s="20"/>
      <c r="L192" s="20"/>
      <c r="M192" s="20"/>
      <c r="N192" s="20"/>
      <c r="O192" s="20"/>
      <c r="P192" s="20"/>
      <c r="Q192" s="20"/>
      <c r="R192" s="20"/>
      <c r="S192" s="20"/>
      <c r="T192" s="20"/>
      <c r="U192" s="20"/>
      <c r="V192" s="20"/>
      <c r="W192" s="20"/>
      <c r="X192" s="20"/>
      <c r="Y192" s="20"/>
      <c r="Z192" s="20"/>
      <c r="AA192" s="20"/>
      <c r="AB192" s="20"/>
      <c r="AC192" s="20"/>
      <c r="AD192" s="20"/>
      <c r="AE192" s="20"/>
      <c r="AF192" s="20"/>
    </row>
    <row r="193" spans="1:32">
      <c r="A193" s="20"/>
      <c r="B193" s="20"/>
      <c r="C193" s="20"/>
      <c r="D193" s="20"/>
      <c r="E193" s="20"/>
      <c r="F193" s="20"/>
      <c r="G193" s="20"/>
      <c r="H193" s="20"/>
      <c r="I193" s="20"/>
      <c r="J193" s="20"/>
      <c r="K193" s="20"/>
      <c r="L193" s="20"/>
      <c r="M193" s="20"/>
      <c r="N193" s="20"/>
      <c r="O193" s="20"/>
      <c r="P193" s="20"/>
      <c r="Q193" s="20"/>
      <c r="R193" s="20"/>
      <c r="S193" s="20"/>
      <c r="T193" s="20"/>
      <c r="U193" s="20"/>
      <c r="V193" s="20"/>
      <c r="W193" s="20"/>
      <c r="X193" s="20"/>
      <c r="Y193" s="20"/>
      <c r="Z193" s="20"/>
      <c r="AA193" s="20"/>
      <c r="AB193" s="20"/>
      <c r="AC193" s="20"/>
      <c r="AD193" s="20"/>
      <c r="AE193" s="20"/>
      <c r="AF193" s="20"/>
    </row>
    <row r="194" spans="1:32">
      <c r="A194" s="20"/>
      <c r="B194" s="20"/>
      <c r="C194" s="20"/>
      <c r="D194" s="20"/>
      <c r="E194" s="20"/>
      <c r="F194" s="20"/>
      <c r="G194" s="20"/>
      <c r="H194" s="20"/>
      <c r="I194" s="20"/>
      <c r="J194" s="20"/>
      <c r="K194" s="20"/>
      <c r="L194" s="20"/>
      <c r="M194" s="20"/>
      <c r="N194" s="20"/>
      <c r="O194" s="20"/>
      <c r="P194" s="20"/>
      <c r="Q194" s="20"/>
      <c r="R194" s="20"/>
      <c r="S194" s="20"/>
      <c r="T194" s="20"/>
      <c r="U194" s="20"/>
      <c r="V194" s="20"/>
      <c r="W194" s="20"/>
      <c r="X194" s="20"/>
      <c r="Y194" s="20"/>
      <c r="Z194" s="20"/>
      <c r="AA194" s="20"/>
      <c r="AB194" s="20"/>
      <c r="AC194" s="20"/>
      <c r="AD194" s="20"/>
      <c r="AE194" s="20"/>
      <c r="AF194" s="20"/>
    </row>
    <row r="195" spans="1:32">
      <c r="A195" s="20"/>
      <c r="B195" s="20"/>
      <c r="C195" s="20"/>
      <c r="D195" s="20"/>
      <c r="E195" s="20"/>
      <c r="F195" s="20"/>
      <c r="G195" s="20"/>
      <c r="H195" s="20"/>
      <c r="I195" s="20"/>
      <c r="J195" s="20"/>
      <c r="K195" s="20"/>
      <c r="L195" s="20"/>
      <c r="M195" s="20"/>
      <c r="N195" s="20"/>
      <c r="O195" s="20"/>
      <c r="P195" s="20"/>
      <c r="Q195" s="20"/>
      <c r="R195" s="20"/>
      <c r="S195" s="20"/>
      <c r="T195" s="20"/>
      <c r="U195" s="20"/>
      <c r="V195" s="20"/>
      <c r="W195" s="20"/>
      <c r="X195" s="20"/>
      <c r="Y195" s="20"/>
      <c r="Z195" s="20"/>
      <c r="AA195" s="20"/>
      <c r="AB195" s="20"/>
      <c r="AC195" s="20"/>
      <c r="AD195" s="20"/>
      <c r="AE195" s="20"/>
      <c r="AF195" s="20"/>
    </row>
    <row r="196" spans="1:32">
      <c r="A196" s="20"/>
      <c r="B196" s="20"/>
      <c r="C196" s="20"/>
      <c r="D196" s="20"/>
      <c r="E196" s="20"/>
      <c r="F196" s="20"/>
      <c r="G196" s="20"/>
      <c r="H196" s="20"/>
      <c r="I196" s="20"/>
      <c r="J196" s="20"/>
      <c r="K196" s="20"/>
      <c r="L196" s="20"/>
      <c r="M196" s="20"/>
      <c r="N196" s="20"/>
      <c r="O196" s="20"/>
      <c r="P196" s="20"/>
      <c r="Q196" s="20"/>
      <c r="R196" s="20"/>
      <c r="S196" s="20"/>
      <c r="T196" s="20"/>
      <c r="U196" s="20"/>
      <c r="V196" s="20"/>
      <c r="W196" s="20"/>
      <c r="X196" s="20"/>
      <c r="Y196" s="20"/>
      <c r="Z196" s="20"/>
      <c r="AA196" s="20"/>
      <c r="AB196" s="20"/>
      <c r="AC196" s="20"/>
      <c r="AD196" s="20"/>
      <c r="AE196" s="20"/>
      <c r="AF196" s="20"/>
    </row>
    <row r="197" spans="1:32">
      <c r="A197" s="20"/>
      <c r="B197" s="20"/>
      <c r="C197" s="20"/>
      <c r="D197" s="20"/>
      <c r="E197" s="20"/>
      <c r="F197" s="20"/>
      <c r="G197" s="20"/>
      <c r="H197" s="20"/>
      <c r="I197" s="20"/>
      <c r="J197" s="20"/>
      <c r="K197" s="20"/>
      <c r="L197" s="20"/>
      <c r="M197" s="20"/>
      <c r="N197" s="20"/>
      <c r="O197" s="20"/>
      <c r="P197" s="20"/>
      <c r="Q197" s="20"/>
      <c r="R197" s="20"/>
      <c r="S197" s="20"/>
      <c r="T197" s="20"/>
      <c r="U197" s="20"/>
      <c r="V197" s="20"/>
      <c r="W197" s="20"/>
      <c r="X197" s="20"/>
      <c r="Y197" s="20"/>
      <c r="Z197" s="20"/>
      <c r="AA197" s="20"/>
      <c r="AB197" s="20"/>
      <c r="AC197" s="20"/>
      <c r="AD197" s="20"/>
      <c r="AE197" s="20"/>
      <c r="AF197" s="20"/>
    </row>
    <row r="198" spans="1:32">
      <c r="A198" s="20"/>
      <c r="B198" s="20"/>
      <c r="C198" s="20"/>
      <c r="D198" s="20"/>
      <c r="E198" s="20"/>
      <c r="F198" s="20"/>
      <c r="G198" s="20"/>
      <c r="H198" s="20"/>
      <c r="I198" s="20"/>
      <c r="J198" s="20"/>
      <c r="K198" s="20"/>
      <c r="L198" s="20"/>
      <c r="M198" s="20"/>
      <c r="N198" s="20"/>
      <c r="O198" s="20"/>
      <c r="P198" s="20"/>
      <c r="Q198" s="20"/>
      <c r="R198" s="20"/>
      <c r="S198" s="20"/>
      <c r="T198" s="20"/>
      <c r="U198" s="20"/>
      <c r="V198" s="20"/>
      <c r="W198" s="20"/>
      <c r="X198" s="20"/>
      <c r="Y198" s="20"/>
      <c r="Z198" s="20"/>
      <c r="AA198" s="20"/>
      <c r="AB198" s="20"/>
      <c r="AC198" s="20"/>
      <c r="AD198" s="20"/>
      <c r="AE198" s="20"/>
      <c r="AF198" s="20"/>
    </row>
    <row r="199" spans="1:32">
      <c r="A199" s="20"/>
      <c r="B199" s="20"/>
      <c r="C199" s="20"/>
      <c r="D199" s="20"/>
      <c r="E199" s="20"/>
      <c r="F199" s="20"/>
      <c r="G199" s="20"/>
      <c r="H199" s="20"/>
      <c r="I199" s="20"/>
      <c r="J199" s="20"/>
      <c r="K199" s="20"/>
      <c r="L199" s="20"/>
      <c r="M199" s="20"/>
      <c r="N199" s="20"/>
      <c r="O199" s="20"/>
      <c r="P199" s="20"/>
      <c r="Q199" s="20"/>
      <c r="R199" s="20"/>
      <c r="S199" s="20"/>
      <c r="T199" s="20"/>
      <c r="U199" s="20"/>
      <c r="V199" s="20"/>
      <c r="W199" s="20"/>
      <c r="X199" s="20"/>
      <c r="Y199" s="20"/>
      <c r="Z199" s="20"/>
      <c r="AA199" s="20"/>
      <c r="AB199" s="20"/>
      <c r="AC199" s="20"/>
      <c r="AD199" s="20"/>
      <c r="AE199" s="20"/>
      <c r="AF199" s="20"/>
    </row>
    <row r="200" spans="1:32">
      <c r="A200" s="20"/>
      <c r="B200" s="20"/>
      <c r="C200" s="20"/>
      <c r="D200" s="20"/>
      <c r="E200" s="20"/>
      <c r="F200" s="20"/>
      <c r="G200" s="20"/>
      <c r="H200" s="20"/>
      <c r="I200" s="20"/>
      <c r="J200" s="20"/>
      <c r="K200" s="20"/>
      <c r="L200" s="20"/>
      <c r="M200" s="20"/>
      <c r="N200" s="20"/>
      <c r="O200" s="20"/>
      <c r="P200" s="20"/>
      <c r="Q200" s="20"/>
      <c r="R200" s="20"/>
      <c r="S200" s="20"/>
      <c r="T200" s="20"/>
      <c r="U200" s="20"/>
    </row>
    <row r="201" spans="1:32">
      <c r="A201" s="20"/>
      <c r="B201" s="20"/>
      <c r="C201" s="20"/>
      <c r="D201" s="20"/>
      <c r="E201" s="20"/>
      <c r="F201" s="20"/>
      <c r="G201" s="20"/>
      <c r="H201" s="20"/>
      <c r="I201" s="20"/>
      <c r="J201" s="20"/>
      <c r="K201" s="20"/>
      <c r="L201" s="20"/>
      <c r="M201" s="20"/>
      <c r="N201" s="20"/>
      <c r="O201" s="20"/>
      <c r="P201" s="20"/>
      <c r="Q201" s="20"/>
      <c r="R201" s="20"/>
      <c r="S201" s="20"/>
      <c r="T201" s="20"/>
      <c r="U201" s="20"/>
    </row>
    <row r="202" spans="1:32">
      <c r="A202" s="20"/>
      <c r="B202" s="20"/>
      <c r="C202" s="20"/>
      <c r="D202" s="20"/>
      <c r="E202" s="20"/>
      <c r="F202" s="20"/>
      <c r="G202" s="20"/>
      <c r="H202" s="20"/>
      <c r="I202" s="20"/>
      <c r="J202" s="20"/>
      <c r="K202" s="20"/>
      <c r="L202" s="20"/>
      <c r="M202" s="20"/>
      <c r="N202" s="20"/>
      <c r="O202" s="20"/>
      <c r="P202" s="20"/>
      <c r="Q202" s="20"/>
      <c r="R202" s="20"/>
      <c r="S202" s="20"/>
      <c r="T202" s="20"/>
      <c r="U202" s="20"/>
    </row>
    <row r="203" spans="1:32">
      <c r="A203" s="20"/>
      <c r="B203" s="20"/>
      <c r="C203" s="20"/>
      <c r="D203" s="20"/>
      <c r="E203" s="20"/>
      <c r="F203" s="20"/>
      <c r="G203" s="20"/>
      <c r="H203" s="20"/>
      <c r="I203" s="20"/>
      <c r="J203" s="20"/>
      <c r="K203" s="20"/>
      <c r="L203" s="20"/>
      <c r="M203" s="20"/>
      <c r="N203" s="20"/>
      <c r="O203" s="20"/>
      <c r="P203" s="20"/>
      <c r="Q203" s="20"/>
      <c r="R203" s="20"/>
      <c r="S203" s="20"/>
      <c r="T203" s="20"/>
      <c r="U203" s="20"/>
    </row>
    <row r="204" spans="1:32">
      <c r="A204" s="20"/>
      <c r="B204" s="20"/>
      <c r="C204" s="20"/>
      <c r="D204" s="20"/>
      <c r="E204" s="20"/>
      <c r="F204" s="20"/>
      <c r="G204" s="20"/>
      <c r="H204" s="20"/>
      <c r="I204" s="20"/>
      <c r="J204" s="20"/>
      <c r="K204" s="20"/>
      <c r="L204" s="20"/>
      <c r="M204" s="20"/>
      <c r="N204" s="20"/>
      <c r="O204" s="20"/>
      <c r="P204" s="20"/>
      <c r="Q204" s="20"/>
      <c r="R204" s="20"/>
      <c r="S204" s="20"/>
      <c r="T204" s="20"/>
      <c r="U204" s="20"/>
    </row>
    <row r="205" spans="1:32">
      <c r="A205" s="20"/>
      <c r="B205" s="20"/>
      <c r="C205" s="20"/>
      <c r="D205" s="20"/>
      <c r="E205" s="20"/>
      <c r="F205" s="20"/>
      <c r="G205" s="20"/>
      <c r="H205" s="20"/>
      <c r="I205" s="20"/>
      <c r="J205" s="20"/>
      <c r="K205" s="20"/>
      <c r="L205" s="20"/>
      <c r="M205" s="20"/>
      <c r="N205" s="20"/>
      <c r="O205" s="20"/>
      <c r="P205" s="20"/>
      <c r="Q205" s="20"/>
      <c r="R205" s="20"/>
      <c r="S205" s="20"/>
      <c r="T205" s="20"/>
      <c r="U205" s="20"/>
    </row>
    <row r="206" spans="1:32">
      <c r="A206" s="20"/>
      <c r="B206" s="20"/>
      <c r="C206" s="20"/>
      <c r="D206" s="20"/>
      <c r="E206" s="20"/>
      <c r="F206" s="20"/>
      <c r="G206" s="20"/>
      <c r="H206" s="20"/>
      <c r="I206" s="20"/>
      <c r="J206" s="20"/>
      <c r="K206" s="20"/>
      <c r="L206" s="20"/>
      <c r="M206" s="20"/>
      <c r="N206" s="20"/>
      <c r="O206" s="20"/>
      <c r="P206" s="20"/>
      <c r="Q206" s="20"/>
      <c r="R206" s="20"/>
      <c r="S206" s="20"/>
      <c r="T206" s="20"/>
      <c r="U206" s="20"/>
    </row>
    <row r="207" spans="1:32">
      <c r="A207" s="20"/>
      <c r="B207" s="20"/>
      <c r="C207" s="20"/>
      <c r="D207" s="20"/>
      <c r="E207" s="20"/>
      <c r="F207" s="20"/>
      <c r="G207" s="20"/>
      <c r="H207" s="20"/>
      <c r="I207" s="20"/>
      <c r="J207" s="20"/>
      <c r="K207" s="20"/>
      <c r="L207" s="20"/>
      <c r="M207" s="20"/>
      <c r="N207" s="20"/>
      <c r="O207" s="20"/>
      <c r="P207" s="20"/>
      <c r="Q207" s="20"/>
      <c r="R207" s="20"/>
      <c r="S207" s="20"/>
      <c r="T207" s="20"/>
      <c r="U207" s="20"/>
    </row>
    <row r="208" spans="1:32">
      <c r="A208" s="20"/>
      <c r="B208" s="20"/>
      <c r="C208" s="20"/>
      <c r="D208" s="20"/>
      <c r="E208" s="20"/>
      <c r="F208" s="20"/>
      <c r="G208" s="20"/>
      <c r="H208" s="20"/>
      <c r="I208" s="20"/>
      <c r="J208" s="20"/>
      <c r="K208" s="20"/>
      <c r="L208" s="20"/>
      <c r="M208" s="20"/>
      <c r="N208" s="20"/>
      <c r="O208" s="20"/>
      <c r="P208" s="20"/>
      <c r="Q208" s="20"/>
      <c r="R208" s="20"/>
      <c r="S208" s="20"/>
      <c r="T208" s="20"/>
      <c r="U208" s="20"/>
    </row>
    <row r="209" spans="1:21">
      <c r="A209" s="20"/>
      <c r="B209" s="20"/>
      <c r="C209" s="20"/>
      <c r="D209" s="20"/>
      <c r="E209" s="20"/>
      <c r="F209" s="20"/>
      <c r="G209" s="20"/>
      <c r="H209" s="20"/>
      <c r="I209" s="20"/>
      <c r="J209" s="20"/>
      <c r="K209" s="20"/>
      <c r="L209" s="20"/>
      <c r="M209" s="20"/>
      <c r="N209" s="20"/>
      <c r="O209" s="20"/>
      <c r="P209" s="20"/>
      <c r="Q209" s="20"/>
      <c r="R209" s="20"/>
      <c r="S209" s="20"/>
      <c r="T209" s="20"/>
      <c r="U209" s="20"/>
    </row>
    <row r="210" spans="1:21">
      <c r="A210" s="20"/>
      <c r="B210" s="20"/>
      <c r="C210" s="20"/>
      <c r="D210" s="20"/>
      <c r="E210" s="20"/>
      <c r="F210" s="20"/>
      <c r="G210" s="20"/>
      <c r="H210" s="20"/>
      <c r="I210" s="20"/>
      <c r="J210" s="20"/>
      <c r="K210" s="20"/>
      <c r="L210" s="20"/>
      <c r="M210" s="20"/>
      <c r="N210" s="20"/>
      <c r="O210" s="20"/>
      <c r="P210" s="20"/>
      <c r="Q210" s="20"/>
      <c r="R210" s="20"/>
      <c r="S210" s="20"/>
      <c r="T210" s="20"/>
      <c r="U210" s="20"/>
    </row>
    <row r="211" spans="1:21">
      <c r="A211" s="20"/>
      <c r="B211" s="20"/>
      <c r="C211" s="20"/>
      <c r="D211" s="20"/>
      <c r="E211" s="20"/>
      <c r="F211" s="20"/>
      <c r="G211" s="20"/>
      <c r="H211" s="20"/>
      <c r="I211" s="20"/>
      <c r="J211" s="20"/>
      <c r="K211" s="20"/>
      <c r="L211" s="20"/>
      <c r="M211" s="20"/>
      <c r="N211" s="20"/>
      <c r="O211" s="20"/>
      <c r="P211" s="20"/>
      <c r="Q211" s="20"/>
      <c r="R211" s="20"/>
      <c r="S211" s="20"/>
      <c r="T211" s="20"/>
      <c r="U211" s="20"/>
    </row>
    <row r="212" spans="1:21">
      <c r="A212" s="20"/>
      <c r="B212" s="20"/>
      <c r="C212" s="20"/>
      <c r="D212" s="20"/>
      <c r="E212" s="20"/>
      <c r="F212" s="20"/>
      <c r="G212" s="20"/>
      <c r="H212" s="20"/>
      <c r="I212" s="20"/>
      <c r="J212" s="20"/>
      <c r="K212" s="20"/>
      <c r="L212" s="20"/>
      <c r="M212" s="20"/>
      <c r="N212" s="20"/>
      <c r="O212" s="20"/>
      <c r="P212" s="20"/>
      <c r="Q212" s="20"/>
      <c r="R212" s="20"/>
      <c r="S212" s="20"/>
      <c r="T212" s="20"/>
      <c r="U212" s="20"/>
    </row>
    <row r="213" spans="1:21">
      <c r="A213" s="20"/>
      <c r="B213" s="20"/>
      <c r="C213" s="20"/>
      <c r="D213" s="20"/>
      <c r="E213" s="20"/>
      <c r="F213" s="20"/>
      <c r="G213" s="20"/>
      <c r="H213" s="20"/>
      <c r="I213" s="20"/>
      <c r="J213" s="20"/>
      <c r="K213" s="20"/>
      <c r="L213" s="20"/>
      <c r="M213" s="20"/>
      <c r="N213" s="20"/>
      <c r="O213" s="20"/>
      <c r="P213" s="20"/>
      <c r="Q213" s="20"/>
      <c r="R213" s="20"/>
      <c r="S213" s="20"/>
      <c r="T213" s="20"/>
      <c r="U213" s="20"/>
    </row>
    <row r="214" spans="1:21">
      <c r="A214" s="20"/>
      <c r="B214" s="20"/>
      <c r="C214" s="20"/>
      <c r="D214" s="20"/>
      <c r="E214" s="20"/>
      <c r="F214" s="20"/>
      <c r="G214" s="20"/>
      <c r="H214" s="20"/>
      <c r="I214" s="20"/>
      <c r="J214" s="20"/>
      <c r="K214" s="20"/>
      <c r="L214" s="20"/>
      <c r="M214" s="20"/>
      <c r="N214" s="20"/>
      <c r="O214" s="20"/>
      <c r="P214" s="20"/>
      <c r="Q214" s="20"/>
      <c r="R214" s="20"/>
      <c r="S214" s="20"/>
      <c r="T214" s="20"/>
      <c r="U214" s="20"/>
    </row>
    <row r="215" spans="1:21">
      <c r="A215" s="20"/>
      <c r="B215" s="20"/>
      <c r="C215" s="20"/>
      <c r="D215" s="20"/>
      <c r="E215" s="20"/>
      <c r="F215" s="20"/>
      <c r="G215" s="20"/>
      <c r="H215" s="20"/>
      <c r="I215" s="20"/>
      <c r="J215" s="20"/>
      <c r="K215" s="20"/>
      <c r="L215" s="20"/>
      <c r="M215" s="20"/>
      <c r="N215" s="20"/>
      <c r="O215" s="20"/>
      <c r="P215" s="20"/>
      <c r="Q215" s="20"/>
      <c r="R215" s="20"/>
      <c r="S215" s="20"/>
      <c r="T215" s="20"/>
      <c r="U215" s="20"/>
    </row>
    <row r="216" spans="1:21">
      <c r="A216" s="20"/>
      <c r="B216" s="20"/>
      <c r="C216" s="20"/>
      <c r="D216" s="20"/>
      <c r="E216" s="20"/>
      <c r="F216" s="20"/>
      <c r="G216" s="20"/>
      <c r="H216" s="20"/>
      <c r="I216" s="20"/>
      <c r="J216" s="20"/>
      <c r="K216" s="20"/>
      <c r="L216" s="20"/>
      <c r="M216" s="20"/>
      <c r="N216" s="20"/>
      <c r="O216" s="20"/>
      <c r="P216" s="20"/>
      <c r="Q216" s="20"/>
      <c r="R216" s="20"/>
      <c r="S216" s="20"/>
      <c r="T216" s="20"/>
      <c r="U216" s="20"/>
    </row>
    <row r="217" spans="1:21">
      <c r="A217" s="20"/>
      <c r="B217" s="20"/>
      <c r="C217" s="20"/>
      <c r="D217" s="20"/>
      <c r="E217" s="20"/>
      <c r="F217" s="20"/>
      <c r="G217" s="20"/>
      <c r="H217" s="20"/>
      <c r="I217" s="20"/>
      <c r="J217" s="20"/>
      <c r="K217" s="20"/>
      <c r="L217" s="20"/>
      <c r="M217" s="20"/>
      <c r="N217" s="20"/>
      <c r="O217" s="20"/>
      <c r="P217" s="20"/>
      <c r="Q217" s="20"/>
      <c r="R217" s="20"/>
      <c r="S217" s="20"/>
      <c r="T217" s="20"/>
      <c r="U217" s="20"/>
    </row>
    <row r="218" spans="1:21">
      <c r="A218" s="20"/>
      <c r="B218" s="20"/>
      <c r="C218" s="20"/>
      <c r="D218" s="20"/>
      <c r="E218" s="20"/>
      <c r="F218" s="20"/>
      <c r="G218" s="20"/>
      <c r="H218" s="20"/>
      <c r="I218" s="20"/>
      <c r="J218" s="20"/>
      <c r="K218" s="20"/>
      <c r="L218" s="20"/>
      <c r="M218" s="20"/>
      <c r="N218" s="20"/>
      <c r="O218" s="20"/>
      <c r="P218" s="20"/>
      <c r="Q218" s="20"/>
      <c r="R218" s="20"/>
      <c r="S218" s="20"/>
      <c r="T218" s="20"/>
      <c r="U218" s="20"/>
    </row>
    <row r="219" spans="1:21">
      <c r="A219" s="20"/>
      <c r="B219" s="20"/>
      <c r="C219" s="20"/>
      <c r="D219" s="20"/>
      <c r="E219" s="20"/>
      <c r="F219" s="20"/>
      <c r="G219" s="20"/>
      <c r="H219" s="20"/>
      <c r="I219" s="20"/>
      <c r="J219" s="20"/>
      <c r="K219" s="20"/>
      <c r="L219" s="20"/>
      <c r="M219" s="20"/>
      <c r="N219" s="20"/>
      <c r="O219" s="20"/>
      <c r="P219" s="20"/>
      <c r="Q219" s="20"/>
      <c r="R219" s="20"/>
      <c r="S219" s="20"/>
      <c r="T219" s="20"/>
      <c r="U219" s="20"/>
    </row>
    <row r="220" spans="1:21">
      <c r="A220" s="20"/>
      <c r="B220" s="20"/>
      <c r="C220" s="20"/>
      <c r="D220" s="20"/>
      <c r="E220" s="20"/>
      <c r="F220" s="20"/>
      <c r="G220" s="20"/>
      <c r="H220" s="20"/>
      <c r="I220" s="20"/>
      <c r="J220" s="20"/>
      <c r="K220" s="20"/>
      <c r="L220" s="20"/>
      <c r="M220" s="20"/>
      <c r="N220" s="20"/>
      <c r="O220" s="20"/>
      <c r="P220" s="20"/>
      <c r="Q220" s="20"/>
      <c r="R220" s="20"/>
      <c r="S220" s="20"/>
      <c r="T220" s="20"/>
      <c r="U220" s="20"/>
    </row>
    <row r="221" spans="1:21">
      <c r="A221" s="20"/>
      <c r="B221" s="20"/>
      <c r="C221" s="20"/>
      <c r="D221" s="20"/>
      <c r="E221" s="20"/>
      <c r="F221" s="20"/>
      <c r="G221" s="20"/>
      <c r="H221" s="20"/>
      <c r="I221" s="20"/>
      <c r="J221" s="20"/>
      <c r="K221" s="20"/>
      <c r="L221" s="20"/>
      <c r="M221" s="20"/>
      <c r="N221" s="20"/>
      <c r="O221" s="20"/>
      <c r="P221" s="20"/>
      <c r="Q221" s="20"/>
      <c r="R221" s="20"/>
      <c r="S221" s="20"/>
      <c r="T221" s="20"/>
      <c r="U221" s="20"/>
    </row>
    <row r="222" spans="1:21">
      <c r="A222" s="20"/>
      <c r="B222" s="20"/>
      <c r="C222" s="20"/>
      <c r="D222" s="20"/>
      <c r="E222" s="20"/>
      <c r="F222" s="20"/>
      <c r="G222" s="20"/>
      <c r="H222" s="20"/>
      <c r="I222" s="20"/>
      <c r="J222" s="20"/>
      <c r="K222" s="20"/>
      <c r="L222" s="20"/>
      <c r="M222" s="20"/>
      <c r="N222" s="20"/>
      <c r="O222" s="20"/>
      <c r="P222" s="20"/>
      <c r="Q222" s="20"/>
      <c r="R222" s="20"/>
      <c r="S222" s="20"/>
      <c r="T222" s="20"/>
      <c r="U222" s="20"/>
    </row>
    <row r="223" spans="1:21">
      <c r="A223" s="20"/>
      <c r="B223" s="20"/>
      <c r="C223" s="20"/>
      <c r="D223" s="20"/>
      <c r="E223" s="20"/>
      <c r="F223" s="20"/>
      <c r="G223" s="20"/>
      <c r="H223" s="20"/>
      <c r="I223" s="20"/>
      <c r="J223" s="20"/>
      <c r="K223" s="20"/>
      <c r="L223" s="20"/>
      <c r="M223" s="20"/>
      <c r="N223" s="20"/>
      <c r="O223" s="20"/>
      <c r="P223" s="20"/>
      <c r="Q223" s="20"/>
      <c r="R223" s="20"/>
      <c r="S223" s="20"/>
      <c r="T223" s="20"/>
      <c r="U223" s="20"/>
    </row>
    <row r="224" spans="1:21">
      <c r="A224" s="20"/>
      <c r="B224" s="20"/>
      <c r="C224" s="20"/>
      <c r="D224" s="20"/>
      <c r="E224" s="20"/>
      <c r="F224" s="20"/>
      <c r="G224" s="20"/>
      <c r="H224" s="20"/>
      <c r="I224" s="20"/>
      <c r="J224" s="20"/>
      <c r="K224" s="20"/>
      <c r="L224" s="20"/>
      <c r="M224" s="20"/>
      <c r="N224" s="20"/>
      <c r="O224" s="20"/>
      <c r="P224" s="20"/>
      <c r="Q224" s="20"/>
      <c r="R224" s="20"/>
      <c r="S224" s="20"/>
      <c r="T224" s="20"/>
      <c r="U224" s="20"/>
    </row>
    <row r="225" spans="1:21">
      <c r="A225" s="20"/>
      <c r="B225" s="20"/>
      <c r="C225" s="20"/>
      <c r="D225" s="20"/>
      <c r="E225" s="20"/>
      <c r="F225" s="20"/>
      <c r="G225" s="20"/>
      <c r="H225" s="20"/>
      <c r="I225" s="20"/>
      <c r="J225" s="20"/>
      <c r="K225" s="20"/>
      <c r="L225" s="20"/>
      <c r="M225" s="20"/>
      <c r="N225" s="20"/>
      <c r="O225" s="20"/>
      <c r="P225" s="20"/>
      <c r="Q225" s="20"/>
      <c r="R225" s="20"/>
      <c r="S225" s="20"/>
      <c r="T225" s="20"/>
      <c r="U225" s="20"/>
    </row>
    <row r="226" spans="1:21">
      <c r="A226" s="20"/>
      <c r="B226" s="20"/>
      <c r="C226" s="20"/>
      <c r="D226" s="20"/>
      <c r="E226" s="20"/>
      <c r="F226" s="20"/>
      <c r="G226" s="20"/>
      <c r="H226" s="20"/>
      <c r="I226" s="20"/>
      <c r="J226" s="20"/>
      <c r="K226" s="20"/>
      <c r="L226" s="20"/>
      <c r="M226" s="20"/>
      <c r="N226" s="20"/>
      <c r="O226" s="20"/>
      <c r="P226" s="20"/>
      <c r="Q226" s="20"/>
      <c r="R226" s="20"/>
      <c r="S226" s="20"/>
      <c r="T226" s="20"/>
      <c r="U226" s="20"/>
    </row>
    <row r="227" spans="1:21">
      <c r="A227" s="20"/>
      <c r="B227" s="20"/>
      <c r="C227" s="20"/>
      <c r="D227" s="20"/>
      <c r="E227" s="20"/>
      <c r="F227" s="20"/>
      <c r="G227" s="20"/>
      <c r="H227" s="20"/>
      <c r="I227" s="20"/>
      <c r="J227" s="20"/>
      <c r="K227" s="20"/>
      <c r="L227" s="20"/>
      <c r="M227" s="20"/>
      <c r="N227" s="20"/>
      <c r="O227" s="20"/>
      <c r="P227" s="20"/>
      <c r="Q227" s="20"/>
      <c r="R227" s="20"/>
      <c r="S227" s="20"/>
      <c r="T227" s="20"/>
      <c r="U227" s="20"/>
    </row>
    <row r="228" spans="1:21">
      <c r="A228" s="20"/>
      <c r="B228" s="20"/>
      <c r="C228" s="20"/>
      <c r="D228" s="20"/>
      <c r="E228" s="20"/>
      <c r="F228" s="20"/>
      <c r="G228" s="20"/>
      <c r="H228" s="20"/>
      <c r="I228" s="20"/>
      <c r="J228" s="20"/>
      <c r="K228" s="20"/>
      <c r="L228" s="20"/>
      <c r="M228" s="20"/>
      <c r="N228" s="20"/>
      <c r="O228" s="20"/>
      <c r="P228" s="20"/>
      <c r="Q228" s="20"/>
      <c r="R228" s="20"/>
      <c r="S228" s="20"/>
      <c r="T228" s="20"/>
      <c r="U228" s="20"/>
    </row>
    <row r="229" spans="1:21">
      <c r="A229" s="20"/>
      <c r="B229" s="20"/>
      <c r="C229" s="20"/>
      <c r="D229" s="20"/>
      <c r="E229" s="20"/>
      <c r="F229" s="20"/>
      <c r="G229" s="20"/>
      <c r="H229" s="20"/>
      <c r="I229" s="20"/>
      <c r="J229" s="20"/>
      <c r="K229" s="20"/>
      <c r="L229" s="20"/>
      <c r="M229" s="20"/>
      <c r="N229" s="20"/>
      <c r="O229" s="20"/>
      <c r="P229" s="20"/>
      <c r="Q229" s="20"/>
      <c r="R229" s="20"/>
      <c r="S229" s="20"/>
      <c r="T229" s="20"/>
      <c r="U229" s="20"/>
    </row>
    <row r="230" spans="1:21">
      <c r="A230" s="20"/>
      <c r="B230" s="20"/>
      <c r="C230" s="20"/>
      <c r="D230" s="20"/>
      <c r="E230" s="20"/>
      <c r="F230" s="20"/>
      <c r="G230" s="20"/>
      <c r="H230" s="20"/>
      <c r="I230" s="20"/>
      <c r="J230" s="20"/>
      <c r="K230" s="20"/>
      <c r="L230" s="20"/>
      <c r="M230" s="20"/>
      <c r="N230" s="20"/>
      <c r="O230" s="20"/>
      <c r="P230" s="20"/>
      <c r="Q230" s="20"/>
      <c r="R230" s="20"/>
      <c r="S230" s="20"/>
      <c r="T230" s="20"/>
      <c r="U230" s="20"/>
    </row>
  </sheetData>
  <sheetProtection algorithmName="SHA-512" hashValue="nll/1oK9kUUdhjVJJPur4kigd+Q4RTQ+2AgC6v5sK0xxpQdZ2iMHV26oltxfSpz4kfpkS8jCTCEDbte8fdNydg==" saltValue="dM8AoXFIWEpWMYeRYITwiw==" spinCount="100000" sheet="1" selectLockedCells="1"/>
  <mergeCells count="18">
    <mergeCell ref="B12:D12"/>
    <mergeCell ref="F12:H12"/>
    <mergeCell ref="E7:H7"/>
    <mergeCell ref="E9:H9"/>
    <mergeCell ref="P20:R20"/>
    <mergeCell ref="P16:R16"/>
    <mergeCell ref="R7:T7"/>
    <mergeCell ref="P14:Q14"/>
    <mergeCell ref="V52:W52"/>
    <mergeCell ref="P40:R40"/>
    <mergeCell ref="P48:R48"/>
    <mergeCell ref="H3:P4"/>
    <mergeCell ref="P23:R23"/>
    <mergeCell ref="L12:N12"/>
    <mergeCell ref="R12:T12"/>
    <mergeCell ref="P34:R34"/>
    <mergeCell ref="E14:J14"/>
    <mergeCell ref="P37:R37"/>
  </mergeCells>
  <phoneticPr fontId="2" type="noConversion"/>
  <conditionalFormatting sqref="B11">
    <cfRule type="expression" dxfId="73" priority="5" stopIfTrue="1">
      <formula>$B$11</formula>
    </cfRule>
  </conditionalFormatting>
  <conditionalFormatting sqref="D11">
    <cfRule type="expression" dxfId="72" priority="6" stopIfTrue="1">
      <formula>$D$11</formula>
    </cfRule>
  </conditionalFormatting>
  <conditionalFormatting sqref="F11">
    <cfRule type="expression" dxfId="71" priority="7" stopIfTrue="1">
      <formula>$F$11</formula>
    </cfRule>
  </conditionalFormatting>
  <conditionalFormatting sqref="H11">
    <cfRule type="expression" dxfId="70" priority="8" stopIfTrue="1">
      <formula>$H$11</formula>
    </cfRule>
  </conditionalFormatting>
  <conditionalFormatting sqref="L11">
    <cfRule type="expression" dxfId="69" priority="9" stopIfTrue="1">
      <formula>$L$11</formula>
    </cfRule>
  </conditionalFormatting>
  <conditionalFormatting sqref="N11">
    <cfRule type="expression" dxfId="68" priority="10" stopIfTrue="1">
      <formula>$N$11</formula>
    </cfRule>
  </conditionalFormatting>
  <conditionalFormatting sqref="P28 P30">
    <cfRule type="cellIs" dxfId="67" priority="4" stopIfTrue="1" operator="equal">
      <formula>0</formula>
    </cfRule>
  </conditionalFormatting>
  <conditionalFormatting sqref="P20:R20">
    <cfRule type="expression" dxfId="66" priority="13" stopIfTrue="1">
      <formula>$P$20</formula>
    </cfRule>
  </conditionalFormatting>
  <conditionalFormatting sqref="P34:R34 P37:R37">
    <cfRule type="cellIs" dxfId="65" priority="3" stopIfTrue="1" operator="equal">
      <formula>0</formula>
    </cfRule>
  </conditionalFormatting>
  <conditionalFormatting sqref="P48:R48">
    <cfRule type="expression" dxfId="64" priority="14" stopIfTrue="1">
      <formula>$P$48</formula>
    </cfRule>
  </conditionalFormatting>
  <conditionalFormatting sqref="R11">
    <cfRule type="expression" dxfId="63" priority="11" stopIfTrue="1">
      <formula>$R$11</formula>
    </cfRule>
  </conditionalFormatting>
  <conditionalFormatting sqref="T11">
    <cfRule type="expression" dxfId="62" priority="12" stopIfTrue="1">
      <formula>$T$11</formula>
    </cfRule>
  </conditionalFormatting>
  <conditionalFormatting sqref="A1:AF230">
    <cfRule type="expression" dxfId="61" priority="2" stopIfTrue="1">
      <formula>AND(A1&lt;&gt;"",OR(A1=0,A1="0"))</formula>
    </cfRule>
  </conditionalFormatting>
  <hyperlinks>
    <hyperlink ref="V52:W52" location="HTAE!I1" display="Ir a HTAE" xr:uid="{00000000-0004-0000-0A00-000000000000}"/>
  </hyperlinks>
  <pageMargins left="0.78740157480314965" right="0.4" top="0.98425196850393704" bottom="0.98425196850393704" header="0.55118110236220474" footer="0"/>
  <pageSetup scale="99" orientation="portrait" blackAndWhite="1" horizontalDpi="4294967292" verticalDpi="4294967292" r:id="rId1"/>
  <headerFooter alignWithMargins="0">
    <oddHeader xml:space="preserve">&amp;LPREFECTURA NAVAL ARGENTINA
</oddHeader>
  </headerFooter>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Hoja13"/>
  <dimension ref="A1:AC298"/>
  <sheetViews>
    <sheetView tabSelected="1" topLeftCell="A19" zoomScale="115" zoomScaleNormal="115" zoomScaleSheetLayoutView="80" workbookViewId="0">
      <selection activeCell="U27" sqref="U27:V27"/>
    </sheetView>
  </sheetViews>
  <sheetFormatPr baseColWidth="10" defaultRowHeight="13.2"/>
  <cols>
    <col min="1" max="2" width="5.6640625" customWidth="1"/>
    <col min="3" max="3" width="1.5546875" customWidth="1"/>
    <col min="4" max="4" width="5.44140625" customWidth="1"/>
    <col min="5" max="5" width="5" customWidth="1"/>
    <col min="6" max="6" width="5.6640625" customWidth="1"/>
    <col min="7" max="7" width="5.44140625" customWidth="1"/>
    <col min="8" max="8" width="5.6640625" customWidth="1"/>
    <col min="9" max="9" width="7" customWidth="1"/>
    <col min="10" max="10" width="5.6640625" customWidth="1"/>
    <col min="11" max="11" width="2.5546875" customWidth="1"/>
    <col min="12" max="12" width="6.109375" customWidth="1"/>
    <col min="13" max="13" width="2.33203125" customWidth="1"/>
    <col min="14" max="14" width="6.109375" customWidth="1"/>
    <col min="15" max="15" width="4" customWidth="1"/>
    <col min="16" max="16" width="5.6640625" customWidth="1"/>
    <col min="17" max="17" width="1.109375" customWidth="1"/>
    <col min="18" max="18" width="5.6640625" customWidth="1"/>
    <col min="19" max="19" width="5.5546875" customWidth="1"/>
    <col min="20" max="20" width="5.6640625" customWidth="1"/>
    <col min="21" max="21" width="5" customWidth="1"/>
  </cols>
  <sheetData>
    <row r="1" spans="1:29" ht="13.8" thickBot="1">
      <c r="A1" s="3"/>
      <c r="B1" s="3"/>
      <c r="C1" s="3"/>
      <c r="D1" s="3"/>
      <c r="E1" s="3"/>
      <c r="F1" s="3"/>
      <c r="G1" s="3"/>
      <c r="H1" s="3"/>
      <c r="I1" s="90"/>
      <c r="J1" s="3"/>
      <c r="K1" s="3"/>
      <c r="L1" s="3"/>
      <c r="M1" s="3"/>
      <c r="N1" s="3"/>
      <c r="O1" s="3"/>
      <c r="P1" s="3"/>
      <c r="Q1" s="3"/>
      <c r="R1" s="3"/>
      <c r="S1" s="3"/>
      <c r="T1" s="20"/>
      <c r="U1" s="20"/>
      <c r="V1" s="20"/>
      <c r="W1" s="20"/>
      <c r="X1" s="20"/>
      <c r="Y1" s="20"/>
      <c r="Z1" s="20"/>
      <c r="AA1" s="20"/>
      <c r="AB1" s="20"/>
      <c r="AC1" s="20"/>
    </row>
    <row r="2" spans="1:29" ht="13.8" thickTop="1">
      <c r="A2" s="192"/>
      <c r="B2" s="191"/>
      <c r="C2" s="191"/>
      <c r="D2" s="191"/>
      <c r="E2" s="191"/>
      <c r="F2" s="191"/>
      <c r="G2" s="191"/>
      <c r="H2" s="191"/>
      <c r="I2" s="191"/>
      <c r="J2" s="191"/>
      <c r="K2" s="191"/>
      <c r="L2" s="191"/>
      <c r="M2" s="191"/>
      <c r="N2" s="191"/>
      <c r="O2" s="191"/>
      <c r="P2" s="191"/>
      <c r="Q2" s="191"/>
      <c r="R2" s="191"/>
      <c r="S2" s="200"/>
      <c r="T2" s="20"/>
      <c r="U2" s="20"/>
      <c r="V2" s="20"/>
      <c r="W2" s="20"/>
      <c r="X2" s="20"/>
      <c r="Y2" s="20"/>
      <c r="Z2" s="20"/>
      <c r="AA2" s="20"/>
      <c r="AB2" s="20"/>
      <c r="AC2" s="20"/>
    </row>
    <row r="3" spans="1:29">
      <c r="A3" s="259" t="s">
        <v>237</v>
      </c>
      <c r="B3" s="168"/>
      <c r="C3" s="168"/>
      <c r="D3" s="168"/>
      <c r="E3" s="168"/>
      <c r="F3" s="168"/>
      <c r="G3" s="168"/>
      <c r="H3" s="168"/>
      <c r="I3" s="168"/>
      <c r="J3" s="168"/>
      <c r="K3" s="168"/>
      <c r="L3" s="168"/>
      <c r="M3" s="168"/>
      <c r="N3" s="168"/>
      <c r="O3" s="168"/>
      <c r="P3" s="168"/>
      <c r="Q3" s="168"/>
      <c r="R3" s="168"/>
      <c r="S3" s="201"/>
      <c r="T3" s="20"/>
      <c r="U3" s="20"/>
      <c r="V3" s="20"/>
      <c r="W3" s="20"/>
      <c r="X3" s="20"/>
      <c r="Y3" s="20"/>
      <c r="Z3" s="20"/>
      <c r="AA3" s="20"/>
      <c r="AB3" s="20"/>
      <c r="AC3" s="20"/>
    </row>
    <row r="4" spans="1:29">
      <c r="A4" s="368" t="s">
        <v>238</v>
      </c>
      <c r="B4" s="369"/>
      <c r="C4" s="369"/>
      <c r="D4" s="369"/>
      <c r="E4" s="369"/>
      <c r="F4" s="369"/>
      <c r="G4" s="369"/>
      <c r="H4" s="369"/>
      <c r="I4" s="369"/>
      <c r="J4" s="369"/>
      <c r="K4" s="369"/>
      <c r="L4" s="369"/>
      <c r="M4" s="369"/>
      <c r="N4" s="369"/>
      <c r="O4" s="369"/>
      <c r="P4" s="369"/>
      <c r="Q4" s="369"/>
      <c r="R4" s="369"/>
      <c r="S4" s="370"/>
      <c r="T4" s="20"/>
      <c r="U4" s="20"/>
      <c r="V4" s="20"/>
      <c r="W4" s="20"/>
      <c r="X4" s="20"/>
      <c r="Y4" s="20"/>
      <c r="Z4" s="20"/>
      <c r="AA4" s="20"/>
      <c r="AB4" s="20"/>
      <c r="AC4" s="20"/>
    </row>
    <row r="5" spans="1:29">
      <c r="A5" s="193"/>
      <c r="B5" s="168"/>
      <c r="C5" s="168"/>
      <c r="D5" s="168"/>
      <c r="E5" s="168"/>
      <c r="F5" s="168"/>
      <c r="G5" s="168"/>
      <c r="H5" s="168"/>
      <c r="I5" s="168"/>
      <c r="J5" s="168"/>
      <c r="K5" s="168"/>
      <c r="L5" s="168"/>
      <c r="M5" s="168"/>
      <c r="N5" s="168"/>
      <c r="O5" s="168"/>
      <c r="P5" s="168"/>
      <c r="Q5" s="168"/>
      <c r="R5" s="168"/>
      <c r="S5" s="201"/>
      <c r="T5" s="20"/>
      <c r="U5" s="20"/>
      <c r="V5" s="20"/>
      <c r="W5" s="20"/>
      <c r="X5" s="20"/>
      <c r="Y5" s="20"/>
      <c r="Z5" s="20"/>
      <c r="AA5" s="20"/>
      <c r="AB5" s="20"/>
      <c r="AC5" s="20"/>
    </row>
    <row r="6" spans="1:29">
      <c r="A6" s="193"/>
      <c r="B6" s="168"/>
      <c r="C6" s="168"/>
      <c r="D6" s="168"/>
      <c r="E6" s="168"/>
      <c r="F6" s="168"/>
      <c r="G6" s="168"/>
      <c r="H6" s="168"/>
      <c r="I6" s="168"/>
      <c r="J6" s="168"/>
      <c r="K6" s="168"/>
      <c r="L6" s="168"/>
      <c r="M6" s="168"/>
      <c r="N6" s="168"/>
      <c r="O6" s="168"/>
      <c r="P6" s="168"/>
      <c r="Q6" s="168"/>
      <c r="R6" s="168"/>
      <c r="S6" s="201"/>
      <c r="T6" s="20"/>
      <c r="U6" s="20"/>
      <c r="V6" s="20"/>
      <c r="W6" s="20"/>
      <c r="X6" s="20"/>
      <c r="Y6" s="20"/>
      <c r="Z6" s="20"/>
      <c r="AA6" s="20"/>
      <c r="AB6" s="20"/>
      <c r="AC6" s="20"/>
    </row>
    <row r="7" spans="1:29">
      <c r="A7" s="213" t="s">
        <v>0</v>
      </c>
      <c r="B7" s="206"/>
      <c r="C7" s="206"/>
      <c r="D7" s="310">
        <f>IF(Datum!D7="",'Datum Aer'!D7,Datum!D7)</f>
        <v>0</v>
      </c>
      <c r="E7" s="310"/>
      <c r="F7" s="310"/>
      <c r="G7" s="206"/>
      <c r="H7" s="206" t="s">
        <v>1</v>
      </c>
      <c r="I7" s="206"/>
      <c r="J7" s="1">
        <f>IF(Datum!J7="",'Datum Aer'!J7,Datum!J7)</f>
        <v>0</v>
      </c>
      <c r="K7" s="206"/>
      <c r="L7" s="206"/>
      <c r="M7" s="206"/>
      <c r="N7" s="208" t="s">
        <v>508</v>
      </c>
      <c r="O7" s="168"/>
      <c r="P7" s="311">
        <f>IF(Datum!N7="",'Datum Aer'!N7,Datum!N7)</f>
        <v>0</v>
      </c>
      <c r="Q7" s="312"/>
      <c r="R7" s="312"/>
      <c r="S7" s="201"/>
      <c r="T7" s="20"/>
      <c r="U7" s="20"/>
      <c r="V7" s="20"/>
      <c r="W7" s="20"/>
      <c r="X7" s="20"/>
      <c r="Y7" s="20"/>
      <c r="Z7" s="20"/>
      <c r="AA7" s="20"/>
      <c r="AB7" s="20"/>
      <c r="AC7" s="20"/>
    </row>
    <row r="8" spans="1:29">
      <c r="A8" s="193"/>
      <c r="B8" s="168"/>
      <c r="C8" s="168"/>
      <c r="D8" s="168"/>
      <c r="E8" s="168"/>
      <c r="F8" s="168"/>
      <c r="G8" s="168"/>
      <c r="H8" s="168"/>
      <c r="I8" s="168"/>
      <c r="J8" s="168"/>
      <c r="K8" s="168"/>
      <c r="L8" s="168"/>
      <c r="M8" s="168"/>
      <c r="N8" s="168"/>
      <c r="O8" s="168"/>
      <c r="P8" s="168"/>
      <c r="Q8" s="168"/>
      <c r="R8" s="168"/>
      <c r="S8" s="201"/>
      <c r="T8" s="20"/>
      <c r="U8" s="20"/>
      <c r="V8" s="20"/>
      <c r="W8" s="20"/>
      <c r="X8" s="20"/>
      <c r="Y8" s="20"/>
      <c r="Z8" s="20"/>
      <c r="AA8" s="20"/>
      <c r="AB8" s="20"/>
      <c r="AC8" s="20"/>
    </row>
    <row r="9" spans="1:29">
      <c r="A9" s="213" t="s">
        <v>3</v>
      </c>
      <c r="B9" s="206"/>
      <c r="C9" s="206"/>
      <c r="D9" s="310">
        <f>IF(Datum!D9="",'Datum Aer'!D9,Datum!D9)</f>
        <v>0</v>
      </c>
      <c r="E9" s="310"/>
      <c r="F9" s="310"/>
      <c r="G9" s="206"/>
      <c r="H9" s="206" t="s">
        <v>4</v>
      </c>
      <c r="I9" s="206"/>
      <c r="J9" s="1">
        <f>IF(Datum!J9="",'Datum Aer'!J9,Datum!J9)</f>
        <v>0</v>
      </c>
      <c r="K9" s="206"/>
      <c r="L9" s="206" t="s">
        <v>5</v>
      </c>
      <c r="M9" s="206"/>
      <c r="N9" s="206"/>
      <c r="O9" s="168"/>
      <c r="P9" s="206"/>
      <c r="Q9" s="206"/>
      <c r="R9" s="1">
        <f>IF(Datum!P9="",'Datum Aer'!O9,Datum!P9)</f>
        <v>0</v>
      </c>
      <c r="S9" s="222"/>
      <c r="T9" s="20"/>
      <c r="U9" s="20"/>
      <c r="V9" s="20"/>
      <c r="W9" s="20"/>
      <c r="X9" s="20"/>
      <c r="Y9" s="20"/>
      <c r="Z9" s="20"/>
      <c r="AA9" s="20"/>
      <c r="AB9" s="20"/>
      <c r="AC9" s="20"/>
    </row>
    <row r="10" spans="1:29">
      <c r="A10" s="213"/>
      <c r="B10" s="206"/>
      <c r="C10" s="206"/>
      <c r="D10" s="206"/>
      <c r="E10" s="206"/>
      <c r="F10" s="206"/>
      <c r="G10" s="206"/>
      <c r="H10" s="206"/>
      <c r="I10" s="206"/>
      <c r="J10" s="206"/>
      <c r="K10" s="206"/>
      <c r="L10" s="206"/>
      <c r="M10" s="206"/>
      <c r="N10" s="206"/>
      <c r="O10" s="168"/>
      <c r="P10" s="206"/>
      <c r="Q10" s="206"/>
      <c r="R10" s="206"/>
      <c r="S10" s="222"/>
      <c r="T10" s="20"/>
      <c r="U10" s="20"/>
      <c r="V10" s="20"/>
      <c r="W10" s="20"/>
      <c r="X10" s="20"/>
      <c r="Y10" s="20"/>
      <c r="Z10" s="20"/>
      <c r="AA10" s="20"/>
      <c r="AB10" s="20"/>
      <c r="AC10" s="20"/>
    </row>
    <row r="11" spans="1:29">
      <c r="A11" s="213" t="s">
        <v>187</v>
      </c>
      <c r="B11" s="145">
        <f>Datum!J84</f>
        <v>0</v>
      </c>
      <c r="C11" s="207" t="s">
        <v>135</v>
      </c>
      <c r="D11" s="145">
        <f>Datum!L84</f>
        <v>0</v>
      </c>
      <c r="E11" s="206" t="s">
        <v>504</v>
      </c>
      <c r="F11" s="145">
        <f>Datum!N84</f>
        <v>0</v>
      </c>
      <c r="G11" s="207" t="s">
        <v>135</v>
      </c>
      <c r="H11" s="145">
        <f>Datum!P84</f>
        <v>0</v>
      </c>
      <c r="I11" s="206" t="s">
        <v>505</v>
      </c>
      <c r="J11" s="206" t="s">
        <v>187</v>
      </c>
      <c r="K11" s="206"/>
      <c r="L11" s="145">
        <f>Datum!J86</f>
        <v>0</v>
      </c>
      <c r="M11" s="207" t="s">
        <v>135</v>
      </c>
      <c r="N11" s="145">
        <f>Datum!L86</f>
        <v>0</v>
      </c>
      <c r="O11" s="206" t="s">
        <v>504</v>
      </c>
      <c r="P11" s="145">
        <f>Datum!N86</f>
        <v>0</v>
      </c>
      <c r="Q11" s="207" t="s">
        <v>135</v>
      </c>
      <c r="R11" s="145">
        <f>Datum!P86</f>
        <v>0</v>
      </c>
      <c r="S11" s="222" t="s">
        <v>505</v>
      </c>
      <c r="T11" s="20"/>
      <c r="U11" s="20"/>
      <c r="V11" s="20"/>
      <c r="W11" s="20"/>
      <c r="X11" s="20"/>
      <c r="Y11" s="20"/>
      <c r="Z11" s="20"/>
      <c r="AA11" s="20"/>
      <c r="AB11" s="20"/>
      <c r="AC11" s="20"/>
    </row>
    <row r="12" spans="1:29">
      <c r="A12" s="240" t="s">
        <v>188</v>
      </c>
      <c r="B12" s="398" t="s">
        <v>190</v>
      </c>
      <c r="C12" s="399"/>
      <c r="D12" s="168"/>
      <c r="E12" s="168"/>
      <c r="F12" s="238"/>
      <c r="G12" s="229" t="s">
        <v>191</v>
      </c>
      <c r="H12" s="168"/>
      <c r="I12" s="168"/>
      <c r="J12" s="229" t="s">
        <v>189</v>
      </c>
      <c r="K12" s="229"/>
      <c r="L12" s="229"/>
      <c r="M12" s="229" t="s">
        <v>190</v>
      </c>
      <c r="N12" s="229"/>
      <c r="O12" s="168"/>
      <c r="P12" s="398" t="s">
        <v>191</v>
      </c>
      <c r="Q12" s="399"/>
      <c r="R12" s="398"/>
      <c r="S12" s="244"/>
      <c r="T12" s="20"/>
      <c r="U12" s="20"/>
      <c r="V12" s="20"/>
      <c r="W12" s="20"/>
      <c r="X12" s="20"/>
      <c r="Y12" s="20"/>
      <c r="Z12" s="20"/>
      <c r="AA12" s="20"/>
      <c r="AB12" s="20"/>
      <c r="AC12" s="20"/>
    </row>
    <row r="13" spans="1:29">
      <c r="A13" s="193"/>
      <c r="B13" s="168"/>
      <c r="C13" s="168"/>
      <c r="D13" s="168"/>
      <c r="E13" s="168"/>
      <c r="F13" s="168"/>
      <c r="G13" s="168"/>
      <c r="H13" s="168"/>
      <c r="I13" s="168"/>
      <c r="J13" s="168"/>
      <c r="K13" s="168"/>
      <c r="L13" s="168"/>
      <c r="M13" s="168"/>
      <c r="N13" s="168"/>
      <c r="O13" s="168"/>
      <c r="P13" s="168"/>
      <c r="Q13" s="168"/>
      <c r="R13" s="168"/>
      <c r="S13" s="201"/>
      <c r="T13" s="20"/>
      <c r="U13" s="20"/>
      <c r="V13" s="20"/>
      <c r="W13" s="20"/>
      <c r="X13" s="20"/>
      <c r="Y13" s="20"/>
      <c r="Z13" s="20"/>
      <c r="AA13" s="20"/>
      <c r="AB13" s="20"/>
      <c r="AC13" s="20"/>
    </row>
    <row r="14" spans="1:29">
      <c r="A14" s="213" t="s">
        <v>6</v>
      </c>
      <c r="B14" s="168"/>
      <c r="C14" s="168"/>
      <c r="D14" s="168"/>
      <c r="E14" s="372">
        <f>Datum!D11</f>
        <v>0</v>
      </c>
      <c r="F14" s="372"/>
      <c r="G14" s="372"/>
      <c r="H14" s="372"/>
      <c r="I14" s="372"/>
      <c r="J14" s="249" t="s">
        <v>510</v>
      </c>
      <c r="K14" s="409">
        <f>Datum!J25</f>
        <v>0</v>
      </c>
      <c r="L14" s="409"/>
      <c r="M14" s="409"/>
      <c r="N14" s="168"/>
      <c r="O14" s="408" t="s">
        <v>509</v>
      </c>
      <c r="P14" s="408"/>
      <c r="Q14" s="177"/>
      <c r="R14" s="10"/>
      <c r="S14" s="222" t="s">
        <v>52</v>
      </c>
      <c r="T14" s="20"/>
      <c r="U14" s="20"/>
      <c r="V14" s="20"/>
      <c r="W14" s="20"/>
      <c r="X14" s="20"/>
      <c r="Y14" s="20"/>
      <c r="Z14" s="20"/>
      <c r="AA14" s="20"/>
      <c r="AB14" s="20"/>
      <c r="AC14" s="20"/>
    </row>
    <row r="15" spans="1:29" ht="13.8" thickBot="1">
      <c r="A15" s="193"/>
      <c r="B15" s="168"/>
      <c r="C15" s="168"/>
      <c r="D15" s="168"/>
      <c r="E15" s="168"/>
      <c r="F15" s="168"/>
      <c r="G15" s="168"/>
      <c r="H15" s="168"/>
      <c r="I15" s="168"/>
      <c r="J15" s="168"/>
      <c r="K15" s="168"/>
      <c r="L15" s="168"/>
      <c r="M15" s="168"/>
      <c r="N15" s="168"/>
      <c r="O15" s="412" t="s">
        <v>527</v>
      </c>
      <c r="P15" s="408"/>
      <c r="Q15" s="168"/>
      <c r="R15" s="10"/>
      <c r="S15" s="201" t="s">
        <v>490</v>
      </c>
      <c r="T15" s="20"/>
      <c r="U15" s="20"/>
      <c r="V15" s="20"/>
      <c r="W15" s="20"/>
      <c r="X15" s="20"/>
      <c r="Y15" s="20"/>
      <c r="Z15" s="20"/>
      <c r="AA15" s="20"/>
      <c r="AB15" s="20"/>
      <c r="AC15" s="20"/>
    </row>
    <row r="16" spans="1:29" ht="13.8" thickBot="1">
      <c r="A16" s="186" t="s">
        <v>239</v>
      </c>
      <c r="B16" s="189"/>
      <c r="C16" s="189"/>
      <c r="D16" s="189"/>
      <c r="E16" s="189"/>
      <c r="F16" s="189"/>
      <c r="G16" s="189"/>
      <c r="H16" s="190"/>
      <c r="I16" s="168"/>
      <c r="J16" s="168"/>
      <c r="K16" s="168"/>
      <c r="L16" s="168"/>
      <c r="M16" s="168"/>
      <c r="N16" s="168"/>
      <c r="O16" s="168"/>
      <c r="P16" s="168"/>
      <c r="Q16" s="168"/>
      <c r="R16" s="168"/>
      <c r="S16" s="201"/>
      <c r="T16" s="20"/>
      <c r="U16" s="20"/>
      <c r="V16" s="20"/>
      <c r="W16" s="20"/>
      <c r="X16" s="20"/>
      <c r="Y16" s="20"/>
      <c r="Z16" s="20"/>
      <c r="AA16" s="20"/>
      <c r="AB16" s="20"/>
      <c r="AC16" s="20"/>
    </row>
    <row r="17" spans="1:29">
      <c r="A17" s="193"/>
      <c r="B17" s="168"/>
      <c r="C17" s="168"/>
      <c r="D17" s="168"/>
      <c r="E17" s="168"/>
      <c r="F17" s="168"/>
      <c r="G17" s="168"/>
      <c r="H17" s="168"/>
      <c r="I17" s="168"/>
      <c r="J17" s="168"/>
      <c r="K17" s="168"/>
      <c r="L17" s="168"/>
      <c r="M17" s="168"/>
      <c r="N17" s="168"/>
      <c r="O17" s="168"/>
      <c r="P17" s="168"/>
      <c r="Q17" s="168"/>
      <c r="R17" s="168"/>
      <c r="S17" s="201"/>
      <c r="T17" s="20"/>
      <c r="U17" s="20"/>
      <c r="V17" s="20"/>
      <c r="W17" s="20"/>
      <c r="X17" s="20"/>
      <c r="Y17" s="20"/>
      <c r="Z17" s="20"/>
      <c r="AA17" s="20"/>
      <c r="AB17" s="20"/>
      <c r="AC17" s="20"/>
    </row>
    <row r="18" spans="1:29" ht="13.5" customHeight="1">
      <c r="A18" s="246">
        <v>1</v>
      </c>
      <c r="B18" s="170" t="s">
        <v>240</v>
      </c>
      <c r="C18" s="169"/>
      <c r="D18" s="169"/>
      <c r="E18" s="169"/>
      <c r="F18" s="169"/>
      <c r="G18" s="169"/>
      <c r="H18" s="169"/>
      <c r="I18" s="168"/>
      <c r="J18" s="168"/>
      <c r="K18" s="168"/>
      <c r="L18" s="168"/>
      <c r="M18" s="168"/>
      <c r="N18" s="168"/>
      <c r="O18" s="362">
        <f>IF(Ztd!N52&gt;4,IF(HTDMD!P34&lt;&gt;0,HTDMD!P34,Ztd!L49),Ztd!L49)</f>
        <v>0</v>
      </c>
      <c r="P18" s="362"/>
      <c r="Q18" s="168"/>
      <c r="R18" s="206" t="s">
        <v>52</v>
      </c>
      <c r="S18" s="201"/>
      <c r="T18" s="20"/>
      <c r="U18" s="20"/>
      <c r="V18" s="20"/>
      <c r="W18" s="20"/>
      <c r="X18" s="20"/>
      <c r="Y18" s="20"/>
      <c r="Z18" s="20"/>
      <c r="AA18" s="20"/>
      <c r="AB18" s="20"/>
      <c r="AC18" s="20"/>
    </row>
    <row r="19" spans="1:29">
      <c r="A19" s="194"/>
      <c r="B19" s="170" t="s">
        <v>241</v>
      </c>
      <c r="C19" s="169"/>
      <c r="D19" s="169"/>
      <c r="E19" s="169"/>
      <c r="F19" s="169"/>
      <c r="G19" s="169"/>
      <c r="H19" s="169"/>
      <c r="I19" s="168"/>
      <c r="J19" s="168"/>
      <c r="K19" s="168"/>
      <c r="L19" s="168"/>
      <c r="M19" s="168"/>
      <c r="N19" s="168"/>
      <c r="O19" s="168"/>
      <c r="P19" s="168"/>
      <c r="Q19" s="168"/>
      <c r="R19" s="168"/>
      <c r="S19" s="201"/>
      <c r="T19" s="20"/>
      <c r="U19" s="20"/>
      <c r="V19" s="20"/>
      <c r="W19" s="20"/>
      <c r="X19" s="20"/>
      <c r="Y19" s="20"/>
      <c r="Z19" s="20"/>
      <c r="AA19" s="20"/>
      <c r="AB19" s="20"/>
      <c r="AC19" s="20"/>
    </row>
    <row r="20" spans="1:29">
      <c r="A20" s="193"/>
      <c r="B20" s="184" t="s">
        <v>242</v>
      </c>
      <c r="C20" s="168"/>
      <c r="D20" s="168"/>
      <c r="E20" s="168"/>
      <c r="F20" s="168"/>
      <c r="G20" s="168"/>
      <c r="H20" s="168"/>
      <c r="I20" s="168"/>
      <c r="J20" s="177"/>
      <c r="K20" s="177"/>
      <c r="L20" s="177"/>
      <c r="M20" s="177"/>
      <c r="N20" s="177"/>
      <c r="O20" s="177"/>
      <c r="P20" s="177"/>
      <c r="Q20" s="177"/>
      <c r="R20" s="177"/>
      <c r="S20" s="201"/>
      <c r="T20" s="20"/>
      <c r="U20" s="20"/>
      <c r="V20" s="20"/>
      <c r="W20" s="20"/>
      <c r="X20" s="20"/>
      <c r="Y20" s="20"/>
      <c r="Z20" s="20"/>
      <c r="AA20" s="20"/>
      <c r="AB20" s="20"/>
      <c r="AC20" s="20"/>
    </row>
    <row r="21" spans="1:29">
      <c r="A21" s="196"/>
      <c r="B21" s="239" t="s">
        <v>243</v>
      </c>
      <c r="C21" s="170"/>
      <c r="D21" s="170"/>
      <c r="E21" s="170"/>
      <c r="F21" s="170"/>
      <c r="G21" s="170"/>
      <c r="H21" s="170"/>
      <c r="I21" s="170"/>
      <c r="J21" s="170"/>
      <c r="K21" s="170"/>
      <c r="L21" s="170"/>
      <c r="M21" s="170"/>
      <c r="N21" s="170"/>
      <c r="O21" s="170"/>
      <c r="P21" s="229"/>
      <c r="Q21" s="229"/>
      <c r="R21" s="170"/>
      <c r="S21" s="201"/>
      <c r="T21" s="20"/>
      <c r="U21" s="20"/>
      <c r="V21" s="20"/>
      <c r="W21" s="20"/>
      <c r="X21" s="20"/>
      <c r="Y21" s="20"/>
      <c r="Z21" s="20"/>
      <c r="AA21" s="20"/>
      <c r="AB21" s="20"/>
      <c r="AC21" s="20"/>
    </row>
    <row r="22" spans="1:29">
      <c r="A22" s="196"/>
      <c r="B22" s="239"/>
      <c r="C22" s="170"/>
      <c r="D22" s="170"/>
      <c r="E22" s="170"/>
      <c r="F22" s="170"/>
      <c r="G22" s="170"/>
      <c r="H22" s="170"/>
      <c r="I22" s="170"/>
      <c r="J22" s="170"/>
      <c r="K22" s="170"/>
      <c r="L22" s="170"/>
      <c r="M22" s="170"/>
      <c r="N22" s="170"/>
      <c r="O22" s="170"/>
      <c r="P22" s="229"/>
      <c r="Q22" s="229"/>
      <c r="R22" s="170"/>
      <c r="S22" s="201"/>
      <c r="T22" s="20"/>
      <c r="U22" s="20"/>
      <c r="V22" s="20"/>
      <c r="W22" s="20"/>
      <c r="X22" s="20"/>
      <c r="Y22" s="20"/>
      <c r="Z22" s="20"/>
      <c r="AA22" s="20"/>
      <c r="AB22" s="20"/>
      <c r="AC22" s="20"/>
    </row>
    <row r="23" spans="1:29">
      <c r="A23" s="196">
        <v>2</v>
      </c>
      <c r="B23" s="170" t="s">
        <v>244</v>
      </c>
      <c r="C23" s="170"/>
      <c r="D23" s="170"/>
      <c r="E23" s="170"/>
      <c r="F23" s="170"/>
      <c r="G23" s="170"/>
      <c r="H23" s="170"/>
      <c r="I23" s="170"/>
      <c r="J23" s="170"/>
      <c r="K23" s="170"/>
      <c r="L23" s="170"/>
      <c r="M23" s="170"/>
      <c r="N23" s="170"/>
      <c r="O23" s="168"/>
      <c r="P23" s="168"/>
      <c r="Q23" s="168"/>
      <c r="R23" s="168"/>
      <c r="S23" s="201"/>
      <c r="T23" s="20"/>
      <c r="U23" s="20"/>
      <c r="V23" s="20"/>
      <c r="W23" s="20"/>
      <c r="X23" s="20"/>
      <c r="Y23" s="20"/>
      <c r="Z23" s="20"/>
      <c r="AA23" s="20"/>
      <c r="AB23" s="20"/>
      <c r="AC23" s="20"/>
    </row>
    <row r="24" spans="1:29">
      <c r="A24" s="196"/>
      <c r="B24" s="170"/>
      <c r="C24" s="170"/>
      <c r="D24" s="170"/>
      <c r="E24" s="170"/>
      <c r="F24" s="170"/>
      <c r="G24" s="170"/>
      <c r="H24" s="170"/>
      <c r="I24" s="170"/>
      <c r="J24" s="170"/>
      <c r="K24" s="170"/>
      <c r="L24" s="170"/>
      <c r="M24" s="170"/>
      <c r="N24" s="170"/>
      <c r="O24" s="170"/>
      <c r="P24" s="229"/>
      <c r="Q24" s="229"/>
      <c r="R24" s="170"/>
      <c r="S24" s="201"/>
      <c r="T24" s="20"/>
      <c r="U24" s="20"/>
      <c r="V24" s="20"/>
      <c r="W24" s="20"/>
      <c r="X24" s="20"/>
      <c r="Y24" s="20"/>
      <c r="Z24" s="20"/>
      <c r="AA24" s="20"/>
      <c r="AB24" s="20"/>
      <c r="AC24" s="20"/>
    </row>
    <row r="25" spans="1:29">
      <c r="A25" s="196"/>
      <c r="B25" s="170" t="s">
        <v>105</v>
      </c>
      <c r="C25" s="170" t="s">
        <v>181</v>
      </c>
      <c r="D25" s="170"/>
      <c r="E25" s="170"/>
      <c r="F25" s="170"/>
      <c r="G25" s="170"/>
      <c r="H25" s="170"/>
      <c r="I25" s="170"/>
      <c r="J25" s="170"/>
      <c r="K25" s="170"/>
      <c r="L25" s="170"/>
      <c r="M25" s="170"/>
      <c r="N25" s="170"/>
      <c r="O25" s="312">
        <f>E!L61</f>
        <v>0</v>
      </c>
      <c r="P25" s="312"/>
      <c r="Q25" s="168"/>
      <c r="R25" s="206" t="s">
        <v>52</v>
      </c>
      <c r="S25" s="201"/>
      <c r="T25" s="20"/>
      <c r="U25" s="20"/>
      <c r="V25" s="20"/>
      <c r="W25" s="20"/>
      <c r="X25" s="20"/>
      <c r="Y25" s="20"/>
      <c r="Z25" s="20"/>
      <c r="AA25" s="20"/>
      <c r="AB25" s="20"/>
      <c r="AC25" s="20"/>
    </row>
    <row r="26" spans="1:29">
      <c r="A26" s="196"/>
      <c r="B26" s="171"/>
      <c r="C26" s="170"/>
      <c r="D26" s="170"/>
      <c r="E26" s="170"/>
      <c r="F26" s="170"/>
      <c r="G26" s="170"/>
      <c r="H26" s="170"/>
      <c r="I26" s="170"/>
      <c r="J26" s="170"/>
      <c r="K26" s="170"/>
      <c r="L26" s="170"/>
      <c r="M26" s="170"/>
      <c r="N26" s="170"/>
      <c r="O26" s="168"/>
      <c r="P26" s="168"/>
      <c r="Q26" s="168"/>
      <c r="R26" s="206"/>
      <c r="S26" s="201"/>
      <c r="T26" s="28" t="s">
        <v>322</v>
      </c>
      <c r="U26" s="20"/>
      <c r="V26" s="20"/>
      <c r="W26" s="20"/>
      <c r="X26" s="20"/>
      <c r="Y26" s="20"/>
      <c r="Z26" s="20"/>
      <c r="AA26" s="20"/>
      <c r="AB26" s="20"/>
      <c r="AC26" s="20"/>
    </row>
    <row r="27" spans="1:29">
      <c r="A27" s="196"/>
      <c r="B27" s="170" t="s">
        <v>107</v>
      </c>
      <c r="C27" s="170" t="s">
        <v>245</v>
      </c>
      <c r="D27" s="170"/>
      <c r="E27" s="170"/>
      <c r="F27" s="170"/>
      <c r="G27" s="170"/>
      <c r="H27" s="170"/>
      <c r="I27" s="170"/>
      <c r="J27" s="170"/>
      <c r="K27" s="170"/>
      <c r="L27" s="170"/>
      <c r="M27" s="170"/>
      <c r="N27" s="170"/>
      <c r="O27" s="312">
        <f>IF(Ztd!N52&gt;4,HTDMD!P48,R14)</f>
        <v>0</v>
      </c>
      <c r="P27" s="312"/>
      <c r="Q27" s="168"/>
      <c r="R27" s="206" t="s">
        <v>52</v>
      </c>
      <c r="S27" s="201"/>
      <c r="T27" s="20"/>
      <c r="U27" s="410"/>
      <c r="V27" s="411"/>
      <c r="W27" s="28" t="s">
        <v>323</v>
      </c>
      <c r="X27" s="20"/>
      <c r="Y27" s="20"/>
      <c r="Z27" s="20"/>
      <c r="AA27" s="20"/>
      <c r="AB27" s="20"/>
      <c r="AC27" s="20"/>
    </row>
    <row r="28" spans="1:29">
      <c r="A28" s="196"/>
      <c r="B28" s="171"/>
      <c r="C28" s="170"/>
      <c r="D28" s="170"/>
      <c r="E28" s="170"/>
      <c r="F28" s="170"/>
      <c r="G28" s="170"/>
      <c r="H28" s="170"/>
      <c r="I28" s="170"/>
      <c r="J28" s="170"/>
      <c r="K28" s="170"/>
      <c r="L28" s="170"/>
      <c r="M28" s="170"/>
      <c r="N28" s="170"/>
      <c r="O28" s="170"/>
      <c r="P28" s="229"/>
      <c r="Q28" s="229"/>
      <c r="R28" s="170"/>
      <c r="S28" s="201"/>
      <c r="T28" s="20"/>
      <c r="U28" s="410"/>
      <c r="V28" s="411"/>
      <c r="W28" s="28" t="s">
        <v>324</v>
      </c>
      <c r="X28" s="20"/>
      <c r="Y28" s="20"/>
      <c r="Z28" s="20"/>
      <c r="AA28" s="20"/>
      <c r="AB28" s="20"/>
      <c r="AC28" s="20"/>
    </row>
    <row r="29" spans="1:29">
      <c r="A29" s="196"/>
      <c r="B29" s="170" t="s">
        <v>109</v>
      </c>
      <c r="C29" s="170" t="s">
        <v>246</v>
      </c>
      <c r="D29" s="170"/>
      <c r="E29" s="170"/>
      <c r="F29" s="170"/>
      <c r="G29" s="170"/>
      <c r="H29" s="170"/>
      <c r="I29" s="170"/>
      <c r="J29" s="170"/>
      <c r="K29" s="170"/>
      <c r="L29" s="170"/>
      <c r="M29" s="170"/>
      <c r="N29" s="170"/>
      <c r="O29" s="403">
        <f>IF(HTDMD!P28&lt;&gt;0,E!L58,IF(R14&lt;&gt;0,O25*O27,IF(O27=0,E!L58,O25*O27)))</f>
        <v>0</v>
      </c>
      <c r="P29" s="403"/>
      <c r="Q29" s="170"/>
      <c r="R29" s="170"/>
      <c r="S29" s="201"/>
      <c r="T29" s="20"/>
      <c r="U29" s="410"/>
      <c r="V29" s="411"/>
      <c r="W29" s="28" t="s">
        <v>325</v>
      </c>
      <c r="X29" s="20"/>
      <c r="Y29" s="20"/>
      <c r="Z29" s="20"/>
      <c r="AA29" s="20"/>
      <c r="AB29" s="20"/>
      <c r="AC29" s="20"/>
    </row>
    <row r="30" spans="1:29">
      <c r="A30" s="196"/>
      <c r="B30" s="170"/>
      <c r="C30" s="184"/>
      <c r="D30" s="170"/>
      <c r="E30" s="170"/>
      <c r="F30" s="170"/>
      <c r="G30" s="170"/>
      <c r="H30" s="170"/>
      <c r="I30" s="170"/>
      <c r="J30" s="170"/>
      <c r="K30" s="170"/>
      <c r="L30" s="170"/>
      <c r="M30" s="170"/>
      <c r="N30" s="170"/>
      <c r="O30" s="170"/>
      <c r="P30" s="229"/>
      <c r="Q30" s="229"/>
      <c r="R30" s="170"/>
      <c r="S30" s="201"/>
      <c r="T30" s="20"/>
      <c r="U30" s="410"/>
      <c r="V30" s="411"/>
      <c r="W30" s="28" t="s">
        <v>326</v>
      </c>
      <c r="X30" s="20"/>
      <c r="Y30" s="20"/>
      <c r="Z30" s="20"/>
      <c r="AA30" s="20"/>
      <c r="AB30" s="20"/>
      <c r="AC30" s="20"/>
    </row>
    <row r="31" spans="1:29">
      <c r="A31" s="196">
        <v>3</v>
      </c>
      <c r="B31" s="170" t="s">
        <v>247</v>
      </c>
      <c r="C31" s="170"/>
      <c r="D31" s="170"/>
      <c r="E31" s="170"/>
      <c r="F31" s="170"/>
      <c r="G31" s="170"/>
      <c r="H31" s="170"/>
      <c r="I31" s="170"/>
      <c r="J31" s="170"/>
      <c r="K31" s="170"/>
      <c r="L31" s="170"/>
      <c r="M31" s="170"/>
      <c r="N31" s="170"/>
      <c r="O31" s="312">
        <f>IFERROR((ROUND(IF(Ztd!N52&gt;4,O18/O29,Ztd!L49/HTAE!O29),2)),0)</f>
        <v>0</v>
      </c>
      <c r="P31" s="312"/>
      <c r="Q31" s="170"/>
      <c r="R31" s="170"/>
      <c r="S31" s="201"/>
      <c r="T31" s="20"/>
      <c r="U31" s="410"/>
      <c r="V31" s="411"/>
      <c r="W31" s="28" t="s">
        <v>327</v>
      </c>
      <c r="X31" s="20"/>
      <c r="Y31" s="20"/>
      <c r="Z31" s="20"/>
      <c r="AA31" s="20"/>
      <c r="AB31" s="20"/>
      <c r="AC31" s="20"/>
    </row>
    <row r="32" spans="1:29">
      <c r="A32" s="196"/>
      <c r="B32" s="171"/>
      <c r="C32" s="170"/>
      <c r="D32" s="170"/>
      <c r="E32" s="170"/>
      <c r="F32" s="170"/>
      <c r="G32" s="170"/>
      <c r="H32" s="170"/>
      <c r="I32" s="170"/>
      <c r="J32" s="170"/>
      <c r="K32" s="170"/>
      <c r="L32" s="170"/>
      <c r="M32" s="170"/>
      <c r="N32" s="170"/>
      <c r="O32" s="170"/>
      <c r="P32" s="229"/>
      <c r="Q32" s="229"/>
      <c r="R32" s="170"/>
      <c r="S32" s="201"/>
      <c r="T32" s="20"/>
      <c r="U32" s="410"/>
      <c r="V32" s="411"/>
      <c r="W32" s="28" t="s">
        <v>328</v>
      </c>
      <c r="X32" s="20"/>
      <c r="Y32" s="20"/>
      <c r="Z32" s="20"/>
      <c r="AA32" s="20"/>
      <c r="AB32" s="20"/>
      <c r="AC32" s="20"/>
    </row>
    <row r="33" spans="1:29">
      <c r="A33" s="196">
        <v>4</v>
      </c>
      <c r="B33" s="170" t="s">
        <v>248</v>
      </c>
      <c r="C33" s="170"/>
      <c r="D33" s="170"/>
      <c r="E33" s="170"/>
      <c r="F33" s="170"/>
      <c r="G33" s="170"/>
      <c r="H33" s="170"/>
      <c r="I33" s="170"/>
      <c r="J33" s="170"/>
      <c r="K33" s="170"/>
      <c r="L33" s="170"/>
      <c r="M33" s="170"/>
      <c r="N33" s="170"/>
      <c r="O33" s="312">
        <f>O31+SUM(U27:V38)</f>
        <v>0</v>
      </c>
      <c r="P33" s="312"/>
      <c r="Q33" s="170"/>
      <c r="R33" s="170"/>
      <c r="S33" s="201"/>
      <c r="T33" s="20"/>
      <c r="U33" s="410"/>
      <c r="V33" s="411"/>
      <c r="W33" s="28" t="s">
        <v>329</v>
      </c>
      <c r="X33" s="20"/>
      <c r="Y33" s="20"/>
      <c r="Z33" s="20"/>
      <c r="AA33" s="20"/>
      <c r="AB33" s="20"/>
      <c r="AC33" s="20"/>
    </row>
    <row r="34" spans="1:29">
      <c r="A34" s="196"/>
      <c r="B34" s="171"/>
      <c r="C34" s="170"/>
      <c r="D34" s="170"/>
      <c r="E34" s="170"/>
      <c r="F34" s="170"/>
      <c r="G34" s="170"/>
      <c r="H34" s="170"/>
      <c r="I34" s="170"/>
      <c r="J34" s="170"/>
      <c r="K34" s="170"/>
      <c r="L34" s="170"/>
      <c r="M34" s="170"/>
      <c r="N34" s="170"/>
      <c r="O34" s="170"/>
      <c r="P34" s="170"/>
      <c r="Q34" s="170"/>
      <c r="R34" s="170"/>
      <c r="S34" s="201"/>
      <c r="T34" s="20"/>
      <c r="U34" s="410"/>
      <c r="V34" s="411"/>
      <c r="W34" s="28" t="s">
        <v>330</v>
      </c>
      <c r="X34" s="20"/>
      <c r="Y34" s="20"/>
      <c r="Z34" s="20"/>
      <c r="AA34" s="20"/>
      <c r="AB34" s="20"/>
      <c r="AC34" s="20"/>
    </row>
    <row r="35" spans="1:29">
      <c r="A35" s="196">
        <v>5</v>
      </c>
      <c r="B35" s="170" t="s">
        <v>249</v>
      </c>
      <c r="C35" s="170"/>
      <c r="D35" s="170"/>
      <c r="E35" s="170"/>
      <c r="F35" s="170"/>
      <c r="G35" s="170"/>
      <c r="H35" s="170"/>
      <c r="I35" s="229" t="s">
        <v>251</v>
      </c>
      <c r="J35" s="10"/>
      <c r="K35" s="170"/>
      <c r="L35" s="249" t="s">
        <v>252</v>
      </c>
      <c r="M35" s="249"/>
      <c r="N35" s="8"/>
      <c r="O35" s="170"/>
      <c r="P35" s="249" t="s">
        <v>250</v>
      </c>
      <c r="Q35" s="229"/>
      <c r="R35" s="10"/>
      <c r="S35" s="201"/>
      <c r="T35" s="20"/>
      <c r="U35" s="410"/>
      <c r="V35" s="411"/>
      <c r="W35" s="28" t="s">
        <v>331</v>
      </c>
      <c r="X35" s="20"/>
      <c r="Y35" s="20"/>
      <c r="Z35" s="20"/>
      <c r="AA35" s="20"/>
      <c r="AB35" s="20"/>
      <c r="AC35" s="20"/>
    </row>
    <row r="36" spans="1:29">
      <c r="A36" s="241"/>
      <c r="B36" s="184"/>
      <c r="C36" s="170"/>
      <c r="D36" s="170"/>
      <c r="E36" s="170"/>
      <c r="F36" s="170"/>
      <c r="G36" s="170"/>
      <c r="H36" s="170"/>
      <c r="I36" s="170"/>
      <c r="J36" s="170"/>
      <c r="K36" s="170"/>
      <c r="L36" s="170"/>
      <c r="M36" s="170"/>
      <c r="N36" s="170"/>
      <c r="O36" s="170"/>
      <c r="P36" s="170"/>
      <c r="Q36" s="170"/>
      <c r="R36" s="170"/>
      <c r="S36" s="201"/>
      <c r="T36" s="20"/>
      <c r="U36" s="410"/>
      <c r="V36" s="411"/>
      <c r="W36" s="28" t="s">
        <v>332</v>
      </c>
      <c r="X36" s="20"/>
      <c r="Y36" s="20"/>
      <c r="Z36" s="20"/>
      <c r="AA36" s="20"/>
      <c r="AB36" s="20"/>
      <c r="AC36" s="20"/>
    </row>
    <row r="37" spans="1:29">
      <c r="A37" s="196">
        <v>6</v>
      </c>
      <c r="B37" s="170" t="s">
        <v>253</v>
      </c>
      <c r="C37" s="170"/>
      <c r="D37" s="170"/>
      <c r="E37" s="170"/>
      <c r="F37" s="170"/>
      <c r="G37" s="170"/>
      <c r="H37" s="170"/>
      <c r="I37" s="170"/>
      <c r="J37" s="170"/>
      <c r="K37" s="170"/>
      <c r="L37" s="170"/>
      <c r="M37" s="170"/>
      <c r="N37" s="170"/>
      <c r="O37" s="312">
        <f>ROUND(R35*O25,2)</f>
        <v>0</v>
      </c>
      <c r="P37" s="312"/>
      <c r="Q37" s="168"/>
      <c r="R37" s="206" t="s">
        <v>52</v>
      </c>
      <c r="S37" s="201"/>
      <c r="T37" s="20"/>
      <c r="U37" s="410"/>
      <c r="V37" s="411"/>
      <c r="W37" s="28" t="s">
        <v>333</v>
      </c>
      <c r="X37" s="20"/>
      <c r="Y37" s="20"/>
      <c r="Z37" s="20"/>
      <c r="AA37" s="20"/>
      <c r="AB37" s="20"/>
      <c r="AC37" s="20"/>
    </row>
    <row r="38" spans="1:29">
      <c r="A38" s="196"/>
      <c r="B38" s="170"/>
      <c r="C38" s="170"/>
      <c r="D38" s="170"/>
      <c r="E38" s="170"/>
      <c r="F38" s="170"/>
      <c r="G38" s="170"/>
      <c r="H38" s="170"/>
      <c r="I38" s="170"/>
      <c r="J38" s="170"/>
      <c r="K38" s="170"/>
      <c r="L38" s="170"/>
      <c r="M38" s="170"/>
      <c r="N38" s="170"/>
      <c r="O38" s="170"/>
      <c r="P38" s="170"/>
      <c r="Q38" s="170"/>
      <c r="R38" s="170"/>
      <c r="S38" s="201"/>
      <c r="T38" s="20"/>
      <c r="U38" s="410"/>
      <c r="V38" s="411"/>
      <c r="W38" s="28" t="s">
        <v>334</v>
      </c>
      <c r="X38" s="20"/>
      <c r="Y38" s="20"/>
      <c r="Z38" s="20"/>
      <c r="AA38" s="20"/>
      <c r="AB38" s="20"/>
      <c r="AC38" s="20"/>
    </row>
    <row r="39" spans="1:29">
      <c r="A39" s="196">
        <v>7</v>
      </c>
      <c r="B39" s="171" t="s">
        <v>254</v>
      </c>
      <c r="C39" s="170"/>
      <c r="D39" s="170"/>
      <c r="E39" s="170"/>
      <c r="F39" s="405" t="s">
        <v>335</v>
      </c>
      <c r="G39" s="405"/>
      <c r="H39" s="8"/>
      <c r="I39" s="170"/>
      <c r="J39" s="170"/>
      <c r="K39" s="170"/>
      <c r="L39" s="170"/>
      <c r="M39" s="170"/>
      <c r="N39" s="170"/>
      <c r="O39" s="362">
        <f>ROUND(IF(H39="a",U41,IF(H39="B",U43,U45)),1)</f>
        <v>0</v>
      </c>
      <c r="P39" s="362"/>
      <c r="Q39" s="168"/>
      <c r="R39" s="206" t="s">
        <v>184</v>
      </c>
      <c r="S39" s="201"/>
      <c r="T39" s="20"/>
      <c r="U39" s="20"/>
      <c r="V39" s="20"/>
      <c r="W39" s="20"/>
      <c r="X39" s="20"/>
      <c r="Y39" s="20"/>
      <c r="Z39" s="20"/>
      <c r="AA39" s="20"/>
      <c r="AB39" s="20"/>
      <c r="AC39" s="20"/>
    </row>
    <row r="40" spans="1:29">
      <c r="A40" s="196"/>
      <c r="B40" s="170"/>
      <c r="C40" s="170"/>
      <c r="D40" s="170"/>
      <c r="E40" s="170"/>
      <c r="F40" s="170"/>
      <c r="G40" s="170"/>
      <c r="H40" s="170"/>
      <c r="I40" s="170"/>
      <c r="J40" s="170"/>
      <c r="K40" s="170"/>
      <c r="L40" s="170"/>
      <c r="M40" s="170"/>
      <c r="N40" s="170"/>
      <c r="O40" s="168"/>
      <c r="P40" s="168"/>
      <c r="Q40" s="168"/>
      <c r="R40" s="206"/>
      <c r="S40" s="201"/>
      <c r="T40" s="20"/>
      <c r="U40" s="20"/>
      <c r="V40" s="20"/>
      <c r="W40" s="20"/>
      <c r="X40" s="20"/>
      <c r="Y40" s="20"/>
      <c r="Z40" s="20"/>
      <c r="AA40" s="20"/>
      <c r="AB40" s="20"/>
      <c r="AC40" s="20"/>
    </row>
    <row r="41" spans="1:29">
      <c r="A41" s="196"/>
      <c r="B41" s="170" t="s">
        <v>105</v>
      </c>
      <c r="C41" s="170" t="s">
        <v>255</v>
      </c>
      <c r="D41" s="170"/>
      <c r="E41" s="170"/>
      <c r="F41" s="170"/>
      <c r="G41" s="170"/>
      <c r="H41" s="170"/>
      <c r="I41" s="170"/>
      <c r="J41" s="170"/>
      <c r="K41" s="170"/>
      <c r="L41" s="170"/>
      <c r="M41" s="170"/>
      <c r="N41" s="170"/>
      <c r="O41" s="402"/>
      <c r="P41" s="402"/>
      <c r="Q41" s="168"/>
      <c r="R41" s="206"/>
      <c r="S41" s="201"/>
      <c r="T41" s="20"/>
      <c r="U41" s="25">
        <f>4*O37^2</f>
        <v>0</v>
      </c>
      <c r="V41" s="20"/>
      <c r="W41" s="20"/>
      <c r="X41" s="20"/>
      <c r="Y41" s="20"/>
      <c r="Z41" s="20"/>
      <c r="AA41" s="20"/>
      <c r="AB41" s="20"/>
      <c r="AC41" s="20"/>
    </row>
    <row r="42" spans="1:29">
      <c r="A42" s="196"/>
      <c r="B42" s="171"/>
      <c r="C42" s="170"/>
      <c r="D42" s="170"/>
      <c r="E42" s="170"/>
      <c r="F42" s="170"/>
      <c r="G42" s="170"/>
      <c r="H42" s="170"/>
      <c r="I42" s="170"/>
      <c r="J42" s="170"/>
      <c r="K42" s="170"/>
      <c r="L42" s="170"/>
      <c r="M42" s="170"/>
      <c r="N42" s="170"/>
      <c r="O42" s="170"/>
      <c r="P42" s="229"/>
      <c r="Q42" s="229"/>
      <c r="R42" s="170"/>
      <c r="S42" s="201"/>
      <c r="T42" s="20"/>
      <c r="U42" s="25"/>
      <c r="V42" s="20"/>
      <c r="W42" s="20"/>
      <c r="X42" s="20"/>
      <c r="Y42" s="20"/>
      <c r="Z42" s="20"/>
      <c r="AA42" s="20"/>
      <c r="AB42" s="20"/>
      <c r="AC42" s="20"/>
    </row>
    <row r="43" spans="1:29">
      <c r="A43" s="241"/>
      <c r="B43" s="170" t="s">
        <v>107</v>
      </c>
      <c r="C43" s="170" t="s">
        <v>256</v>
      </c>
      <c r="D43" s="170"/>
      <c r="E43" s="170"/>
      <c r="F43" s="170"/>
      <c r="G43" s="170"/>
      <c r="H43" s="170"/>
      <c r="I43" s="170"/>
      <c r="J43" s="170"/>
      <c r="K43" s="170"/>
      <c r="L43" s="170"/>
      <c r="M43" s="170"/>
      <c r="N43" s="170"/>
      <c r="O43" s="402"/>
      <c r="P43" s="402"/>
      <c r="Q43" s="168"/>
      <c r="R43" s="206"/>
      <c r="S43" s="201"/>
      <c r="T43" s="20"/>
      <c r="U43" s="25">
        <f>(4*O37^2)+(2*O37*Datum!N89)</f>
        <v>0</v>
      </c>
      <c r="V43" s="20"/>
      <c r="W43" s="20"/>
      <c r="X43" s="20"/>
      <c r="Y43" s="20"/>
      <c r="Z43" s="20"/>
      <c r="AA43" s="20"/>
      <c r="AB43" s="20"/>
      <c r="AC43" s="20"/>
    </row>
    <row r="44" spans="1:29">
      <c r="A44" s="196"/>
      <c r="B44" s="171"/>
      <c r="C44" s="170"/>
      <c r="D44" s="170"/>
      <c r="E44" s="170"/>
      <c r="F44" s="170"/>
      <c r="G44" s="170"/>
      <c r="H44" s="170"/>
      <c r="I44" s="170"/>
      <c r="J44" s="170"/>
      <c r="K44" s="170"/>
      <c r="L44" s="170"/>
      <c r="M44" s="170"/>
      <c r="N44" s="170"/>
      <c r="O44" s="170"/>
      <c r="P44" s="170"/>
      <c r="Q44" s="170"/>
      <c r="R44" s="170"/>
      <c r="S44" s="201"/>
      <c r="T44" s="20"/>
      <c r="U44" s="25"/>
      <c r="V44" s="20"/>
      <c r="W44" s="20"/>
      <c r="X44" s="20"/>
      <c r="Y44" s="20"/>
      <c r="Z44" s="20"/>
      <c r="AA44" s="20"/>
      <c r="AB44" s="20"/>
      <c r="AC44" s="20"/>
    </row>
    <row r="45" spans="1:29">
      <c r="A45" s="196"/>
      <c r="B45" s="170" t="s">
        <v>109</v>
      </c>
      <c r="C45" s="206" t="s">
        <v>257</v>
      </c>
      <c r="D45" s="170"/>
      <c r="E45" s="170"/>
      <c r="F45" s="170"/>
      <c r="G45" s="170"/>
      <c r="H45" s="170"/>
      <c r="I45" s="170"/>
      <c r="J45" s="170"/>
      <c r="K45" s="170"/>
      <c r="L45" s="170"/>
      <c r="M45" s="170"/>
      <c r="N45" s="170"/>
      <c r="O45" s="402"/>
      <c r="P45" s="402"/>
      <c r="Q45" s="168"/>
      <c r="R45" s="206"/>
      <c r="S45" s="201"/>
      <c r="T45" s="20"/>
      <c r="U45" s="25">
        <f>2*O37*O27</f>
        <v>0</v>
      </c>
      <c r="V45" s="20"/>
      <c r="W45" s="20"/>
      <c r="X45" s="20"/>
      <c r="Y45" s="20"/>
      <c r="Z45" s="20"/>
      <c r="AA45" s="20"/>
      <c r="AB45" s="20"/>
      <c r="AC45" s="20"/>
    </row>
    <row r="46" spans="1:29">
      <c r="A46" s="196"/>
      <c r="B46" s="171"/>
      <c r="C46" s="170"/>
      <c r="D46" s="170"/>
      <c r="E46" s="170"/>
      <c r="F46" s="170"/>
      <c r="G46" s="170"/>
      <c r="H46" s="170"/>
      <c r="I46" s="170"/>
      <c r="J46" s="170"/>
      <c r="K46" s="170"/>
      <c r="L46" s="229"/>
      <c r="M46" s="229"/>
      <c r="N46" s="229"/>
      <c r="O46" s="170"/>
      <c r="P46" s="170"/>
      <c r="Q46" s="170"/>
      <c r="R46" s="170"/>
      <c r="S46" s="201"/>
      <c r="T46" s="20"/>
      <c r="U46" s="25"/>
      <c r="V46" s="20"/>
      <c r="W46" s="20"/>
      <c r="X46" s="20"/>
      <c r="Y46" s="20"/>
      <c r="Z46" s="20"/>
      <c r="AA46" s="20"/>
      <c r="AB46" s="20"/>
      <c r="AC46" s="20"/>
    </row>
    <row r="47" spans="1:29">
      <c r="A47" s="196">
        <v>8</v>
      </c>
      <c r="B47" s="170" t="s">
        <v>511</v>
      </c>
      <c r="C47" s="170"/>
      <c r="D47" s="170"/>
      <c r="E47" s="170"/>
      <c r="F47" s="170"/>
      <c r="G47" s="170"/>
      <c r="H47" s="170"/>
      <c r="I47" s="170"/>
      <c r="J47" s="170"/>
      <c r="K47" s="170"/>
      <c r="L47" s="170"/>
      <c r="M47" s="170"/>
      <c r="N47" s="170"/>
      <c r="O47" s="362">
        <f>IFERROR(O18/O39,0)</f>
        <v>0</v>
      </c>
      <c r="P47" s="362"/>
      <c r="Q47" s="229"/>
      <c r="R47" s="170"/>
      <c r="S47" s="201"/>
      <c r="T47" s="20"/>
      <c r="U47" s="25"/>
      <c r="V47" s="20"/>
      <c r="W47" s="20"/>
      <c r="X47" s="20"/>
      <c r="Y47" s="20"/>
      <c r="Z47" s="20"/>
      <c r="AA47" s="20"/>
      <c r="AB47" s="20"/>
      <c r="AC47" s="20"/>
    </row>
    <row r="48" spans="1:29">
      <c r="A48" s="196"/>
      <c r="B48" s="171"/>
      <c r="C48" s="170"/>
      <c r="D48" s="170"/>
      <c r="E48" s="170"/>
      <c r="F48" s="170"/>
      <c r="G48" s="170"/>
      <c r="H48" s="170"/>
      <c r="I48" s="170"/>
      <c r="J48" s="170"/>
      <c r="K48" s="170"/>
      <c r="L48" s="170"/>
      <c r="M48" s="170"/>
      <c r="N48" s="170"/>
      <c r="O48" s="170"/>
      <c r="P48" s="170"/>
      <c r="Q48" s="170"/>
      <c r="R48" s="170"/>
      <c r="S48" s="201"/>
      <c r="T48" s="20"/>
      <c r="U48" s="25"/>
      <c r="V48" s="20"/>
      <c r="W48" s="20"/>
      <c r="X48" s="20"/>
      <c r="Y48" s="20"/>
      <c r="Z48" s="20"/>
      <c r="AA48" s="20"/>
      <c r="AB48" s="20"/>
      <c r="AC48" s="20"/>
    </row>
    <row r="49" spans="1:29">
      <c r="A49" s="196"/>
      <c r="B49" s="170"/>
      <c r="C49" s="170"/>
      <c r="D49" s="170"/>
      <c r="E49" s="170"/>
      <c r="F49" s="170"/>
      <c r="G49" s="170"/>
      <c r="H49" s="170"/>
      <c r="I49" s="170"/>
      <c r="J49" s="229">
        <v>1</v>
      </c>
      <c r="K49" s="229"/>
      <c r="L49" s="229">
        <v>2</v>
      </c>
      <c r="M49" s="229"/>
      <c r="N49" s="229">
        <v>3</v>
      </c>
      <c r="O49" s="170"/>
      <c r="P49" s="229">
        <v>4</v>
      </c>
      <c r="Q49" s="229"/>
      <c r="R49" s="229">
        <v>5</v>
      </c>
      <c r="S49" s="201"/>
      <c r="T49" s="20"/>
      <c r="U49" s="25"/>
      <c r="V49" s="20"/>
      <c r="W49" s="20"/>
      <c r="X49" s="20"/>
      <c r="Y49" s="20"/>
      <c r="Z49" s="20"/>
      <c r="AA49" s="20"/>
      <c r="AB49" s="20"/>
      <c r="AC49" s="20"/>
    </row>
    <row r="50" spans="1:29">
      <c r="A50" s="196">
        <v>9</v>
      </c>
      <c r="B50" s="170" t="s">
        <v>258</v>
      </c>
      <c r="C50" s="170"/>
      <c r="D50" s="170"/>
      <c r="E50" s="170"/>
      <c r="F50" s="170"/>
      <c r="G50" s="170"/>
      <c r="H50" s="170"/>
      <c r="I50" s="170"/>
      <c r="J50" s="148">
        <f>IFERROR((ROUND(Ztd!J44/HTAE!O47,2)),0)</f>
        <v>0</v>
      </c>
      <c r="K50" s="170"/>
      <c r="L50" s="149">
        <f>IFERROR((ROUND(Ztd!L44/HTAE!O47,2)),0)</f>
        <v>0</v>
      </c>
      <c r="M50" s="229"/>
      <c r="N50" s="149">
        <f>IFERROR((ROUND(Ztd!N44/HTAE!O47,2)),0)</f>
        <v>0</v>
      </c>
      <c r="O50" s="170"/>
      <c r="P50" s="149">
        <f>IFERROR((ROUND(Ztd!P44/HTAE!O47,2)),0)</f>
        <v>0</v>
      </c>
      <c r="Q50" s="170"/>
      <c r="R50" s="149">
        <f>IFERROR(ROUND(Ztd!R44/HTAE!O47,2),0)</f>
        <v>0</v>
      </c>
      <c r="S50" s="204"/>
      <c r="T50" s="42"/>
      <c r="U50" s="25"/>
      <c r="V50" s="20"/>
      <c r="W50" s="20"/>
      <c r="X50" s="20"/>
      <c r="Y50" s="20"/>
      <c r="Z50" s="20"/>
      <c r="AA50" s="20"/>
      <c r="AB50" s="20"/>
      <c r="AC50" s="20"/>
    </row>
    <row r="51" spans="1:29">
      <c r="A51" s="196"/>
      <c r="B51" s="170"/>
      <c r="C51" s="170"/>
      <c r="D51" s="170"/>
      <c r="E51" s="170"/>
      <c r="F51" s="170"/>
      <c r="G51" s="170"/>
      <c r="H51" s="170"/>
      <c r="I51" s="170"/>
      <c r="J51" s="170"/>
      <c r="K51" s="170"/>
      <c r="L51" s="170"/>
      <c r="M51" s="229"/>
      <c r="N51" s="170"/>
      <c r="O51" s="170"/>
      <c r="P51" s="170"/>
      <c r="Q51" s="170"/>
      <c r="R51" s="170"/>
      <c r="S51" s="204"/>
      <c r="T51" s="42"/>
      <c r="U51" s="25"/>
      <c r="V51" s="20"/>
      <c r="W51" s="20"/>
      <c r="X51" s="20"/>
      <c r="Y51" s="20"/>
      <c r="Z51" s="20"/>
      <c r="AA51" s="20"/>
      <c r="AB51" s="20"/>
      <c r="AC51" s="20"/>
    </row>
    <row r="52" spans="1:29">
      <c r="A52" s="196">
        <v>10</v>
      </c>
      <c r="B52" s="170" t="s">
        <v>259</v>
      </c>
      <c r="C52" s="170"/>
      <c r="D52" s="170"/>
      <c r="E52" s="170"/>
      <c r="F52" s="170"/>
      <c r="G52" s="170"/>
      <c r="H52" s="170"/>
      <c r="I52" s="170"/>
      <c r="J52" s="170"/>
      <c r="K52" s="170"/>
      <c r="L52" s="170"/>
      <c r="M52" s="229"/>
      <c r="N52" s="170"/>
      <c r="O52" s="170"/>
      <c r="P52" s="170"/>
      <c r="Q52" s="170"/>
      <c r="R52" s="170"/>
      <c r="S52" s="204"/>
      <c r="T52" s="42"/>
      <c r="U52" s="25"/>
      <c r="V52" s="20"/>
      <c r="W52" s="20"/>
      <c r="X52" s="20"/>
      <c r="Y52" s="20"/>
      <c r="Z52" s="20"/>
      <c r="AA52" s="20"/>
      <c r="AB52" s="20"/>
      <c r="AC52" s="20"/>
    </row>
    <row r="53" spans="1:29">
      <c r="A53" s="196"/>
      <c r="B53" s="170" t="s">
        <v>260</v>
      </c>
      <c r="C53" s="170"/>
      <c r="D53" s="170"/>
      <c r="E53" s="170"/>
      <c r="F53" s="170"/>
      <c r="G53" s="170"/>
      <c r="H53" s="170"/>
      <c r="I53" s="170"/>
      <c r="J53" s="10"/>
      <c r="K53" s="170"/>
      <c r="L53" s="10"/>
      <c r="M53" s="229"/>
      <c r="N53" s="10"/>
      <c r="O53" s="170"/>
      <c r="P53" s="10"/>
      <c r="Q53" s="170"/>
      <c r="R53" s="10"/>
      <c r="S53" s="204"/>
      <c r="T53" s="42"/>
      <c r="U53" s="25"/>
      <c r="V53" s="20"/>
      <c r="W53" s="20"/>
      <c r="X53" s="20"/>
      <c r="Y53" s="20"/>
      <c r="Z53" s="20"/>
      <c r="AA53" s="20"/>
      <c r="AB53" s="20"/>
      <c r="AC53" s="20"/>
    </row>
    <row r="54" spans="1:29">
      <c r="A54" s="195"/>
      <c r="B54" s="170" t="s">
        <v>261</v>
      </c>
      <c r="C54" s="170"/>
      <c r="D54" s="170"/>
      <c r="E54" s="170"/>
      <c r="F54" s="170"/>
      <c r="G54" s="170"/>
      <c r="H54" s="170"/>
      <c r="I54" s="170"/>
      <c r="J54" s="170"/>
      <c r="K54" s="170"/>
      <c r="L54" s="170"/>
      <c r="M54" s="229"/>
      <c r="N54" s="170"/>
      <c r="O54" s="170"/>
      <c r="P54" s="170"/>
      <c r="Q54" s="170"/>
      <c r="R54" s="170"/>
      <c r="S54" s="204"/>
      <c r="T54" s="42"/>
      <c r="U54" s="25"/>
      <c r="V54" s="20"/>
      <c r="W54" s="20"/>
      <c r="X54" s="20"/>
      <c r="Y54" s="20"/>
      <c r="Z54" s="20"/>
      <c r="AA54" s="20"/>
      <c r="AB54" s="20"/>
      <c r="AC54" s="20"/>
    </row>
    <row r="55" spans="1:29">
      <c r="A55" s="195"/>
      <c r="B55" s="170" t="s">
        <v>262</v>
      </c>
      <c r="C55" s="170"/>
      <c r="D55" s="170"/>
      <c r="E55" s="170"/>
      <c r="F55" s="170"/>
      <c r="G55" s="170"/>
      <c r="H55" s="170"/>
      <c r="I55" s="170"/>
      <c r="J55" s="170"/>
      <c r="K55" s="170"/>
      <c r="L55" s="170"/>
      <c r="M55" s="229"/>
      <c r="N55" s="170"/>
      <c r="O55" s="170"/>
      <c r="P55" s="170"/>
      <c r="Q55" s="170"/>
      <c r="R55" s="170"/>
      <c r="S55" s="204"/>
      <c r="T55" s="42"/>
      <c r="U55" s="25"/>
      <c r="V55" s="20"/>
      <c r="W55" s="20"/>
      <c r="X55" s="20"/>
      <c r="Y55" s="20"/>
      <c r="Z55" s="20"/>
      <c r="AA55" s="20"/>
      <c r="AB55" s="20"/>
      <c r="AC55" s="20"/>
    </row>
    <row r="56" spans="1:29">
      <c r="A56" s="195"/>
      <c r="B56" s="170"/>
      <c r="C56" s="170"/>
      <c r="D56" s="170"/>
      <c r="E56" s="170"/>
      <c r="F56" s="170"/>
      <c r="G56" s="170"/>
      <c r="H56" s="170"/>
      <c r="I56" s="170"/>
      <c r="J56" s="170"/>
      <c r="K56" s="170"/>
      <c r="L56" s="170"/>
      <c r="M56" s="229"/>
      <c r="N56" s="170"/>
      <c r="O56" s="170"/>
      <c r="P56" s="170"/>
      <c r="Q56" s="170"/>
      <c r="R56" s="170"/>
      <c r="S56" s="204"/>
      <c r="T56" s="42"/>
      <c r="U56" s="25"/>
      <c r="V56" s="20"/>
      <c r="W56" s="20"/>
      <c r="X56" s="20"/>
      <c r="Y56" s="20"/>
      <c r="Z56" s="20"/>
      <c r="AA56" s="20"/>
      <c r="AB56" s="20"/>
      <c r="AC56" s="20"/>
    </row>
    <row r="57" spans="1:29">
      <c r="A57" s="196">
        <v>11</v>
      </c>
      <c r="B57" s="170" t="s">
        <v>263</v>
      </c>
      <c r="C57" s="170"/>
      <c r="D57" s="170"/>
      <c r="E57" s="170"/>
      <c r="F57" s="170"/>
      <c r="G57" s="170"/>
      <c r="H57" s="170"/>
      <c r="I57" s="170"/>
      <c r="J57" s="5">
        <f>IF(HTDMD!P37=0,Ztd!J23*HTAE!J53*Ztd!J29,Ztd!J23*HTAE!J53*Ztd!J29/2)</f>
        <v>0</v>
      </c>
      <c r="K57" s="170"/>
      <c r="L57" s="5">
        <f>IF(HTDMD!R37=0,Ztd!L23*HTAE!L53*Ztd!L29,Ztd!L23*HTAE!L53*Ztd!L29/2)</f>
        <v>0</v>
      </c>
      <c r="M57" s="229"/>
      <c r="N57" s="5">
        <f>IF(HTDMD!T37=0,Ztd!N23*HTAE!N53*Ztd!N29,Ztd!N23*HTAE!N53*Ztd!N29/2)</f>
        <v>0</v>
      </c>
      <c r="O57" s="170"/>
      <c r="P57" s="5">
        <f>IF(HTDMD!V37=0,Ztd!P23*HTAE!P53*Ztd!P29,Ztd!P23*HTAE!P53*Ztd!P29/2)</f>
        <v>0</v>
      </c>
      <c r="Q57" s="170"/>
      <c r="R57" s="5">
        <f>IF(HTDMD!X37=0,Ztd!R23*HTAE!R53*Ztd!R29,Ztd!R23*HTAE!R53*Ztd!R29/2)</f>
        <v>0</v>
      </c>
      <c r="S57" s="204"/>
      <c r="T57" s="42"/>
      <c r="U57" s="25"/>
      <c r="V57" s="20"/>
      <c r="W57" s="20"/>
      <c r="X57" s="20"/>
      <c r="Y57" s="20"/>
      <c r="Z57" s="20"/>
      <c r="AA57" s="20"/>
      <c r="AB57" s="20"/>
      <c r="AC57" s="20"/>
    </row>
    <row r="58" spans="1:29">
      <c r="A58" s="196"/>
      <c r="B58" s="170"/>
      <c r="C58" s="170"/>
      <c r="D58" s="170"/>
      <c r="E58" s="170"/>
      <c r="F58" s="170"/>
      <c r="G58" s="170"/>
      <c r="H58" s="170"/>
      <c r="I58" s="170"/>
      <c r="J58" s="170"/>
      <c r="K58" s="170"/>
      <c r="L58" s="170"/>
      <c r="M58" s="170"/>
      <c r="N58" s="170"/>
      <c r="O58" s="170"/>
      <c r="P58" s="170"/>
      <c r="Q58" s="170"/>
      <c r="R58" s="170"/>
      <c r="S58" s="204"/>
      <c r="T58" s="42"/>
      <c r="U58" s="25"/>
      <c r="V58" s="20"/>
      <c r="W58" s="20"/>
      <c r="X58" s="20"/>
      <c r="Y58" s="20"/>
      <c r="Z58" s="20"/>
      <c r="AA58" s="20"/>
      <c r="AB58" s="20"/>
      <c r="AC58" s="20"/>
    </row>
    <row r="59" spans="1:29">
      <c r="A59" s="196">
        <v>12</v>
      </c>
      <c r="B59" s="170" t="s">
        <v>264</v>
      </c>
      <c r="C59" s="170"/>
      <c r="D59" s="170"/>
      <c r="E59" s="170"/>
      <c r="F59" s="170"/>
      <c r="G59" s="170"/>
      <c r="H59" s="170"/>
      <c r="I59" s="170"/>
      <c r="J59" s="170"/>
      <c r="K59" s="170"/>
      <c r="L59" s="170"/>
      <c r="M59" s="170"/>
      <c r="N59" s="170"/>
      <c r="O59" s="312">
        <f>J57+L57+N57+P57+R57</f>
        <v>0</v>
      </c>
      <c r="P59" s="312"/>
      <c r="Q59" s="168"/>
      <c r="R59" s="206" t="s">
        <v>184</v>
      </c>
      <c r="S59" s="204"/>
      <c r="T59" s="42"/>
      <c r="U59" s="25"/>
      <c r="V59" s="20"/>
      <c r="W59" s="20"/>
      <c r="X59" s="20"/>
      <c r="Y59" s="20"/>
      <c r="Z59" s="20"/>
      <c r="AA59" s="20"/>
      <c r="AB59" s="20"/>
      <c r="AC59" s="20"/>
    </row>
    <row r="60" spans="1:29">
      <c r="A60" s="196"/>
      <c r="B60" s="170"/>
      <c r="C60" s="170"/>
      <c r="D60" s="170"/>
      <c r="E60" s="170"/>
      <c r="F60" s="170"/>
      <c r="G60" s="170"/>
      <c r="H60" s="170"/>
      <c r="I60" s="170"/>
      <c r="J60" s="170"/>
      <c r="K60" s="170"/>
      <c r="L60" s="170"/>
      <c r="M60" s="170"/>
      <c r="N60" s="170"/>
      <c r="O60" s="170"/>
      <c r="P60" s="170"/>
      <c r="Q60" s="170"/>
      <c r="R60" s="170"/>
      <c r="S60" s="204"/>
      <c r="T60" s="42"/>
      <c r="U60" s="25"/>
      <c r="V60" s="20"/>
      <c r="W60" s="20"/>
      <c r="X60" s="20"/>
      <c r="Y60" s="20"/>
      <c r="Z60" s="20"/>
      <c r="AA60" s="20"/>
      <c r="AB60" s="20"/>
      <c r="AC60" s="20"/>
    </row>
    <row r="61" spans="1:29">
      <c r="A61" s="196">
        <v>13</v>
      </c>
      <c r="B61" s="170" t="s">
        <v>265</v>
      </c>
      <c r="C61" s="170"/>
      <c r="D61" s="170"/>
      <c r="E61" s="170"/>
      <c r="F61" s="170"/>
      <c r="G61" s="405" t="s">
        <v>335</v>
      </c>
      <c r="H61" s="405"/>
      <c r="I61" s="8"/>
      <c r="J61" s="170"/>
      <c r="K61" s="170"/>
      <c r="L61" s="170"/>
      <c r="M61" s="170"/>
      <c r="N61" s="170"/>
      <c r="O61" s="312">
        <f>IFERROR((ROUND(IF(I61="a",U63,IF(I61="B",U65,U67)),1)),0)</f>
        <v>0</v>
      </c>
      <c r="P61" s="312"/>
      <c r="Q61" s="168"/>
      <c r="R61" s="206" t="s">
        <v>52</v>
      </c>
      <c r="S61" s="204"/>
      <c r="T61" s="42"/>
      <c r="U61" s="25"/>
      <c r="V61" s="20"/>
      <c r="W61" s="20"/>
      <c r="X61" s="20"/>
      <c r="Y61" s="20"/>
      <c r="Z61" s="20"/>
      <c r="AA61" s="20"/>
      <c r="AB61" s="20"/>
      <c r="AC61" s="20"/>
    </row>
    <row r="62" spans="1:29">
      <c r="A62" s="195"/>
      <c r="B62" s="170"/>
      <c r="C62" s="170"/>
      <c r="D62" s="170"/>
      <c r="E62" s="170"/>
      <c r="F62" s="170"/>
      <c r="G62" s="170"/>
      <c r="H62" s="167"/>
      <c r="I62" s="170"/>
      <c r="J62" s="170"/>
      <c r="K62" s="170"/>
      <c r="L62" s="170"/>
      <c r="M62" s="170"/>
      <c r="N62" s="170"/>
      <c r="O62" s="170"/>
      <c r="P62" s="170"/>
      <c r="Q62" s="170"/>
      <c r="R62" s="170"/>
      <c r="S62" s="204"/>
      <c r="T62" s="42"/>
      <c r="U62" s="25"/>
      <c r="V62" s="20"/>
      <c r="W62" s="20"/>
      <c r="X62" s="20"/>
      <c r="Y62" s="20"/>
      <c r="Z62" s="20"/>
      <c r="AA62" s="20"/>
      <c r="AB62" s="20"/>
      <c r="AC62" s="20"/>
    </row>
    <row r="63" spans="1:29" ht="12.75" customHeight="1">
      <c r="A63" s="235"/>
      <c r="B63" s="170" t="s">
        <v>105</v>
      </c>
      <c r="C63" s="170" t="s">
        <v>266</v>
      </c>
      <c r="D63" s="170"/>
      <c r="E63" s="170"/>
      <c r="F63" s="170"/>
      <c r="G63" s="217" t="s">
        <v>267</v>
      </c>
      <c r="H63" s="177" t="s">
        <v>268</v>
      </c>
      <c r="I63" s="250" t="s">
        <v>269</v>
      </c>
      <c r="J63" s="170"/>
      <c r="K63" s="170"/>
      <c r="L63" s="170"/>
      <c r="M63" s="170"/>
      <c r="N63" s="170"/>
      <c r="O63" s="402"/>
      <c r="P63" s="402"/>
      <c r="Q63" s="168"/>
      <c r="R63" s="206"/>
      <c r="S63" s="204"/>
      <c r="T63" s="86"/>
      <c r="U63" s="25">
        <f>(SQRT(O59))/2</f>
        <v>0</v>
      </c>
      <c r="V63" s="20"/>
      <c r="W63" s="20"/>
      <c r="X63" s="20"/>
      <c r="Y63" s="20"/>
      <c r="Z63" s="20"/>
      <c r="AA63" s="20"/>
      <c r="AB63" s="20"/>
      <c r="AC63" s="20"/>
    </row>
    <row r="64" spans="1:29">
      <c r="A64" s="195"/>
      <c r="B64" s="171"/>
      <c r="C64" s="170"/>
      <c r="D64" s="170"/>
      <c r="E64" s="170"/>
      <c r="F64" s="170"/>
      <c r="G64" s="170"/>
      <c r="H64" s="170"/>
      <c r="I64" s="170"/>
      <c r="J64" s="170"/>
      <c r="K64" s="170"/>
      <c r="L64" s="170"/>
      <c r="M64" s="170"/>
      <c r="N64" s="170"/>
      <c r="O64" s="170"/>
      <c r="P64" s="170"/>
      <c r="Q64" s="170"/>
      <c r="R64" s="170"/>
      <c r="S64" s="204"/>
      <c r="T64" s="86"/>
      <c r="U64" s="25"/>
      <c r="V64" s="20"/>
      <c r="W64" s="20"/>
      <c r="X64" s="20"/>
      <c r="Y64" s="20"/>
      <c r="Z64" s="20"/>
      <c r="AA64" s="20"/>
      <c r="AB64" s="20"/>
      <c r="AC64" s="20"/>
    </row>
    <row r="65" spans="1:29">
      <c r="A65" s="195"/>
      <c r="B65" s="170" t="s">
        <v>107</v>
      </c>
      <c r="C65" s="170" t="s">
        <v>270</v>
      </c>
      <c r="D65" s="170"/>
      <c r="E65" s="170"/>
      <c r="F65" s="170"/>
      <c r="G65" s="170"/>
      <c r="H65" s="170"/>
      <c r="I65" s="167"/>
      <c r="J65" s="167"/>
      <c r="K65" s="170"/>
      <c r="L65" s="170"/>
      <c r="M65" s="170"/>
      <c r="N65" s="170"/>
      <c r="O65" s="402"/>
      <c r="P65" s="402"/>
      <c r="Q65" s="168"/>
      <c r="R65" s="206"/>
      <c r="S65" s="204"/>
      <c r="T65" s="86"/>
      <c r="U65" s="25">
        <f>(SQRT(Datum!N89^2+(4*HTAE!O59))-Datum!N89)/4</f>
        <v>0</v>
      </c>
      <c r="V65" s="20"/>
      <c r="W65" s="20"/>
      <c r="X65" s="20"/>
      <c r="Y65" s="20"/>
      <c r="Z65" s="20"/>
      <c r="AA65" s="20"/>
      <c r="AB65" s="20"/>
      <c r="AC65" s="20"/>
    </row>
    <row r="66" spans="1:29">
      <c r="A66" s="195"/>
      <c r="B66" s="171"/>
      <c r="C66" s="170"/>
      <c r="D66" s="170"/>
      <c r="E66" s="170"/>
      <c r="F66" s="170"/>
      <c r="G66" s="170"/>
      <c r="H66" s="217" t="s">
        <v>274</v>
      </c>
      <c r="I66" s="170" t="s">
        <v>272</v>
      </c>
      <c r="J66" s="170" t="s">
        <v>273</v>
      </c>
      <c r="K66" s="170" t="s">
        <v>84</v>
      </c>
      <c r="L66" s="170" t="s">
        <v>275</v>
      </c>
      <c r="M66" s="170"/>
      <c r="N66" s="170"/>
      <c r="O66" s="170"/>
      <c r="P66" s="170"/>
      <c r="Q66" s="170"/>
      <c r="R66" s="170"/>
      <c r="S66" s="204"/>
      <c r="T66" s="86"/>
      <c r="U66" s="25"/>
      <c r="V66" s="20"/>
      <c r="W66" s="20"/>
      <c r="X66" s="20"/>
      <c r="Y66" s="20"/>
      <c r="Z66" s="20"/>
      <c r="AA66" s="20"/>
      <c r="AB66" s="20"/>
      <c r="AC66" s="20"/>
    </row>
    <row r="67" spans="1:29">
      <c r="A67" s="195"/>
      <c r="B67" s="170" t="s">
        <v>109</v>
      </c>
      <c r="C67" s="206" t="s">
        <v>271</v>
      </c>
      <c r="D67" s="170"/>
      <c r="E67" s="170"/>
      <c r="F67" s="170"/>
      <c r="G67" s="170"/>
      <c r="H67" s="170"/>
      <c r="I67" s="170"/>
      <c r="J67" s="170"/>
      <c r="K67" s="170"/>
      <c r="L67" s="170"/>
      <c r="M67" s="170"/>
      <c r="N67" s="170"/>
      <c r="O67" s="402"/>
      <c r="P67" s="402"/>
      <c r="Q67" s="168"/>
      <c r="R67" s="206"/>
      <c r="S67" s="204"/>
      <c r="T67" s="86"/>
      <c r="U67" s="25" t="e">
        <f>O59/(2*O27)</f>
        <v>#DIV/0!</v>
      </c>
      <c r="V67" s="20"/>
      <c r="W67" s="20"/>
      <c r="X67" s="20"/>
      <c r="Y67" s="20"/>
      <c r="Z67" s="20"/>
      <c r="AA67" s="20"/>
      <c r="AB67" s="20"/>
      <c r="AC67" s="20"/>
    </row>
    <row r="68" spans="1:29">
      <c r="A68" s="195"/>
      <c r="B68" s="170"/>
      <c r="C68" s="170"/>
      <c r="D68" s="170"/>
      <c r="E68" s="170"/>
      <c r="F68" s="170"/>
      <c r="G68" s="229" t="s">
        <v>277</v>
      </c>
      <c r="H68" s="170" t="s">
        <v>276</v>
      </c>
      <c r="I68" s="168"/>
      <c r="J68" s="170"/>
      <c r="K68" s="170"/>
      <c r="L68" s="170"/>
      <c r="M68" s="170"/>
      <c r="N68" s="170"/>
      <c r="O68" s="170"/>
      <c r="P68" s="170"/>
      <c r="Q68" s="170"/>
      <c r="R68" s="170"/>
      <c r="S68" s="204"/>
      <c r="T68" s="86"/>
      <c r="U68" s="25"/>
      <c r="V68" s="20"/>
      <c r="W68" s="20"/>
      <c r="X68" s="20"/>
      <c r="Y68" s="20"/>
      <c r="Z68" s="20"/>
      <c r="AA68" s="20"/>
      <c r="AB68" s="20"/>
      <c r="AC68" s="20"/>
    </row>
    <row r="69" spans="1:29">
      <c r="A69" s="195"/>
      <c r="B69" s="170"/>
      <c r="C69" s="170"/>
      <c r="D69" s="170"/>
      <c r="E69" s="170"/>
      <c r="F69" s="170"/>
      <c r="G69" s="170"/>
      <c r="H69" s="170"/>
      <c r="I69" s="170"/>
      <c r="J69" s="170"/>
      <c r="K69" s="170"/>
      <c r="L69" s="170"/>
      <c r="M69" s="170"/>
      <c r="N69" s="170"/>
      <c r="O69" s="170"/>
      <c r="P69" s="170"/>
      <c r="Q69" s="170"/>
      <c r="R69" s="170"/>
      <c r="S69" s="204"/>
      <c r="T69" s="86"/>
      <c r="U69" s="25"/>
      <c r="V69" s="20"/>
      <c r="W69" s="20"/>
      <c r="X69" s="20"/>
      <c r="Y69" s="20"/>
      <c r="Z69" s="20"/>
      <c r="AA69" s="20"/>
      <c r="AB69" s="20"/>
      <c r="AC69" s="20"/>
    </row>
    <row r="70" spans="1:29">
      <c r="A70" s="196">
        <v>14</v>
      </c>
      <c r="B70" s="171" t="s">
        <v>278</v>
      </c>
      <c r="C70" s="170"/>
      <c r="D70" s="170"/>
      <c r="E70" s="170"/>
      <c r="F70" s="170"/>
      <c r="G70" s="170"/>
      <c r="H70" s="170"/>
      <c r="I70" s="170"/>
      <c r="J70" s="170"/>
      <c r="K70" s="170"/>
      <c r="L70" s="170"/>
      <c r="M70" s="170"/>
      <c r="N70" s="170"/>
      <c r="O70" s="170"/>
      <c r="P70" s="170"/>
      <c r="Q70" s="170"/>
      <c r="R70" s="170"/>
      <c r="S70" s="204"/>
      <c r="T70" s="86"/>
      <c r="U70" s="25"/>
      <c r="V70" s="20"/>
      <c r="W70" s="20"/>
      <c r="X70" s="20"/>
      <c r="Y70" s="20"/>
      <c r="Z70" s="20"/>
      <c r="AA70" s="20"/>
      <c r="AB70" s="20"/>
      <c r="AC70" s="20"/>
    </row>
    <row r="71" spans="1:29">
      <c r="A71" s="195"/>
      <c r="B71" s="170"/>
      <c r="C71" s="170"/>
      <c r="D71" s="170"/>
      <c r="E71" s="170"/>
      <c r="F71" s="170"/>
      <c r="G71" s="170"/>
      <c r="H71" s="170"/>
      <c r="I71" s="170"/>
      <c r="J71" s="170"/>
      <c r="K71" s="170"/>
      <c r="L71" s="170"/>
      <c r="M71" s="170"/>
      <c r="N71" s="170"/>
      <c r="O71" s="170"/>
      <c r="P71" s="170"/>
      <c r="Q71" s="170"/>
      <c r="R71" s="170"/>
      <c r="S71" s="204"/>
      <c r="T71" s="86"/>
      <c r="U71" s="25"/>
      <c r="V71" s="20"/>
      <c r="W71" s="20"/>
      <c r="X71" s="20"/>
      <c r="Y71" s="20"/>
      <c r="Z71" s="20"/>
      <c r="AA71" s="20"/>
      <c r="AB71" s="20"/>
      <c r="AC71" s="20"/>
    </row>
    <row r="72" spans="1:29">
      <c r="A72" s="195"/>
      <c r="B72" s="171" t="s">
        <v>105</v>
      </c>
      <c r="C72" s="170" t="s">
        <v>191</v>
      </c>
      <c r="D72" s="170"/>
      <c r="E72" s="170"/>
      <c r="F72" s="170"/>
      <c r="G72" s="170"/>
      <c r="H72" s="170" t="s">
        <v>336</v>
      </c>
      <c r="I72" s="251"/>
      <c r="J72" s="170"/>
      <c r="K72" s="170"/>
      <c r="L72" s="170" t="s">
        <v>191</v>
      </c>
      <c r="M72" s="170"/>
      <c r="N72" s="170"/>
      <c r="O72" s="312">
        <f>IF(I72=0,0,IF(I72="i",U74,U76))</f>
        <v>0</v>
      </c>
      <c r="P72" s="312"/>
      <c r="Q72" s="170"/>
      <c r="R72" s="170" t="s">
        <v>52</v>
      </c>
      <c r="S72" s="204"/>
      <c r="T72" s="86"/>
      <c r="U72" s="25"/>
      <c r="V72" s="20"/>
      <c r="W72" s="20"/>
      <c r="X72" s="20"/>
      <c r="Y72" s="20"/>
      <c r="Z72" s="20"/>
      <c r="AA72" s="20"/>
      <c r="AB72" s="20"/>
      <c r="AC72" s="20"/>
    </row>
    <row r="73" spans="1:29">
      <c r="A73" s="195"/>
      <c r="B73" s="170"/>
      <c r="C73" s="170"/>
      <c r="D73" s="170"/>
      <c r="E73" s="170"/>
      <c r="F73" s="170"/>
      <c r="G73" s="170"/>
      <c r="H73" s="170"/>
      <c r="I73" s="170"/>
      <c r="J73" s="170"/>
      <c r="K73" s="170"/>
      <c r="L73" s="170"/>
      <c r="M73" s="170"/>
      <c r="N73" s="170"/>
      <c r="O73" s="170"/>
      <c r="P73" s="170"/>
      <c r="Q73" s="170"/>
      <c r="R73" s="170"/>
      <c r="S73" s="204"/>
      <c r="T73" s="86"/>
      <c r="U73" s="25"/>
      <c r="V73" s="20"/>
      <c r="W73" s="20"/>
      <c r="X73" s="20"/>
      <c r="Y73" s="20"/>
      <c r="Z73" s="20"/>
      <c r="AA73" s="20"/>
      <c r="AB73" s="20"/>
      <c r="AC73" s="20"/>
    </row>
    <row r="74" spans="1:29">
      <c r="A74" s="195"/>
      <c r="B74" s="249" t="s">
        <v>279</v>
      </c>
      <c r="C74" s="170" t="s">
        <v>266</v>
      </c>
      <c r="D74" s="170"/>
      <c r="E74" s="170"/>
      <c r="F74" s="170"/>
      <c r="G74" s="170"/>
      <c r="H74" s="170" t="s">
        <v>280</v>
      </c>
      <c r="I74" s="170"/>
      <c r="J74" s="170"/>
      <c r="K74" s="170"/>
      <c r="L74" s="170"/>
      <c r="M74" s="170"/>
      <c r="N74" s="170"/>
      <c r="O74" s="399"/>
      <c r="P74" s="399"/>
      <c r="Q74" s="170"/>
      <c r="R74" s="170"/>
      <c r="S74" s="204"/>
      <c r="T74" s="86"/>
      <c r="U74" s="25">
        <f>2*O61</f>
        <v>0</v>
      </c>
      <c r="V74" s="20"/>
      <c r="W74" s="20"/>
      <c r="X74" s="20"/>
      <c r="Y74" s="20"/>
      <c r="Z74" s="20"/>
      <c r="AA74" s="20"/>
      <c r="AB74" s="20"/>
      <c r="AC74" s="20"/>
    </row>
    <row r="75" spans="1:29">
      <c r="A75" s="195"/>
      <c r="B75" s="170"/>
      <c r="C75" s="184"/>
      <c r="D75" s="170"/>
      <c r="E75" s="170"/>
      <c r="F75" s="170"/>
      <c r="G75" s="170"/>
      <c r="H75" s="170"/>
      <c r="I75" s="170"/>
      <c r="J75" s="170"/>
      <c r="K75" s="170"/>
      <c r="L75" s="170"/>
      <c r="M75" s="170"/>
      <c r="N75" s="170"/>
      <c r="O75" s="170"/>
      <c r="P75" s="170"/>
      <c r="Q75" s="170"/>
      <c r="R75" s="170"/>
      <c r="S75" s="204"/>
      <c r="T75" s="86"/>
      <c r="U75" s="25"/>
      <c r="V75" s="20"/>
      <c r="W75" s="20"/>
      <c r="X75" s="20"/>
      <c r="Y75" s="20"/>
      <c r="Z75" s="20"/>
      <c r="AA75" s="20"/>
      <c r="AB75" s="20"/>
      <c r="AC75" s="20"/>
    </row>
    <row r="76" spans="1:29">
      <c r="A76" s="195"/>
      <c r="B76" s="249" t="s">
        <v>281</v>
      </c>
      <c r="C76" s="170" t="s">
        <v>282</v>
      </c>
      <c r="D76" s="170"/>
      <c r="E76" s="170"/>
      <c r="F76" s="170"/>
      <c r="G76" s="170"/>
      <c r="H76" s="170" t="s">
        <v>284</v>
      </c>
      <c r="I76" s="170"/>
      <c r="J76" s="170"/>
      <c r="K76" s="170"/>
      <c r="L76" s="170"/>
      <c r="M76" s="170"/>
      <c r="N76" s="170"/>
      <c r="O76" s="399"/>
      <c r="P76" s="399"/>
      <c r="Q76" s="170"/>
      <c r="R76" s="170"/>
      <c r="S76" s="204"/>
      <c r="T76" s="86"/>
      <c r="U76" s="25">
        <f>(2*O61)+Datum!N89</f>
        <v>0</v>
      </c>
      <c r="V76" s="20"/>
      <c r="W76" s="20"/>
      <c r="X76" s="20"/>
      <c r="Y76" s="20"/>
      <c r="Z76" s="20"/>
      <c r="AA76" s="20"/>
      <c r="AB76" s="20"/>
      <c r="AC76" s="20"/>
    </row>
    <row r="77" spans="1:29">
      <c r="A77" s="195"/>
      <c r="B77" s="171"/>
      <c r="C77" s="170" t="s">
        <v>283</v>
      </c>
      <c r="D77" s="170"/>
      <c r="E77" s="170"/>
      <c r="F77" s="170"/>
      <c r="G77" s="170"/>
      <c r="H77" s="170"/>
      <c r="I77" s="170"/>
      <c r="J77" s="170"/>
      <c r="K77" s="170"/>
      <c r="L77" s="170"/>
      <c r="M77" s="170"/>
      <c r="N77" s="170"/>
      <c r="O77" s="170"/>
      <c r="P77" s="170"/>
      <c r="Q77" s="170"/>
      <c r="R77" s="170"/>
      <c r="S77" s="204"/>
      <c r="T77" s="86"/>
      <c r="U77" s="25"/>
      <c r="V77" s="20"/>
      <c r="W77" s="20"/>
      <c r="X77" s="20"/>
      <c r="Y77" s="20"/>
      <c r="Z77" s="20"/>
      <c r="AA77" s="20"/>
      <c r="AB77" s="20"/>
      <c r="AC77" s="20"/>
    </row>
    <row r="78" spans="1:29">
      <c r="A78" s="195"/>
      <c r="B78" s="170"/>
      <c r="C78" s="184"/>
      <c r="D78" s="170"/>
      <c r="E78" s="170"/>
      <c r="F78" s="170"/>
      <c r="G78" s="170"/>
      <c r="H78" s="170"/>
      <c r="I78" s="170"/>
      <c r="J78" s="170"/>
      <c r="K78" s="170"/>
      <c r="L78" s="170"/>
      <c r="M78" s="170"/>
      <c r="N78" s="170"/>
      <c r="O78" s="170"/>
      <c r="P78" s="170"/>
      <c r="Q78" s="170"/>
      <c r="R78" s="170"/>
      <c r="S78" s="204"/>
      <c r="T78" s="86"/>
      <c r="U78" s="25"/>
      <c r="V78" s="20"/>
      <c r="W78" s="20"/>
      <c r="X78" s="20"/>
      <c r="Y78" s="20"/>
      <c r="Z78" s="20"/>
      <c r="AA78" s="20"/>
      <c r="AB78" s="20"/>
      <c r="AC78" s="20"/>
    </row>
    <row r="79" spans="1:29">
      <c r="A79" s="195"/>
      <c r="B79" s="249" t="s">
        <v>285</v>
      </c>
      <c r="C79" s="170" t="s">
        <v>271</v>
      </c>
      <c r="D79" s="170"/>
      <c r="E79" s="170"/>
      <c r="F79" s="170"/>
      <c r="G79" s="170" t="s">
        <v>286</v>
      </c>
      <c r="H79" s="170"/>
      <c r="I79" s="170"/>
      <c r="J79" s="170"/>
      <c r="K79" s="170"/>
      <c r="L79" s="170"/>
      <c r="M79" s="170"/>
      <c r="N79" s="170"/>
      <c r="O79" s="312">
        <f>ROUND(IF(I80=0,0,IF(I80="c",U85,IF(I80="B",U83,U81))),1)</f>
        <v>0</v>
      </c>
      <c r="P79" s="312"/>
      <c r="Q79" s="170"/>
      <c r="R79" s="170" t="s">
        <v>52</v>
      </c>
      <c r="S79" s="204"/>
      <c r="T79" s="86"/>
      <c r="U79" s="25"/>
      <c r="V79" s="20"/>
      <c r="W79" s="20"/>
      <c r="X79" s="20"/>
      <c r="Y79" s="20"/>
      <c r="Z79" s="20"/>
      <c r="AA79" s="20"/>
      <c r="AB79" s="20"/>
      <c r="AC79" s="20"/>
    </row>
    <row r="80" spans="1:29">
      <c r="A80" s="235"/>
      <c r="B80" s="184"/>
      <c r="C80" s="170"/>
      <c r="D80" s="170"/>
      <c r="E80" s="170"/>
      <c r="F80" s="170"/>
      <c r="G80" s="405" t="s">
        <v>335</v>
      </c>
      <c r="H80" s="405"/>
      <c r="I80" s="8"/>
      <c r="J80" s="170"/>
      <c r="K80" s="170"/>
      <c r="L80" s="170"/>
      <c r="M80" s="170"/>
      <c r="N80" s="170"/>
      <c r="O80" s="170"/>
      <c r="P80" s="170"/>
      <c r="Q80" s="170"/>
      <c r="R80" s="170"/>
      <c r="S80" s="204"/>
      <c r="T80" s="86"/>
      <c r="U80" s="25"/>
      <c r="V80" s="20"/>
      <c r="W80" s="20"/>
      <c r="X80" s="20"/>
      <c r="Y80" s="20"/>
      <c r="Z80" s="20"/>
      <c r="AA80" s="20"/>
      <c r="AB80" s="20"/>
      <c r="AC80" s="20"/>
    </row>
    <row r="81" spans="1:29">
      <c r="A81" s="195"/>
      <c r="B81" s="170"/>
      <c r="C81" s="249" t="s">
        <v>287</v>
      </c>
      <c r="D81" s="170" t="s">
        <v>288</v>
      </c>
      <c r="E81" s="170"/>
      <c r="F81" s="170"/>
      <c r="G81" s="170"/>
      <c r="H81" s="170" t="s">
        <v>289</v>
      </c>
      <c r="I81" s="170"/>
      <c r="J81" s="170"/>
      <c r="K81" s="170"/>
      <c r="L81" s="170"/>
      <c r="M81" s="170"/>
      <c r="N81" s="170"/>
      <c r="O81" s="170"/>
      <c r="P81" s="170"/>
      <c r="Q81" s="170"/>
      <c r="R81" s="170"/>
      <c r="S81" s="204"/>
      <c r="T81" s="86"/>
      <c r="U81" s="25">
        <f>O27</f>
        <v>0</v>
      </c>
      <c r="V81" s="20"/>
      <c r="W81" s="20"/>
      <c r="X81" s="20"/>
      <c r="Y81" s="20"/>
      <c r="Z81" s="20"/>
      <c r="AA81" s="20"/>
      <c r="AB81" s="20"/>
      <c r="AC81" s="20"/>
    </row>
    <row r="82" spans="1:29">
      <c r="A82" s="195"/>
      <c r="B82" s="170"/>
      <c r="C82" s="249"/>
      <c r="D82" s="170"/>
      <c r="E82" s="170"/>
      <c r="F82" s="170"/>
      <c r="G82" s="170"/>
      <c r="H82" s="170"/>
      <c r="I82" s="170"/>
      <c r="J82" s="170"/>
      <c r="K82" s="170"/>
      <c r="L82" s="170"/>
      <c r="M82" s="170"/>
      <c r="N82" s="170"/>
      <c r="O82" s="170"/>
      <c r="P82" s="170"/>
      <c r="Q82" s="170"/>
      <c r="R82" s="170"/>
      <c r="S82" s="204"/>
      <c r="T82" s="86"/>
      <c r="U82" s="25"/>
      <c r="V82" s="20"/>
      <c r="W82" s="20"/>
      <c r="X82" s="20"/>
      <c r="Y82" s="20"/>
      <c r="Z82" s="20"/>
      <c r="AA82" s="20"/>
      <c r="AB82" s="20"/>
      <c r="AC82" s="20"/>
    </row>
    <row r="83" spans="1:29">
      <c r="A83" s="195"/>
      <c r="B83" s="170"/>
      <c r="C83" s="249" t="s">
        <v>294</v>
      </c>
      <c r="D83" s="170" t="s">
        <v>292</v>
      </c>
      <c r="E83" s="170"/>
      <c r="F83" s="170"/>
      <c r="G83" s="170"/>
      <c r="H83" s="170" t="s">
        <v>290</v>
      </c>
      <c r="I83" s="170"/>
      <c r="J83" s="170"/>
      <c r="K83" s="170"/>
      <c r="L83" s="170"/>
      <c r="M83" s="170"/>
      <c r="N83" s="170"/>
      <c r="O83" s="170"/>
      <c r="P83" s="170"/>
      <c r="Q83" s="170"/>
      <c r="R83" s="170"/>
      <c r="S83" s="204"/>
      <c r="T83" s="86"/>
      <c r="U83" s="25">
        <f>O27+O61</f>
        <v>0</v>
      </c>
      <c r="V83" s="20"/>
      <c r="W83" s="20"/>
      <c r="X83" s="20"/>
      <c r="Y83" s="20"/>
      <c r="Z83" s="20"/>
      <c r="AA83" s="20"/>
      <c r="AB83" s="20"/>
      <c r="AC83" s="20"/>
    </row>
    <row r="84" spans="1:29">
      <c r="A84" s="195"/>
      <c r="B84" s="171"/>
      <c r="C84" s="249"/>
      <c r="D84" s="170"/>
      <c r="E84" s="170"/>
      <c r="F84" s="170"/>
      <c r="G84" s="170"/>
      <c r="H84" s="170"/>
      <c r="I84" s="170"/>
      <c r="J84" s="170"/>
      <c r="K84" s="170"/>
      <c r="L84" s="170"/>
      <c r="M84" s="170"/>
      <c r="N84" s="170"/>
      <c r="O84" s="170"/>
      <c r="P84" s="170"/>
      <c r="Q84" s="170"/>
      <c r="R84" s="170"/>
      <c r="S84" s="204"/>
      <c r="T84" s="86"/>
      <c r="U84" s="25"/>
      <c r="V84" s="20"/>
      <c r="W84" s="20"/>
      <c r="X84" s="20"/>
      <c r="Y84" s="20"/>
      <c r="Z84" s="20"/>
      <c r="AA84" s="20"/>
      <c r="AB84" s="20"/>
      <c r="AC84" s="20"/>
    </row>
    <row r="85" spans="1:29">
      <c r="A85" s="195"/>
      <c r="B85" s="170"/>
      <c r="C85" s="249" t="s">
        <v>295</v>
      </c>
      <c r="D85" s="170" t="s">
        <v>293</v>
      </c>
      <c r="E85" s="170"/>
      <c r="F85" s="170"/>
      <c r="G85" s="170"/>
      <c r="H85" s="170" t="s">
        <v>291</v>
      </c>
      <c r="I85" s="170"/>
      <c r="J85" s="170"/>
      <c r="K85" s="170"/>
      <c r="L85" s="170"/>
      <c r="M85" s="170"/>
      <c r="N85" s="170"/>
      <c r="O85" s="170"/>
      <c r="P85" s="170"/>
      <c r="Q85" s="170"/>
      <c r="R85" s="170"/>
      <c r="S85" s="204"/>
      <c r="T85" s="86"/>
      <c r="U85" s="25">
        <f>(2*O61)+O27</f>
        <v>0</v>
      </c>
      <c r="V85" s="20"/>
      <c r="W85" s="20"/>
      <c r="X85" s="20"/>
      <c r="Y85" s="20"/>
      <c r="Z85" s="20"/>
      <c r="AA85" s="20"/>
      <c r="AB85" s="20"/>
      <c r="AC85" s="20"/>
    </row>
    <row r="86" spans="1:29">
      <c r="A86" s="195"/>
      <c r="B86" s="170"/>
      <c r="C86" s="170"/>
      <c r="D86" s="170"/>
      <c r="E86" s="170"/>
      <c r="F86" s="170"/>
      <c r="G86" s="170"/>
      <c r="H86" s="170"/>
      <c r="I86" s="170"/>
      <c r="J86" s="170"/>
      <c r="K86" s="170"/>
      <c r="L86" s="170"/>
      <c r="M86" s="170"/>
      <c r="N86" s="170"/>
      <c r="O86" s="170"/>
      <c r="P86" s="170"/>
      <c r="Q86" s="170"/>
      <c r="R86" s="170"/>
      <c r="S86" s="204"/>
      <c r="T86" s="86"/>
      <c r="U86" s="25"/>
      <c r="V86" s="20"/>
      <c r="W86" s="20"/>
      <c r="X86" s="20"/>
      <c r="Y86" s="20"/>
      <c r="Z86" s="20"/>
      <c r="AA86" s="20"/>
      <c r="AB86" s="20"/>
      <c r="AC86" s="20"/>
    </row>
    <row r="87" spans="1:29">
      <c r="A87" s="195"/>
      <c r="B87" s="171" t="s">
        <v>107</v>
      </c>
      <c r="C87" s="170" t="s">
        <v>296</v>
      </c>
      <c r="D87" s="170"/>
      <c r="E87" s="170"/>
      <c r="F87" s="170"/>
      <c r="G87" s="170"/>
      <c r="H87" s="170"/>
      <c r="I87" s="170"/>
      <c r="J87" s="170"/>
      <c r="K87" s="170"/>
      <c r="L87" s="170" t="s">
        <v>297</v>
      </c>
      <c r="M87" s="170"/>
      <c r="N87" s="170"/>
      <c r="O87" s="312">
        <f>2*O61</f>
        <v>0</v>
      </c>
      <c r="P87" s="312"/>
      <c r="Q87" s="170"/>
      <c r="R87" s="170" t="s">
        <v>52</v>
      </c>
      <c r="S87" s="204"/>
      <c r="T87" s="86"/>
      <c r="U87" s="25"/>
      <c r="V87" s="20"/>
      <c r="W87" s="20"/>
      <c r="X87" s="20"/>
      <c r="Y87" s="20"/>
      <c r="Z87" s="20"/>
      <c r="AA87" s="20"/>
      <c r="AB87" s="20"/>
      <c r="AC87" s="20"/>
    </row>
    <row r="88" spans="1:29">
      <c r="A88" s="195"/>
      <c r="B88" s="170"/>
      <c r="C88" s="170"/>
      <c r="D88" s="170"/>
      <c r="E88" s="170"/>
      <c r="F88" s="170"/>
      <c r="G88" s="170"/>
      <c r="H88" s="170"/>
      <c r="I88" s="170"/>
      <c r="J88" s="170"/>
      <c r="K88" s="170"/>
      <c r="L88" s="170"/>
      <c r="M88" s="170"/>
      <c r="N88" s="170"/>
      <c r="O88" s="170"/>
      <c r="P88" s="170"/>
      <c r="Q88" s="170"/>
      <c r="R88" s="170"/>
      <c r="S88" s="204"/>
      <c r="T88" s="86"/>
      <c r="U88" s="25"/>
      <c r="V88" s="20"/>
      <c r="W88" s="20"/>
      <c r="X88" s="20"/>
      <c r="Y88" s="20"/>
      <c r="Z88" s="20"/>
      <c r="AA88" s="20"/>
      <c r="AB88" s="20"/>
      <c r="AC88" s="20"/>
    </row>
    <row r="89" spans="1:29">
      <c r="A89" s="196">
        <v>15</v>
      </c>
      <c r="B89" s="170" t="s">
        <v>298</v>
      </c>
      <c r="C89" s="170"/>
      <c r="D89" s="170"/>
      <c r="E89" s="170"/>
      <c r="F89" s="170"/>
      <c r="G89" s="170"/>
      <c r="H89" s="170"/>
      <c r="I89" s="170"/>
      <c r="J89" s="170" t="s">
        <v>299</v>
      </c>
      <c r="K89" s="170"/>
      <c r="L89" s="170"/>
      <c r="M89" s="170"/>
      <c r="N89" s="170"/>
      <c r="O89" s="8"/>
      <c r="P89" s="170"/>
      <c r="Q89" s="170"/>
      <c r="R89" s="170"/>
      <c r="S89" s="204"/>
      <c r="T89" s="86"/>
      <c r="U89" s="25"/>
      <c r="V89" s="20"/>
      <c r="W89" s="20"/>
      <c r="X89" s="20"/>
      <c r="Y89" s="20"/>
      <c r="Z89" s="20"/>
      <c r="AA89" s="20"/>
      <c r="AB89" s="20"/>
      <c r="AC89" s="20"/>
    </row>
    <row r="90" spans="1:29">
      <c r="A90" s="195"/>
      <c r="B90" s="171"/>
      <c r="C90" s="171"/>
      <c r="D90" s="170"/>
      <c r="E90" s="170"/>
      <c r="F90" s="170"/>
      <c r="G90" s="170"/>
      <c r="H90" s="170"/>
      <c r="I90" s="170"/>
      <c r="J90" s="170"/>
      <c r="K90" s="170"/>
      <c r="L90" s="170"/>
      <c r="M90" s="170"/>
      <c r="N90" s="170"/>
      <c r="O90" s="170"/>
      <c r="P90" s="170"/>
      <c r="Q90" s="170"/>
      <c r="R90" s="170"/>
      <c r="S90" s="204"/>
      <c r="T90" s="86"/>
      <c r="U90" s="25"/>
      <c r="V90" s="20"/>
      <c r="W90" s="20"/>
      <c r="X90" s="20"/>
      <c r="Y90" s="20"/>
      <c r="Z90" s="20"/>
      <c r="AA90" s="20"/>
      <c r="AB90" s="20"/>
      <c r="AC90" s="20"/>
    </row>
    <row r="91" spans="1:29">
      <c r="A91" s="196">
        <v>16</v>
      </c>
      <c r="B91" s="170" t="s">
        <v>300</v>
      </c>
      <c r="C91" s="170"/>
      <c r="D91" s="170"/>
      <c r="E91" s="170"/>
      <c r="F91" s="170"/>
      <c r="G91" s="170"/>
      <c r="H91" s="170"/>
      <c r="I91" s="170"/>
      <c r="J91" s="170" t="s">
        <v>299</v>
      </c>
      <c r="K91" s="170"/>
      <c r="L91" s="170"/>
      <c r="M91" s="170"/>
      <c r="N91" s="170"/>
      <c r="O91" s="10"/>
      <c r="P91" s="170"/>
      <c r="Q91" s="170"/>
      <c r="R91" s="170"/>
      <c r="S91" s="204"/>
      <c r="T91" s="86"/>
      <c r="U91" s="25"/>
      <c r="V91" s="20"/>
      <c r="W91" s="20"/>
      <c r="X91" s="20"/>
      <c r="Y91" s="20"/>
      <c r="Z91" s="20"/>
      <c r="AA91" s="20"/>
      <c r="AB91" s="20"/>
      <c r="AC91" s="20"/>
    </row>
    <row r="92" spans="1:29">
      <c r="A92" s="235"/>
      <c r="B92" s="170" t="s">
        <v>301</v>
      </c>
      <c r="C92" s="170"/>
      <c r="D92" s="170"/>
      <c r="E92" s="170"/>
      <c r="F92" s="170"/>
      <c r="G92" s="170"/>
      <c r="H92" s="170"/>
      <c r="I92" s="170"/>
      <c r="J92" s="170"/>
      <c r="K92" s="170"/>
      <c r="L92" s="170"/>
      <c r="M92" s="170"/>
      <c r="N92" s="170"/>
      <c r="O92" s="170"/>
      <c r="P92" s="170"/>
      <c r="Q92" s="170"/>
      <c r="R92" s="170"/>
      <c r="S92" s="204"/>
      <c r="T92" s="86"/>
      <c r="U92" s="25"/>
      <c r="V92" s="20"/>
      <c r="W92" s="20"/>
      <c r="X92" s="20"/>
      <c r="Y92" s="20"/>
      <c r="Z92" s="20"/>
      <c r="AA92" s="20"/>
      <c r="AB92" s="20"/>
      <c r="AC92" s="20"/>
    </row>
    <row r="93" spans="1:29">
      <c r="A93" s="195"/>
      <c r="B93" s="170"/>
      <c r="C93" s="170"/>
      <c r="D93" s="170"/>
      <c r="E93" s="170"/>
      <c r="F93" s="170"/>
      <c r="G93" s="170"/>
      <c r="H93" s="170"/>
      <c r="I93" s="170"/>
      <c r="J93" s="170"/>
      <c r="K93" s="170"/>
      <c r="L93" s="170"/>
      <c r="M93" s="170"/>
      <c r="N93" s="170"/>
      <c r="O93" s="170"/>
      <c r="P93" s="170"/>
      <c r="Q93" s="170"/>
      <c r="R93" s="170"/>
      <c r="S93" s="204"/>
      <c r="T93" s="86"/>
      <c r="U93" s="25"/>
      <c r="V93" s="20"/>
      <c r="W93" s="20"/>
      <c r="X93" s="20"/>
      <c r="Y93" s="20"/>
      <c r="Z93" s="20"/>
      <c r="AA93" s="20"/>
      <c r="AB93" s="20"/>
      <c r="AC93" s="20"/>
    </row>
    <row r="94" spans="1:29">
      <c r="A94" s="196">
        <v>17</v>
      </c>
      <c r="B94" s="170" t="s">
        <v>470</v>
      </c>
      <c r="C94" s="170"/>
      <c r="D94" s="170"/>
      <c r="E94" s="170"/>
      <c r="F94" s="170"/>
      <c r="G94" s="170"/>
      <c r="H94" s="170"/>
      <c r="I94" s="170"/>
      <c r="J94" s="170"/>
      <c r="K94" s="170"/>
      <c r="L94" s="170"/>
      <c r="M94" s="170"/>
      <c r="N94" s="170"/>
      <c r="O94" s="406"/>
      <c r="P94" s="407"/>
      <c r="Q94" s="170"/>
      <c r="R94" s="170"/>
      <c r="S94" s="204"/>
      <c r="T94" s="86"/>
      <c r="U94" s="25"/>
      <c r="V94" s="20"/>
      <c r="W94" s="20"/>
      <c r="X94" s="20"/>
      <c r="Y94" s="20"/>
      <c r="Z94" s="20"/>
      <c r="AA94" s="20"/>
      <c r="AB94" s="20"/>
      <c r="AC94" s="20"/>
    </row>
    <row r="95" spans="1:29">
      <c r="A95" s="195"/>
      <c r="B95" s="171" t="s">
        <v>468</v>
      </c>
      <c r="C95" s="170"/>
      <c r="D95" s="170"/>
      <c r="E95" s="170"/>
      <c r="F95" s="170"/>
      <c r="G95" s="299" t="s">
        <v>526</v>
      </c>
      <c r="H95" s="300"/>
      <c r="I95" s="9" t="e">
        <f>Ztd!J44/J53</f>
        <v>#DIV/0!</v>
      </c>
      <c r="J95" s="170"/>
      <c r="K95" s="170"/>
      <c r="L95" s="170"/>
      <c r="M95" s="170"/>
      <c r="N95" s="170"/>
      <c r="O95" s="170"/>
      <c r="P95" s="170"/>
      <c r="Q95" s="170"/>
      <c r="R95" s="170"/>
      <c r="S95" s="204"/>
      <c r="T95" s="86"/>
      <c r="U95" s="25"/>
      <c r="V95" s="20"/>
      <c r="W95" s="20"/>
      <c r="X95" s="20"/>
      <c r="Y95" s="20"/>
      <c r="Z95" s="20"/>
      <c r="AA95" s="20"/>
      <c r="AB95" s="20"/>
      <c r="AC95" s="20"/>
    </row>
    <row r="96" spans="1:29">
      <c r="A96" s="195"/>
      <c r="B96" s="170"/>
      <c r="C96" s="170"/>
      <c r="D96" s="170"/>
      <c r="E96" s="170"/>
      <c r="F96" s="170"/>
      <c r="G96" s="170"/>
      <c r="H96" s="170"/>
      <c r="I96" s="170"/>
      <c r="J96" s="170"/>
      <c r="K96" s="170"/>
      <c r="L96" s="170"/>
      <c r="M96" s="170"/>
      <c r="N96" s="170"/>
      <c r="O96" s="170"/>
      <c r="P96" s="170"/>
      <c r="Q96" s="170"/>
      <c r="R96" s="170"/>
      <c r="S96" s="204"/>
      <c r="T96" s="42"/>
      <c r="U96" s="20"/>
      <c r="V96" s="20"/>
      <c r="W96" s="20"/>
      <c r="X96" s="20"/>
      <c r="Y96" s="20"/>
      <c r="Z96" s="20"/>
      <c r="AA96" s="20"/>
      <c r="AB96" s="20"/>
      <c r="AC96" s="20"/>
    </row>
    <row r="97" spans="1:29">
      <c r="A97" s="196">
        <v>18</v>
      </c>
      <c r="B97" s="171" t="s">
        <v>471</v>
      </c>
      <c r="C97" s="170"/>
      <c r="D97" s="170"/>
      <c r="E97" s="170"/>
      <c r="F97" s="170"/>
      <c r="G97" s="170"/>
      <c r="H97" s="170"/>
      <c r="I97" s="170"/>
      <c r="J97" s="170"/>
      <c r="K97" s="170"/>
      <c r="L97" s="170"/>
      <c r="M97" s="170"/>
      <c r="N97" s="170"/>
      <c r="O97" s="407"/>
      <c r="P97" s="407"/>
      <c r="Q97" s="170"/>
      <c r="R97" s="170"/>
      <c r="S97" s="204"/>
      <c r="T97" s="51" t="s">
        <v>337</v>
      </c>
      <c r="U97" s="87"/>
      <c r="V97" s="20"/>
      <c r="W97" s="20"/>
      <c r="X97" s="20"/>
      <c r="Y97" s="20"/>
      <c r="Z97" s="20"/>
      <c r="AA97" s="20"/>
      <c r="AB97" s="20"/>
      <c r="AC97" s="20"/>
    </row>
    <row r="98" spans="1:29">
      <c r="A98" s="195"/>
      <c r="B98" s="170" t="s">
        <v>469</v>
      </c>
      <c r="C98" s="170"/>
      <c r="D98" s="170"/>
      <c r="E98" s="170"/>
      <c r="F98" s="170"/>
      <c r="G98" s="170"/>
      <c r="H98" s="170"/>
      <c r="I98" s="170"/>
      <c r="J98" s="170"/>
      <c r="K98" s="170"/>
      <c r="L98" s="170"/>
      <c r="M98" s="170"/>
      <c r="N98" s="170"/>
      <c r="O98" s="170"/>
      <c r="P98" s="170"/>
      <c r="Q98" s="170"/>
      <c r="R98" s="170"/>
      <c r="S98" s="204"/>
      <c r="T98" s="404" t="s">
        <v>354</v>
      </c>
      <c r="U98" s="404"/>
      <c r="V98" s="20"/>
      <c r="W98" s="20"/>
      <c r="X98" s="20"/>
      <c r="Y98" s="20"/>
      <c r="Z98" s="20"/>
      <c r="AA98" s="20"/>
      <c r="AB98" s="20"/>
      <c r="AC98" s="20"/>
    </row>
    <row r="99" spans="1:29" ht="13.8" thickBot="1">
      <c r="A99" s="242"/>
      <c r="B99" s="243"/>
      <c r="C99" s="243"/>
      <c r="D99" s="243"/>
      <c r="E99" s="243"/>
      <c r="F99" s="243"/>
      <c r="G99" s="243"/>
      <c r="H99" s="243"/>
      <c r="I99" s="243"/>
      <c r="J99" s="243"/>
      <c r="K99" s="243"/>
      <c r="L99" s="243"/>
      <c r="M99" s="243"/>
      <c r="N99" s="243"/>
      <c r="O99" s="243"/>
      <c r="P99" s="243"/>
      <c r="Q99" s="243"/>
      <c r="R99" s="243"/>
      <c r="S99" s="245"/>
      <c r="T99" s="42"/>
      <c r="U99" s="20"/>
      <c r="V99" s="20"/>
      <c r="W99" s="20"/>
      <c r="X99" s="20"/>
      <c r="Y99" s="20"/>
      <c r="Z99" s="20"/>
      <c r="AA99" s="20"/>
      <c r="AB99" s="20"/>
      <c r="AC99" s="20"/>
    </row>
    <row r="100" spans="1:29" ht="13.8" thickTop="1">
      <c r="A100" s="42"/>
      <c r="B100" s="42"/>
      <c r="C100" s="42"/>
      <c r="D100" s="42"/>
      <c r="E100" s="42"/>
      <c r="F100" s="42"/>
      <c r="G100" s="42"/>
      <c r="H100" s="42"/>
      <c r="I100" s="42"/>
      <c r="J100" s="42"/>
      <c r="K100" s="42"/>
      <c r="L100" s="42"/>
      <c r="M100" s="42"/>
      <c r="N100" s="42"/>
      <c r="O100" s="42"/>
      <c r="P100" s="42"/>
      <c r="Q100" s="42"/>
      <c r="R100" s="42"/>
      <c r="S100" s="42"/>
      <c r="T100" s="42"/>
      <c r="U100" s="20"/>
      <c r="V100" s="20"/>
      <c r="W100" s="20"/>
      <c r="X100" s="20"/>
      <c r="Y100" s="20"/>
      <c r="Z100" s="20"/>
      <c r="AA100" s="20"/>
      <c r="AB100" s="20"/>
      <c r="AC100" s="20"/>
    </row>
    <row r="101" spans="1:29">
      <c r="A101" s="42"/>
      <c r="B101" s="84"/>
      <c r="C101" s="42"/>
      <c r="D101" s="42"/>
      <c r="E101" s="42"/>
      <c r="F101" s="42"/>
      <c r="G101" s="42"/>
      <c r="H101" s="42"/>
      <c r="I101" s="42"/>
      <c r="J101" s="42"/>
      <c r="K101" s="42"/>
      <c r="L101" s="42"/>
      <c r="M101" s="42"/>
      <c r="N101" s="42"/>
      <c r="O101" s="42"/>
      <c r="P101" s="42"/>
      <c r="Q101" s="42"/>
      <c r="R101" s="42"/>
      <c r="S101" s="42"/>
      <c r="T101" s="42"/>
      <c r="U101" s="20"/>
      <c r="V101" s="20"/>
      <c r="W101" s="20"/>
      <c r="X101" s="20"/>
      <c r="Y101" s="20"/>
      <c r="Z101" s="20"/>
      <c r="AA101" s="20"/>
      <c r="AB101" s="20"/>
      <c r="AC101" s="20"/>
    </row>
    <row r="102" spans="1:29">
      <c r="A102" s="42"/>
      <c r="B102" s="42"/>
      <c r="C102" s="42"/>
      <c r="D102" s="42"/>
      <c r="E102" s="42"/>
      <c r="F102" s="42"/>
      <c r="G102" s="42"/>
      <c r="H102" s="42"/>
      <c r="I102" s="42"/>
      <c r="J102" s="42"/>
      <c r="K102" s="42"/>
      <c r="L102" s="42"/>
      <c r="M102" s="42"/>
      <c r="N102" s="42"/>
      <c r="O102" s="42"/>
      <c r="P102" s="42"/>
      <c r="Q102" s="42"/>
      <c r="R102" s="42"/>
      <c r="S102" s="42"/>
      <c r="T102" s="42"/>
      <c r="U102" s="20"/>
      <c r="V102" s="20"/>
      <c r="W102" s="20"/>
      <c r="X102" s="20"/>
      <c r="Y102" s="20"/>
      <c r="Z102" s="20"/>
      <c r="AA102" s="20"/>
      <c r="AB102" s="20"/>
      <c r="AC102" s="20"/>
    </row>
    <row r="103" spans="1:29">
      <c r="A103" s="42"/>
      <c r="B103" s="42"/>
      <c r="C103" s="42"/>
      <c r="D103" s="42"/>
      <c r="E103" s="42"/>
      <c r="F103" s="42"/>
      <c r="G103" s="42"/>
      <c r="H103" s="42"/>
      <c r="I103" s="42"/>
      <c r="J103" s="42"/>
      <c r="K103" s="42"/>
      <c r="L103" s="42"/>
      <c r="M103" s="42"/>
      <c r="N103" s="42"/>
      <c r="O103" s="42"/>
      <c r="P103" s="42"/>
      <c r="Q103" s="42"/>
      <c r="R103" s="42"/>
      <c r="S103" s="42"/>
      <c r="T103" s="42"/>
      <c r="U103" s="20"/>
      <c r="V103" s="20"/>
      <c r="W103" s="20"/>
      <c r="X103" s="20"/>
      <c r="Y103" s="20"/>
      <c r="Z103" s="20"/>
      <c r="AA103" s="20"/>
      <c r="AB103" s="20"/>
      <c r="AC103" s="20"/>
    </row>
    <row r="104" spans="1:29">
      <c r="A104" s="42"/>
      <c r="B104" s="42"/>
      <c r="C104" s="42"/>
      <c r="D104" s="42"/>
      <c r="E104" s="42"/>
      <c r="F104" s="42"/>
      <c r="G104" s="42"/>
      <c r="H104" s="42"/>
      <c r="I104" s="42"/>
      <c r="J104" s="42"/>
      <c r="K104" s="42"/>
      <c r="L104" s="42"/>
      <c r="M104" s="42"/>
      <c r="N104" s="42"/>
      <c r="O104" s="42"/>
      <c r="P104" s="42"/>
      <c r="Q104" s="42"/>
      <c r="R104" s="42"/>
      <c r="S104" s="42"/>
      <c r="T104" s="42"/>
      <c r="U104" s="20"/>
      <c r="V104" s="20"/>
      <c r="W104" s="20"/>
      <c r="X104" s="20"/>
      <c r="Y104" s="20"/>
      <c r="Z104" s="20"/>
      <c r="AA104" s="20"/>
      <c r="AB104" s="20"/>
      <c r="AC104" s="20"/>
    </row>
    <row r="105" spans="1:29">
      <c r="A105" s="42"/>
      <c r="B105" s="42"/>
      <c r="C105" s="42"/>
      <c r="D105" s="42"/>
      <c r="E105" s="42"/>
      <c r="F105" s="42"/>
      <c r="G105" s="42"/>
      <c r="H105" s="42"/>
      <c r="I105" s="42"/>
      <c r="J105" s="42"/>
      <c r="K105" s="42"/>
      <c r="L105" s="42"/>
      <c r="M105" s="42"/>
      <c r="N105" s="42"/>
      <c r="O105" s="42"/>
      <c r="P105" s="42"/>
      <c r="Q105" s="42"/>
      <c r="R105" s="42"/>
      <c r="S105" s="42"/>
      <c r="T105" s="42"/>
      <c r="U105" s="20"/>
      <c r="V105" s="20"/>
      <c r="W105" s="20"/>
      <c r="X105" s="20"/>
      <c r="Y105" s="20"/>
      <c r="Z105" s="20"/>
      <c r="AA105" s="20"/>
      <c r="AB105" s="20"/>
      <c r="AC105" s="20"/>
    </row>
    <row r="106" spans="1:29">
      <c r="A106" s="42"/>
      <c r="B106" s="42"/>
      <c r="C106" s="42"/>
      <c r="D106" s="42"/>
      <c r="E106" s="42"/>
      <c r="F106" s="42"/>
      <c r="G106" s="42"/>
      <c r="H106" s="42"/>
      <c r="I106" s="42"/>
      <c r="J106" s="42"/>
      <c r="K106" s="42"/>
      <c r="L106" s="42"/>
      <c r="M106" s="42"/>
      <c r="N106" s="42"/>
      <c r="O106" s="42"/>
      <c r="P106" s="42"/>
      <c r="Q106" s="42"/>
      <c r="R106" s="42"/>
      <c r="S106" s="42"/>
      <c r="T106" s="42"/>
      <c r="U106" s="20"/>
      <c r="V106" s="20"/>
      <c r="W106" s="20"/>
      <c r="X106" s="20"/>
      <c r="Y106" s="20"/>
      <c r="Z106" s="20"/>
      <c r="AA106" s="20"/>
      <c r="AB106" s="20"/>
      <c r="AC106" s="20"/>
    </row>
    <row r="107" spans="1:29">
      <c r="A107" s="42"/>
      <c r="B107" s="42"/>
      <c r="C107" s="42"/>
      <c r="D107" s="42"/>
      <c r="E107" s="42"/>
      <c r="F107" s="42"/>
      <c r="G107" s="42"/>
      <c r="H107" s="42"/>
      <c r="I107" s="42"/>
      <c r="J107" s="42"/>
      <c r="K107" s="42"/>
      <c r="L107" s="42"/>
      <c r="M107" s="42"/>
      <c r="N107" s="42"/>
      <c r="O107" s="42"/>
      <c r="P107" s="42"/>
      <c r="Q107" s="42"/>
      <c r="R107" s="42"/>
      <c r="S107" s="42"/>
      <c r="T107" s="42"/>
      <c r="U107" s="20"/>
      <c r="V107" s="20"/>
      <c r="W107" s="20"/>
      <c r="X107" s="20"/>
      <c r="Y107" s="20"/>
      <c r="Z107" s="20"/>
      <c r="AA107" s="20"/>
      <c r="AB107" s="20"/>
      <c r="AC107" s="20"/>
    </row>
    <row r="108" spans="1:29">
      <c r="A108" s="42"/>
      <c r="B108" s="42"/>
      <c r="C108" s="42"/>
      <c r="D108" s="42"/>
      <c r="E108" s="42"/>
      <c r="F108" s="42"/>
      <c r="G108" s="42"/>
      <c r="H108" s="42"/>
      <c r="I108" s="42"/>
      <c r="J108" s="42"/>
      <c r="K108" s="42"/>
      <c r="L108" s="42"/>
      <c r="M108" s="42"/>
      <c r="N108" s="42"/>
      <c r="O108" s="42"/>
      <c r="P108" s="42"/>
      <c r="Q108" s="42"/>
      <c r="R108" s="42"/>
      <c r="S108" s="42"/>
      <c r="T108" s="42"/>
      <c r="U108" s="20"/>
      <c r="V108" s="20"/>
      <c r="W108" s="20"/>
      <c r="X108" s="20"/>
      <c r="Y108" s="20"/>
      <c r="Z108" s="20"/>
      <c r="AA108" s="20"/>
      <c r="AB108" s="20"/>
      <c r="AC108" s="20"/>
    </row>
    <row r="109" spans="1:29">
      <c r="A109" s="42"/>
      <c r="B109" s="42"/>
      <c r="C109" s="42"/>
      <c r="D109" s="42"/>
      <c r="E109" s="42"/>
      <c r="F109" s="42"/>
      <c r="G109" s="42"/>
      <c r="H109" s="42"/>
      <c r="I109" s="42"/>
      <c r="J109" s="42"/>
      <c r="K109" s="42"/>
      <c r="L109" s="42"/>
      <c r="M109" s="42"/>
      <c r="N109" s="42"/>
      <c r="O109" s="42"/>
      <c r="P109" s="42"/>
      <c r="Q109" s="42"/>
      <c r="R109" s="42"/>
      <c r="S109" s="42"/>
      <c r="T109" s="42"/>
      <c r="U109" s="20"/>
      <c r="V109" s="20"/>
      <c r="W109" s="20"/>
      <c r="X109" s="20"/>
      <c r="Y109" s="20"/>
      <c r="Z109" s="20"/>
      <c r="AA109" s="20"/>
      <c r="AB109" s="20"/>
      <c r="AC109" s="20"/>
    </row>
    <row r="110" spans="1:29">
      <c r="A110" s="42"/>
      <c r="B110" s="42"/>
      <c r="C110" s="42"/>
      <c r="D110" s="42"/>
      <c r="E110" s="42"/>
      <c r="F110" s="42"/>
      <c r="G110" s="42"/>
      <c r="H110" s="42"/>
      <c r="I110" s="42"/>
      <c r="J110" s="42"/>
      <c r="K110" s="42"/>
      <c r="L110" s="42"/>
      <c r="M110" s="42"/>
      <c r="N110" s="42"/>
      <c r="O110" s="42"/>
      <c r="P110" s="42"/>
      <c r="Q110" s="42"/>
      <c r="R110" s="42"/>
      <c r="S110" s="42"/>
      <c r="T110" s="42"/>
      <c r="U110" s="20"/>
      <c r="V110" s="20"/>
      <c r="W110" s="20"/>
      <c r="X110" s="20"/>
      <c r="Y110" s="20"/>
      <c r="Z110" s="20"/>
      <c r="AA110" s="20"/>
      <c r="AB110" s="20"/>
      <c r="AC110" s="20"/>
    </row>
    <row r="111" spans="1:29">
      <c r="A111" s="42"/>
      <c r="B111" s="42"/>
      <c r="C111" s="42"/>
      <c r="D111" s="42"/>
      <c r="E111" s="42"/>
      <c r="F111" s="42"/>
      <c r="G111" s="42"/>
      <c r="H111" s="42"/>
      <c r="I111" s="42"/>
      <c r="J111" s="42"/>
      <c r="K111" s="42"/>
      <c r="L111" s="42"/>
      <c r="M111" s="42"/>
      <c r="N111" s="42"/>
      <c r="O111" s="42"/>
      <c r="P111" s="42"/>
      <c r="Q111" s="42"/>
      <c r="R111" s="42"/>
      <c r="S111" s="42"/>
      <c r="T111" s="42"/>
      <c r="U111" s="20"/>
      <c r="V111" s="20"/>
      <c r="W111" s="20"/>
      <c r="X111" s="20"/>
      <c r="Y111" s="20"/>
      <c r="Z111" s="20"/>
      <c r="AA111" s="20"/>
      <c r="AB111" s="20"/>
      <c r="AC111" s="20"/>
    </row>
    <row r="112" spans="1:29">
      <c r="A112" s="42"/>
      <c r="B112" s="42"/>
      <c r="C112" s="42"/>
      <c r="D112" s="42"/>
      <c r="E112" s="42"/>
      <c r="F112" s="42"/>
      <c r="G112" s="42"/>
      <c r="H112" s="42"/>
      <c r="I112" s="42"/>
      <c r="J112" s="42"/>
      <c r="K112" s="42"/>
      <c r="L112" s="42"/>
      <c r="M112" s="42"/>
      <c r="N112" s="42"/>
      <c r="O112" s="42"/>
      <c r="P112" s="42"/>
      <c r="Q112" s="42"/>
      <c r="R112" s="42"/>
      <c r="S112" s="42"/>
      <c r="T112" s="42"/>
      <c r="U112" s="20"/>
      <c r="V112" s="20"/>
      <c r="W112" s="20"/>
      <c r="X112" s="20"/>
      <c r="Y112" s="20"/>
      <c r="Z112" s="20"/>
      <c r="AA112" s="20"/>
      <c r="AB112" s="20"/>
      <c r="AC112" s="20"/>
    </row>
    <row r="113" spans="1:29">
      <c r="A113" s="20"/>
      <c r="B113" s="20"/>
      <c r="C113" s="20"/>
      <c r="D113" s="20"/>
      <c r="E113" s="20"/>
      <c r="F113" s="20"/>
      <c r="G113" s="20"/>
      <c r="H113" s="20"/>
      <c r="I113" s="20"/>
      <c r="J113" s="20"/>
      <c r="K113" s="20"/>
      <c r="L113" s="20"/>
      <c r="M113" s="20"/>
      <c r="N113" s="20"/>
      <c r="O113" s="20"/>
      <c r="P113" s="20"/>
      <c r="Q113" s="20"/>
      <c r="R113" s="20"/>
      <c r="S113" s="20"/>
      <c r="T113" s="20"/>
      <c r="U113" s="20"/>
      <c r="V113" s="20"/>
      <c r="W113" s="20"/>
      <c r="X113" s="20"/>
      <c r="Y113" s="20"/>
      <c r="Z113" s="20"/>
      <c r="AA113" s="20"/>
      <c r="AB113" s="20"/>
      <c r="AC113" s="20"/>
    </row>
    <row r="114" spans="1:29">
      <c r="A114" s="20"/>
      <c r="B114" s="20"/>
      <c r="C114" s="20"/>
      <c r="D114" s="20"/>
      <c r="E114" s="20"/>
      <c r="F114" s="20"/>
      <c r="G114" s="20"/>
      <c r="H114" s="20"/>
      <c r="I114" s="20"/>
      <c r="J114" s="20"/>
      <c r="K114" s="20"/>
      <c r="L114" s="20"/>
      <c r="M114" s="20"/>
      <c r="N114" s="20"/>
      <c r="O114" s="20"/>
      <c r="P114" s="20"/>
      <c r="Q114" s="20"/>
      <c r="R114" s="20"/>
      <c r="S114" s="20"/>
      <c r="T114" s="20"/>
      <c r="U114" s="20"/>
      <c r="V114" s="20"/>
      <c r="W114" s="20"/>
      <c r="X114" s="20"/>
      <c r="Y114" s="20"/>
      <c r="Z114" s="20"/>
      <c r="AA114" s="20"/>
      <c r="AB114" s="20"/>
      <c r="AC114" s="20"/>
    </row>
    <row r="115" spans="1:29">
      <c r="A115" s="20"/>
      <c r="B115" s="20"/>
      <c r="C115" s="20"/>
      <c r="D115" s="20"/>
      <c r="E115" s="20"/>
      <c r="F115" s="20"/>
      <c r="G115" s="20"/>
      <c r="H115" s="20"/>
      <c r="I115" s="20"/>
      <c r="J115" s="20"/>
      <c r="K115" s="20"/>
      <c r="L115" s="20"/>
      <c r="M115" s="20"/>
      <c r="N115" s="20"/>
      <c r="O115" s="20"/>
      <c r="P115" s="20"/>
      <c r="Q115" s="20"/>
      <c r="R115" s="20"/>
      <c r="S115" s="20"/>
      <c r="T115" s="20"/>
      <c r="U115" s="20"/>
      <c r="V115" s="20"/>
      <c r="W115" s="20"/>
      <c r="X115" s="20"/>
      <c r="Y115" s="20"/>
      <c r="Z115" s="20"/>
      <c r="AA115" s="20"/>
      <c r="AB115" s="20"/>
      <c r="AC115" s="20"/>
    </row>
    <row r="116" spans="1:29">
      <c r="A116" s="20"/>
      <c r="B116" s="20"/>
      <c r="C116" s="20"/>
      <c r="D116" s="20"/>
      <c r="E116" s="20"/>
      <c r="F116" s="20"/>
      <c r="G116" s="20"/>
      <c r="H116" s="20"/>
      <c r="I116" s="20"/>
      <c r="J116" s="20"/>
      <c r="K116" s="20"/>
      <c r="L116" s="20"/>
      <c r="M116" s="20"/>
      <c r="N116" s="20"/>
      <c r="O116" s="20"/>
      <c r="P116" s="20"/>
      <c r="Q116" s="20"/>
      <c r="R116" s="20"/>
      <c r="S116" s="20"/>
      <c r="T116" s="20"/>
      <c r="U116" s="20"/>
      <c r="V116" s="20"/>
      <c r="W116" s="20"/>
      <c r="X116" s="20"/>
      <c r="Y116" s="20"/>
      <c r="Z116" s="20"/>
      <c r="AA116" s="20"/>
      <c r="AB116" s="20"/>
      <c r="AC116" s="20"/>
    </row>
    <row r="117" spans="1:29">
      <c r="A117" s="20"/>
      <c r="B117" s="20"/>
      <c r="C117" s="20"/>
      <c r="D117" s="20"/>
      <c r="E117" s="20"/>
      <c r="F117" s="20"/>
      <c r="G117" s="20"/>
      <c r="H117" s="20"/>
      <c r="I117" s="20"/>
      <c r="J117" s="20"/>
      <c r="K117" s="20"/>
      <c r="L117" s="20"/>
      <c r="M117" s="20"/>
      <c r="N117" s="20"/>
      <c r="O117" s="20"/>
      <c r="P117" s="20"/>
      <c r="Q117" s="20"/>
      <c r="R117" s="20"/>
      <c r="S117" s="20"/>
      <c r="T117" s="20"/>
      <c r="U117" s="20"/>
      <c r="V117" s="20"/>
      <c r="W117" s="20"/>
      <c r="X117" s="20"/>
      <c r="Y117" s="20"/>
      <c r="Z117" s="20"/>
      <c r="AA117" s="20"/>
      <c r="AB117" s="20"/>
      <c r="AC117" s="20"/>
    </row>
    <row r="118" spans="1:29">
      <c r="A118" s="20"/>
      <c r="B118" s="20"/>
      <c r="C118" s="20"/>
      <c r="D118" s="20"/>
      <c r="E118" s="20"/>
      <c r="F118" s="20"/>
      <c r="G118" s="20"/>
      <c r="H118" s="20"/>
      <c r="I118" s="20"/>
      <c r="J118" s="20"/>
      <c r="K118" s="20"/>
      <c r="L118" s="20"/>
      <c r="M118" s="20"/>
      <c r="N118" s="20"/>
      <c r="O118" s="20"/>
      <c r="P118" s="20"/>
      <c r="Q118" s="20"/>
      <c r="R118" s="20"/>
      <c r="S118" s="20"/>
      <c r="T118" s="20"/>
      <c r="U118" s="20"/>
      <c r="V118" s="20"/>
      <c r="W118" s="20"/>
      <c r="X118" s="20"/>
      <c r="Y118" s="20"/>
      <c r="Z118" s="20"/>
      <c r="AA118" s="20"/>
      <c r="AB118" s="20"/>
      <c r="AC118" s="20"/>
    </row>
    <row r="119" spans="1:29">
      <c r="A119" s="20"/>
      <c r="B119" s="20"/>
      <c r="C119" s="20"/>
      <c r="D119" s="20"/>
      <c r="E119" s="20"/>
      <c r="F119" s="20"/>
      <c r="G119" s="20"/>
      <c r="H119" s="20"/>
      <c r="I119" s="20"/>
      <c r="J119" s="20"/>
      <c r="K119" s="20"/>
      <c r="L119" s="20"/>
      <c r="M119" s="20"/>
      <c r="N119" s="20"/>
      <c r="O119" s="20"/>
      <c r="P119" s="20"/>
      <c r="Q119" s="20"/>
      <c r="R119" s="20"/>
      <c r="S119" s="20"/>
      <c r="T119" s="20"/>
      <c r="U119" s="20"/>
      <c r="V119" s="20"/>
      <c r="W119" s="20"/>
      <c r="X119" s="20"/>
      <c r="Y119" s="20"/>
      <c r="Z119" s="20"/>
      <c r="AA119" s="20"/>
      <c r="AB119" s="20"/>
      <c r="AC119" s="20"/>
    </row>
    <row r="120" spans="1:29">
      <c r="A120" s="20"/>
      <c r="B120" s="20"/>
      <c r="C120" s="20"/>
      <c r="D120" s="20"/>
      <c r="E120" s="20"/>
      <c r="F120" s="20"/>
      <c r="G120" s="20"/>
      <c r="H120" s="20"/>
      <c r="I120" s="20"/>
      <c r="J120" s="20"/>
      <c r="K120" s="20"/>
      <c r="L120" s="20"/>
      <c r="M120" s="20"/>
      <c r="N120" s="20"/>
      <c r="O120" s="20"/>
      <c r="P120" s="20"/>
      <c r="Q120" s="20"/>
      <c r="R120" s="20"/>
      <c r="S120" s="20"/>
      <c r="T120" s="20"/>
      <c r="U120" s="20"/>
      <c r="V120" s="20"/>
      <c r="W120" s="20"/>
      <c r="X120" s="20"/>
      <c r="Y120" s="20"/>
      <c r="Z120" s="20"/>
      <c r="AA120" s="20"/>
      <c r="AB120" s="20"/>
      <c r="AC120" s="20"/>
    </row>
    <row r="121" spans="1:29">
      <c r="A121" s="20"/>
      <c r="B121" s="20"/>
      <c r="C121" s="20"/>
      <c r="D121" s="20"/>
      <c r="E121" s="20"/>
      <c r="F121" s="20"/>
      <c r="G121" s="20"/>
      <c r="H121" s="20"/>
      <c r="I121" s="20"/>
      <c r="J121" s="20"/>
      <c r="K121" s="20"/>
      <c r="L121" s="20"/>
      <c r="M121" s="20"/>
      <c r="N121" s="20"/>
      <c r="O121" s="20"/>
      <c r="P121" s="20"/>
      <c r="Q121" s="20"/>
      <c r="R121" s="20"/>
      <c r="S121" s="20"/>
      <c r="T121" s="20"/>
      <c r="U121" s="20"/>
      <c r="V121" s="20"/>
      <c r="W121" s="20"/>
      <c r="X121" s="20"/>
      <c r="Y121" s="20"/>
      <c r="Z121" s="20"/>
      <c r="AA121" s="20"/>
      <c r="AB121" s="20"/>
      <c r="AC121" s="20"/>
    </row>
    <row r="122" spans="1:29">
      <c r="A122" s="20"/>
      <c r="B122" s="20"/>
      <c r="C122" s="20"/>
      <c r="D122" s="20"/>
      <c r="E122" s="20"/>
      <c r="F122" s="20"/>
      <c r="G122" s="20"/>
      <c r="H122" s="20"/>
      <c r="I122" s="20"/>
      <c r="J122" s="20"/>
      <c r="K122" s="20"/>
      <c r="L122" s="20"/>
      <c r="M122" s="20"/>
      <c r="N122" s="20"/>
      <c r="O122" s="20"/>
      <c r="P122" s="20"/>
      <c r="Q122" s="20"/>
      <c r="R122" s="20"/>
      <c r="S122" s="20"/>
      <c r="T122" s="20"/>
      <c r="U122" s="20"/>
      <c r="V122" s="20"/>
      <c r="W122" s="20"/>
      <c r="X122" s="20"/>
      <c r="Y122" s="20"/>
      <c r="Z122" s="20"/>
      <c r="AA122" s="20"/>
      <c r="AB122" s="20"/>
      <c r="AC122" s="20"/>
    </row>
    <row r="123" spans="1:29">
      <c r="A123" s="20"/>
      <c r="B123" s="20"/>
      <c r="C123" s="20"/>
      <c r="D123" s="20"/>
      <c r="E123" s="20"/>
      <c r="F123" s="20"/>
      <c r="G123" s="20"/>
      <c r="H123" s="20"/>
      <c r="I123" s="20"/>
      <c r="J123" s="20"/>
      <c r="K123" s="20"/>
      <c r="L123" s="20"/>
      <c r="M123" s="20"/>
      <c r="N123" s="20"/>
      <c r="O123" s="20"/>
      <c r="P123" s="20"/>
      <c r="Q123" s="20"/>
      <c r="R123" s="20"/>
      <c r="S123" s="20"/>
      <c r="T123" s="20"/>
      <c r="U123" s="20"/>
      <c r="V123" s="20"/>
      <c r="W123" s="20"/>
      <c r="X123" s="20"/>
      <c r="Y123" s="20"/>
      <c r="Z123" s="20"/>
      <c r="AA123" s="20"/>
      <c r="AB123" s="20"/>
      <c r="AC123" s="20"/>
    </row>
    <row r="124" spans="1:29">
      <c r="A124" s="20"/>
      <c r="B124" s="20"/>
      <c r="C124" s="20"/>
      <c r="D124" s="20"/>
      <c r="E124" s="20"/>
      <c r="F124" s="20"/>
      <c r="G124" s="20"/>
      <c r="H124" s="20"/>
      <c r="I124" s="20"/>
      <c r="J124" s="20"/>
      <c r="K124" s="20"/>
      <c r="L124" s="20"/>
      <c r="M124" s="20"/>
      <c r="N124" s="20"/>
      <c r="O124" s="20"/>
      <c r="P124" s="20"/>
      <c r="Q124" s="20"/>
      <c r="R124" s="20"/>
      <c r="S124" s="20"/>
      <c r="T124" s="20"/>
      <c r="U124" s="20"/>
      <c r="V124" s="20"/>
      <c r="W124" s="20"/>
      <c r="X124" s="20"/>
      <c r="Y124" s="20"/>
      <c r="Z124" s="20"/>
      <c r="AA124" s="20"/>
      <c r="AB124" s="20"/>
      <c r="AC124" s="20"/>
    </row>
    <row r="125" spans="1:29">
      <c r="A125" s="20"/>
      <c r="B125" s="20"/>
      <c r="C125" s="20"/>
      <c r="D125" s="20"/>
      <c r="E125" s="20"/>
      <c r="F125" s="20"/>
      <c r="G125" s="20"/>
      <c r="H125" s="20"/>
      <c r="I125" s="20"/>
      <c r="J125" s="20"/>
      <c r="K125" s="20"/>
      <c r="L125" s="20"/>
      <c r="M125" s="20"/>
      <c r="N125" s="20"/>
      <c r="O125" s="20"/>
      <c r="P125" s="20"/>
      <c r="Q125" s="20"/>
      <c r="R125" s="20"/>
      <c r="S125" s="20"/>
      <c r="T125" s="20"/>
      <c r="U125" s="20"/>
      <c r="V125" s="20"/>
      <c r="W125" s="20"/>
      <c r="X125" s="20"/>
      <c r="Y125" s="20"/>
      <c r="Z125" s="20"/>
      <c r="AA125" s="20"/>
      <c r="AB125" s="20"/>
      <c r="AC125" s="20"/>
    </row>
    <row r="126" spans="1:29">
      <c r="A126" s="20"/>
      <c r="B126" s="20"/>
      <c r="C126" s="20"/>
      <c r="D126" s="20"/>
      <c r="E126" s="20"/>
      <c r="F126" s="20"/>
      <c r="G126" s="20"/>
      <c r="H126" s="20"/>
      <c r="I126" s="20"/>
      <c r="J126" s="20"/>
      <c r="K126" s="20"/>
      <c r="L126" s="20"/>
      <c r="M126" s="20"/>
      <c r="N126" s="20"/>
      <c r="O126" s="20"/>
      <c r="P126" s="20"/>
      <c r="Q126" s="20"/>
      <c r="R126" s="20"/>
      <c r="S126" s="20"/>
      <c r="T126" s="20"/>
      <c r="U126" s="20"/>
      <c r="V126" s="20"/>
      <c r="W126" s="20"/>
      <c r="X126" s="20"/>
      <c r="Y126" s="20"/>
      <c r="Z126" s="20"/>
      <c r="AA126" s="20"/>
      <c r="AB126" s="20"/>
      <c r="AC126" s="20"/>
    </row>
    <row r="127" spans="1:29">
      <c r="A127" s="20"/>
      <c r="B127" s="20"/>
      <c r="C127" s="20"/>
      <c r="D127" s="20"/>
      <c r="E127" s="20"/>
      <c r="F127" s="20"/>
      <c r="G127" s="20"/>
      <c r="H127" s="20"/>
      <c r="I127" s="20"/>
      <c r="J127" s="20"/>
      <c r="K127" s="20"/>
      <c r="L127" s="20"/>
      <c r="M127" s="20"/>
      <c r="N127" s="20"/>
      <c r="O127" s="20"/>
      <c r="P127" s="20"/>
      <c r="Q127" s="20"/>
      <c r="R127" s="20"/>
      <c r="S127" s="20"/>
      <c r="T127" s="20"/>
      <c r="U127" s="20"/>
      <c r="V127" s="20"/>
      <c r="W127" s="20"/>
      <c r="X127" s="20"/>
      <c r="Y127" s="20"/>
      <c r="Z127" s="20"/>
      <c r="AA127" s="20"/>
      <c r="AB127" s="20"/>
      <c r="AC127" s="20"/>
    </row>
    <row r="128" spans="1:29">
      <c r="A128" s="20"/>
      <c r="B128" s="20"/>
      <c r="C128" s="20"/>
      <c r="D128" s="20"/>
      <c r="E128" s="20"/>
      <c r="F128" s="20"/>
      <c r="G128" s="20"/>
      <c r="H128" s="20"/>
      <c r="I128" s="20"/>
      <c r="J128" s="20"/>
      <c r="K128" s="20"/>
      <c r="L128" s="20"/>
      <c r="M128" s="20"/>
      <c r="N128" s="20"/>
      <c r="O128" s="20"/>
      <c r="P128" s="20"/>
      <c r="Q128" s="20"/>
      <c r="R128" s="20"/>
      <c r="S128" s="20"/>
      <c r="T128" s="20"/>
      <c r="U128" s="20"/>
      <c r="V128" s="20"/>
      <c r="W128" s="20"/>
      <c r="X128" s="20"/>
      <c r="Y128" s="20"/>
      <c r="Z128" s="20"/>
      <c r="AA128" s="20"/>
      <c r="AB128" s="20"/>
      <c r="AC128" s="20"/>
    </row>
    <row r="129" spans="1:29">
      <c r="A129" s="20"/>
      <c r="B129" s="20"/>
      <c r="C129" s="20"/>
      <c r="D129" s="20"/>
      <c r="E129" s="20"/>
      <c r="F129" s="20"/>
      <c r="G129" s="20"/>
      <c r="H129" s="20"/>
      <c r="I129" s="20"/>
      <c r="J129" s="20"/>
      <c r="K129" s="20"/>
      <c r="L129" s="20"/>
      <c r="M129" s="20"/>
      <c r="N129" s="20"/>
      <c r="O129" s="20"/>
      <c r="P129" s="20"/>
      <c r="Q129" s="20"/>
      <c r="R129" s="20"/>
      <c r="S129" s="20"/>
      <c r="T129" s="20"/>
      <c r="U129" s="20"/>
      <c r="V129" s="20"/>
      <c r="W129" s="20"/>
      <c r="X129" s="20"/>
      <c r="Y129" s="20"/>
      <c r="Z129" s="20"/>
      <c r="AA129" s="20"/>
      <c r="AB129" s="20"/>
      <c r="AC129" s="20"/>
    </row>
    <row r="130" spans="1:29">
      <c r="A130" s="20"/>
      <c r="B130" s="20"/>
      <c r="C130" s="20"/>
      <c r="D130" s="20"/>
      <c r="E130" s="20"/>
      <c r="F130" s="20"/>
      <c r="G130" s="20"/>
      <c r="H130" s="20"/>
      <c r="I130" s="20"/>
      <c r="J130" s="20"/>
      <c r="K130" s="20"/>
      <c r="L130" s="20"/>
      <c r="M130" s="20"/>
      <c r="N130" s="20"/>
      <c r="O130" s="20"/>
      <c r="P130" s="20"/>
      <c r="Q130" s="20"/>
      <c r="R130" s="20"/>
      <c r="S130" s="20"/>
      <c r="T130" s="20"/>
      <c r="U130" s="20"/>
      <c r="V130" s="20"/>
      <c r="W130" s="20"/>
      <c r="X130" s="20"/>
      <c r="Y130" s="20"/>
      <c r="Z130" s="20"/>
      <c r="AA130" s="20"/>
      <c r="AB130" s="20"/>
      <c r="AC130" s="20"/>
    </row>
    <row r="131" spans="1:29">
      <c r="A131" s="20"/>
      <c r="B131" s="20"/>
      <c r="C131" s="20"/>
      <c r="D131" s="20"/>
      <c r="E131" s="20"/>
      <c r="F131" s="20"/>
      <c r="G131" s="20"/>
      <c r="H131" s="20"/>
      <c r="I131" s="20"/>
      <c r="J131" s="20"/>
      <c r="K131" s="20"/>
      <c r="L131" s="20"/>
      <c r="M131" s="20"/>
      <c r="N131" s="20"/>
      <c r="O131" s="20"/>
      <c r="P131" s="20"/>
      <c r="Q131" s="20"/>
      <c r="R131" s="20"/>
      <c r="S131" s="20"/>
      <c r="T131" s="20"/>
      <c r="U131" s="20"/>
      <c r="V131" s="20"/>
      <c r="W131" s="20"/>
      <c r="X131" s="20"/>
      <c r="Y131" s="20"/>
      <c r="Z131" s="20"/>
      <c r="AA131" s="20"/>
      <c r="AB131" s="20"/>
      <c r="AC131" s="20"/>
    </row>
    <row r="132" spans="1:29">
      <c r="A132" s="20"/>
      <c r="B132" s="20"/>
      <c r="C132" s="20"/>
      <c r="D132" s="20"/>
      <c r="E132" s="20"/>
      <c r="F132" s="20"/>
      <c r="G132" s="20"/>
      <c r="H132" s="20"/>
      <c r="I132" s="20"/>
      <c r="J132" s="20"/>
      <c r="K132" s="20"/>
      <c r="L132" s="20"/>
      <c r="M132" s="20"/>
      <c r="N132" s="20"/>
      <c r="O132" s="20"/>
      <c r="P132" s="20"/>
      <c r="Q132" s="20"/>
      <c r="R132" s="20"/>
      <c r="S132" s="20"/>
      <c r="T132" s="20"/>
      <c r="U132" s="20"/>
      <c r="V132" s="20"/>
      <c r="W132" s="20"/>
      <c r="X132" s="20"/>
      <c r="Y132" s="20"/>
      <c r="Z132" s="20"/>
      <c r="AA132" s="20"/>
      <c r="AB132" s="20"/>
      <c r="AC132" s="20"/>
    </row>
    <row r="133" spans="1:29">
      <c r="A133" s="20"/>
      <c r="B133" s="20"/>
      <c r="C133" s="20"/>
      <c r="D133" s="20"/>
      <c r="E133" s="20"/>
      <c r="F133" s="20"/>
      <c r="G133" s="20"/>
      <c r="H133" s="20"/>
      <c r="I133" s="20"/>
      <c r="J133" s="20"/>
      <c r="K133" s="20"/>
      <c r="L133" s="20"/>
      <c r="M133" s="20"/>
      <c r="N133" s="20"/>
      <c r="O133" s="20"/>
      <c r="P133" s="20"/>
      <c r="Q133" s="20"/>
      <c r="R133" s="20"/>
      <c r="S133" s="20"/>
      <c r="T133" s="20"/>
      <c r="U133" s="20"/>
      <c r="V133" s="20"/>
      <c r="W133" s="20"/>
      <c r="X133" s="20"/>
      <c r="Y133" s="20"/>
      <c r="Z133" s="20"/>
      <c r="AA133" s="20"/>
      <c r="AB133" s="20"/>
      <c r="AC133" s="20"/>
    </row>
    <row r="134" spans="1:29">
      <c r="A134" s="20"/>
      <c r="B134" s="20"/>
      <c r="C134" s="20"/>
      <c r="D134" s="20"/>
      <c r="E134" s="20"/>
      <c r="F134" s="20"/>
      <c r="G134" s="20"/>
      <c r="H134" s="20"/>
      <c r="I134" s="20"/>
      <c r="J134" s="20"/>
      <c r="K134" s="20"/>
      <c r="L134" s="20"/>
      <c r="M134" s="20"/>
      <c r="N134" s="20"/>
      <c r="O134" s="20"/>
      <c r="P134" s="20"/>
      <c r="Q134" s="20"/>
      <c r="R134" s="20"/>
      <c r="S134" s="20"/>
      <c r="T134" s="20"/>
      <c r="U134" s="20"/>
      <c r="V134" s="20"/>
      <c r="W134" s="20"/>
      <c r="X134" s="20"/>
      <c r="Y134" s="20"/>
      <c r="Z134" s="20"/>
      <c r="AA134" s="20"/>
      <c r="AB134" s="20"/>
      <c r="AC134" s="20"/>
    </row>
    <row r="135" spans="1:29">
      <c r="A135" s="20"/>
      <c r="B135" s="20"/>
      <c r="C135" s="20"/>
      <c r="D135" s="20"/>
      <c r="E135" s="20"/>
      <c r="F135" s="20"/>
      <c r="G135" s="20"/>
      <c r="H135" s="20"/>
      <c r="I135" s="20"/>
      <c r="J135" s="20"/>
      <c r="K135" s="20"/>
      <c r="L135" s="20"/>
      <c r="M135" s="20"/>
      <c r="N135" s="20"/>
      <c r="O135" s="20"/>
      <c r="P135" s="20"/>
      <c r="Q135" s="20"/>
      <c r="R135" s="20"/>
      <c r="S135" s="20"/>
      <c r="T135" s="20"/>
      <c r="U135" s="20"/>
      <c r="V135" s="20"/>
      <c r="W135" s="20"/>
      <c r="X135" s="20"/>
      <c r="Y135" s="20"/>
      <c r="Z135" s="20"/>
      <c r="AA135" s="20"/>
      <c r="AB135" s="20"/>
      <c r="AC135" s="20"/>
    </row>
    <row r="136" spans="1:29">
      <c r="A136" s="20"/>
      <c r="B136" s="20"/>
      <c r="C136" s="20"/>
      <c r="D136" s="20"/>
      <c r="E136" s="20"/>
      <c r="F136" s="20"/>
      <c r="G136" s="20"/>
      <c r="H136" s="20"/>
      <c r="I136" s="20"/>
      <c r="J136" s="20"/>
      <c r="K136" s="20"/>
      <c r="L136" s="20"/>
      <c r="M136" s="20"/>
      <c r="N136" s="20"/>
      <c r="O136" s="20"/>
      <c r="P136" s="20"/>
      <c r="Q136" s="20"/>
      <c r="R136" s="20"/>
      <c r="S136" s="20"/>
      <c r="T136" s="20"/>
      <c r="U136" s="20"/>
      <c r="V136" s="20"/>
      <c r="W136" s="20"/>
      <c r="X136" s="20"/>
      <c r="Y136" s="20"/>
      <c r="Z136" s="20"/>
      <c r="AA136" s="20"/>
      <c r="AB136" s="20"/>
      <c r="AC136" s="20"/>
    </row>
    <row r="137" spans="1:29">
      <c r="A137" s="20"/>
      <c r="B137" s="20"/>
      <c r="C137" s="20"/>
      <c r="D137" s="20"/>
      <c r="E137" s="20"/>
      <c r="F137" s="20"/>
      <c r="G137" s="20"/>
      <c r="H137" s="20"/>
      <c r="I137" s="20"/>
      <c r="J137" s="20"/>
      <c r="K137" s="20"/>
      <c r="L137" s="20"/>
      <c r="M137" s="20"/>
      <c r="N137" s="20"/>
      <c r="O137" s="20"/>
      <c r="P137" s="20"/>
      <c r="Q137" s="20"/>
      <c r="R137" s="20"/>
      <c r="S137" s="20"/>
      <c r="T137" s="20"/>
      <c r="U137" s="20"/>
      <c r="V137" s="20"/>
      <c r="W137" s="20"/>
      <c r="X137" s="20"/>
      <c r="Y137" s="20"/>
      <c r="Z137" s="20"/>
      <c r="AA137" s="20"/>
      <c r="AB137" s="20"/>
      <c r="AC137" s="20"/>
    </row>
    <row r="138" spans="1:29">
      <c r="A138" s="20"/>
      <c r="B138" s="20"/>
      <c r="C138" s="20"/>
      <c r="D138" s="20"/>
      <c r="E138" s="20"/>
      <c r="F138" s="20"/>
      <c r="G138" s="20"/>
      <c r="H138" s="20"/>
      <c r="I138" s="20"/>
      <c r="J138" s="20"/>
      <c r="K138" s="20"/>
      <c r="L138" s="20"/>
      <c r="M138" s="20"/>
      <c r="N138" s="20"/>
      <c r="O138" s="20"/>
      <c r="P138" s="20"/>
      <c r="Q138" s="20"/>
      <c r="R138" s="20"/>
      <c r="S138" s="20"/>
      <c r="T138" s="20"/>
      <c r="U138" s="20"/>
      <c r="V138" s="20"/>
      <c r="W138" s="20"/>
      <c r="X138" s="20"/>
      <c r="Y138" s="20"/>
      <c r="Z138" s="20"/>
      <c r="AA138" s="20"/>
      <c r="AB138" s="20"/>
      <c r="AC138" s="20"/>
    </row>
    <row r="139" spans="1:29">
      <c r="A139" s="20"/>
      <c r="B139" s="20"/>
      <c r="C139" s="20"/>
      <c r="D139" s="20"/>
      <c r="E139" s="20"/>
      <c r="F139" s="20"/>
      <c r="G139" s="20"/>
      <c r="H139" s="20"/>
      <c r="I139" s="20"/>
      <c r="J139" s="20"/>
      <c r="K139" s="20"/>
      <c r="L139" s="20"/>
      <c r="M139" s="20"/>
      <c r="N139" s="20"/>
      <c r="O139" s="20"/>
      <c r="P139" s="20"/>
      <c r="Q139" s="20"/>
      <c r="R139" s="20"/>
      <c r="S139" s="20"/>
      <c r="T139" s="20"/>
      <c r="U139" s="20"/>
      <c r="V139" s="20"/>
      <c r="W139" s="20"/>
      <c r="X139" s="20"/>
      <c r="Y139" s="20"/>
      <c r="Z139" s="20"/>
      <c r="AA139" s="20"/>
      <c r="AB139" s="20"/>
      <c r="AC139" s="20"/>
    </row>
    <row r="140" spans="1:29">
      <c r="A140" s="20"/>
      <c r="B140" s="20"/>
      <c r="C140" s="20"/>
      <c r="D140" s="20"/>
      <c r="E140" s="20"/>
      <c r="F140" s="20"/>
      <c r="G140" s="20"/>
      <c r="H140" s="20"/>
      <c r="I140" s="20"/>
      <c r="J140" s="20"/>
      <c r="K140" s="20"/>
      <c r="L140" s="20"/>
      <c r="M140" s="20"/>
      <c r="N140" s="20"/>
      <c r="O140" s="20"/>
      <c r="P140" s="20"/>
      <c r="Q140" s="20"/>
      <c r="R140" s="20"/>
      <c r="S140" s="20"/>
      <c r="T140" s="20"/>
      <c r="U140" s="20"/>
      <c r="V140" s="20"/>
      <c r="W140" s="20"/>
      <c r="X140" s="20"/>
      <c r="Y140" s="20"/>
      <c r="Z140" s="20"/>
      <c r="AA140" s="20"/>
      <c r="AB140" s="20"/>
      <c r="AC140" s="20"/>
    </row>
    <row r="141" spans="1:29">
      <c r="A141" s="20"/>
      <c r="B141" s="20"/>
      <c r="C141" s="20"/>
      <c r="D141" s="20"/>
      <c r="E141" s="20"/>
      <c r="F141" s="20"/>
      <c r="G141" s="20"/>
      <c r="H141" s="20"/>
      <c r="I141" s="20"/>
      <c r="J141" s="20"/>
      <c r="K141" s="20"/>
      <c r="L141" s="20"/>
      <c r="M141" s="20"/>
      <c r="N141" s="20"/>
      <c r="O141" s="20"/>
      <c r="P141" s="20"/>
      <c r="Q141" s="20"/>
      <c r="R141" s="20"/>
      <c r="S141" s="20"/>
      <c r="T141" s="20"/>
      <c r="U141" s="20"/>
      <c r="V141" s="20"/>
      <c r="W141" s="20"/>
      <c r="X141" s="20"/>
      <c r="Y141" s="20"/>
      <c r="Z141" s="20"/>
      <c r="AA141" s="20"/>
      <c r="AB141" s="20"/>
      <c r="AC141" s="20"/>
    </row>
    <row r="142" spans="1:29">
      <c r="A142" s="20"/>
      <c r="B142" s="20"/>
      <c r="C142" s="20"/>
      <c r="D142" s="20"/>
      <c r="E142" s="20"/>
      <c r="F142" s="20"/>
      <c r="G142" s="20"/>
      <c r="H142" s="20"/>
      <c r="I142" s="20"/>
      <c r="J142" s="20"/>
      <c r="K142" s="20"/>
      <c r="L142" s="20"/>
      <c r="M142" s="20"/>
      <c r="N142" s="20"/>
      <c r="O142" s="20"/>
      <c r="P142" s="20"/>
      <c r="Q142" s="20"/>
      <c r="R142" s="20"/>
      <c r="S142" s="20"/>
      <c r="T142" s="20"/>
      <c r="U142" s="20"/>
      <c r="V142" s="20"/>
      <c r="W142" s="20"/>
      <c r="X142" s="20"/>
      <c r="Y142" s="20"/>
      <c r="Z142" s="20"/>
      <c r="AA142" s="20"/>
      <c r="AB142" s="20"/>
      <c r="AC142" s="20"/>
    </row>
    <row r="143" spans="1:29">
      <c r="A143" s="20"/>
      <c r="B143" s="20"/>
      <c r="C143" s="20"/>
      <c r="D143" s="20"/>
      <c r="E143" s="20"/>
      <c r="F143" s="20"/>
      <c r="G143" s="20"/>
      <c r="H143" s="20"/>
      <c r="I143" s="20"/>
      <c r="J143" s="20"/>
      <c r="K143" s="20"/>
      <c r="L143" s="20"/>
      <c r="M143" s="20"/>
      <c r="N143" s="20"/>
      <c r="O143" s="20"/>
      <c r="P143" s="20"/>
      <c r="Q143" s="20"/>
      <c r="R143" s="20"/>
      <c r="S143" s="20"/>
      <c r="T143" s="20"/>
      <c r="U143" s="20"/>
      <c r="V143" s="20"/>
      <c r="W143" s="20"/>
      <c r="X143" s="20"/>
      <c r="Y143" s="20"/>
      <c r="Z143" s="20"/>
      <c r="AA143" s="20"/>
      <c r="AB143" s="20"/>
      <c r="AC143" s="20"/>
    </row>
    <row r="144" spans="1:29">
      <c r="A144" s="20"/>
      <c r="B144" s="20"/>
      <c r="C144" s="20"/>
      <c r="D144" s="20"/>
      <c r="E144" s="20"/>
      <c r="F144" s="20"/>
      <c r="G144" s="20"/>
      <c r="H144" s="20"/>
      <c r="I144" s="20"/>
      <c r="J144" s="20"/>
      <c r="K144" s="20"/>
      <c r="L144" s="20"/>
      <c r="M144" s="20"/>
      <c r="N144" s="20"/>
      <c r="O144" s="20"/>
      <c r="P144" s="20"/>
      <c r="Q144" s="20"/>
      <c r="R144" s="20"/>
      <c r="S144" s="20"/>
      <c r="T144" s="20"/>
      <c r="U144" s="20"/>
      <c r="V144" s="20"/>
      <c r="W144" s="20"/>
      <c r="X144" s="20"/>
      <c r="Y144" s="20"/>
      <c r="Z144" s="20"/>
      <c r="AA144" s="20"/>
      <c r="AB144" s="20"/>
      <c r="AC144" s="20"/>
    </row>
    <row r="145" spans="1:29">
      <c r="A145" s="20"/>
      <c r="B145" s="20"/>
      <c r="C145" s="20"/>
      <c r="D145" s="20"/>
      <c r="E145" s="20"/>
      <c r="F145" s="20"/>
      <c r="G145" s="20"/>
      <c r="H145" s="20"/>
      <c r="I145" s="20"/>
      <c r="J145" s="20"/>
      <c r="K145" s="20"/>
      <c r="L145" s="20"/>
      <c r="M145" s="20"/>
      <c r="N145" s="20"/>
      <c r="O145" s="20"/>
      <c r="P145" s="20"/>
      <c r="Q145" s="20"/>
      <c r="R145" s="20"/>
      <c r="S145" s="20"/>
      <c r="T145" s="20"/>
      <c r="U145" s="20"/>
      <c r="V145" s="20"/>
      <c r="W145" s="20"/>
      <c r="X145" s="20"/>
      <c r="Y145" s="20"/>
      <c r="Z145" s="20"/>
      <c r="AA145" s="20"/>
      <c r="AB145" s="20"/>
      <c r="AC145" s="20"/>
    </row>
    <row r="146" spans="1:29">
      <c r="A146" s="20"/>
      <c r="B146" s="20"/>
      <c r="C146" s="20"/>
      <c r="D146" s="20"/>
      <c r="E146" s="20"/>
      <c r="F146" s="20"/>
      <c r="G146" s="20"/>
      <c r="H146" s="20"/>
      <c r="I146" s="20"/>
      <c r="J146" s="20"/>
      <c r="K146" s="20"/>
      <c r="L146" s="20"/>
      <c r="M146" s="20"/>
      <c r="N146" s="20"/>
      <c r="O146" s="20"/>
      <c r="P146" s="20"/>
      <c r="Q146" s="20"/>
      <c r="R146" s="20"/>
      <c r="S146" s="20"/>
      <c r="T146" s="20"/>
      <c r="U146" s="20"/>
      <c r="V146" s="20"/>
      <c r="W146" s="20"/>
      <c r="X146" s="20"/>
      <c r="Y146" s="20"/>
      <c r="Z146" s="20"/>
      <c r="AA146" s="20"/>
      <c r="AB146" s="20"/>
      <c r="AC146" s="20"/>
    </row>
    <row r="147" spans="1:29">
      <c r="A147" s="20"/>
      <c r="B147" s="20"/>
      <c r="C147" s="20"/>
      <c r="D147" s="20"/>
      <c r="E147" s="20"/>
      <c r="F147" s="20"/>
      <c r="G147" s="20"/>
      <c r="H147" s="20"/>
      <c r="I147" s="20"/>
      <c r="J147" s="20"/>
      <c r="K147" s="20"/>
      <c r="L147" s="20"/>
      <c r="M147" s="20"/>
      <c r="N147" s="20"/>
      <c r="O147" s="20"/>
      <c r="P147" s="20"/>
      <c r="Q147" s="20"/>
      <c r="R147" s="20"/>
      <c r="S147" s="20"/>
      <c r="T147" s="20"/>
      <c r="U147" s="20"/>
      <c r="V147" s="20"/>
      <c r="W147" s="20"/>
      <c r="X147" s="20"/>
      <c r="Y147" s="20"/>
      <c r="Z147" s="20"/>
      <c r="AA147" s="20"/>
      <c r="AB147" s="20"/>
      <c r="AC147" s="20"/>
    </row>
    <row r="148" spans="1:29">
      <c r="A148" s="20"/>
      <c r="B148" s="20"/>
      <c r="C148" s="20"/>
      <c r="D148" s="20"/>
      <c r="E148" s="20"/>
      <c r="F148" s="20"/>
      <c r="G148" s="20"/>
      <c r="H148" s="20"/>
      <c r="I148" s="20"/>
      <c r="J148" s="20"/>
      <c r="K148" s="20"/>
      <c r="L148" s="20"/>
      <c r="M148" s="20"/>
      <c r="N148" s="20"/>
      <c r="O148" s="20"/>
      <c r="P148" s="20"/>
      <c r="Q148" s="20"/>
      <c r="R148" s="20"/>
      <c r="S148" s="20"/>
      <c r="T148" s="20"/>
      <c r="U148" s="20"/>
      <c r="V148" s="20"/>
      <c r="W148" s="20"/>
      <c r="X148" s="20"/>
      <c r="Y148" s="20"/>
      <c r="Z148" s="20"/>
      <c r="AA148" s="20"/>
      <c r="AB148" s="20"/>
      <c r="AC148" s="20"/>
    </row>
    <row r="149" spans="1:29">
      <c r="A149" s="20"/>
      <c r="B149" s="20"/>
      <c r="C149" s="20"/>
      <c r="D149" s="20"/>
      <c r="E149" s="20"/>
      <c r="F149" s="20"/>
      <c r="G149" s="20"/>
      <c r="H149" s="20"/>
      <c r="I149" s="20"/>
      <c r="J149" s="20"/>
      <c r="K149" s="20"/>
      <c r="L149" s="20"/>
      <c r="M149" s="20"/>
      <c r="N149" s="20"/>
      <c r="O149" s="20"/>
      <c r="P149" s="20"/>
      <c r="Q149" s="20"/>
      <c r="R149" s="20"/>
      <c r="S149" s="20"/>
      <c r="T149" s="20"/>
      <c r="U149" s="20"/>
      <c r="V149" s="20"/>
      <c r="W149" s="20"/>
      <c r="X149" s="20"/>
      <c r="Y149" s="20"/>
      <c r="Z149" s="20"/>
      <c r="AA149" s="20"/>
      <c r="AB149" s="20"/>
      <c r="AC149" s="20"/>
    </row>
    <row r="150" spans="1:29">
      <c r="A150" s="20"/>
      <c r="B150" s="20"/>
      <c r="C150" s="20"/>
      <c r="D150" s="20"/>
      <c r="E150" s="20"/>
      <c r="F150" s="20"/>
      <c r="G150" s="20"/>
      <c r="H150" s="20"/>
      <c r="I150" s="20"/>
      <c r="J150" s="20"/>
      <c r="K150" s="20"/>
      <c r="L150" s="20"/>
      <c r="M150" s="20"/>
      <c r="N150" s="20"/>
      <c r="O150" s="20"/>
      <c r="P150" s="20"/>
      <c r="Q150" s="20"/>
      <c r="R150" s="20"/>
      <c r="S150" s="20"/>
      <c r="T150" s="20"/>
      <c r="U150" s="20"/>
      <c r="V150" s="20"/>
      <c r="W150" s="20"/>
      <c r="X150" s="20"/>
      <c r="Y150" s="20"/>
      <c r="Z150" s="20"/>
      <c r="AA150" s="20"/>
      <c r="AB150" s="20"/>
      <c r="AC150" s="20"/>
    </row>
    <row r="151" spans="1:29">
      <c r="A151" s="20"/>
      <c r="B151" s="20"/>
      <c r="C151" s="20"/>
      <c r="D151" s="20"/>
      <c r="E151" s="20"/>
      <c r="F151" s="20"/>
      <c r="G151" s="20"/>
      <c r="H151" s="20"/>
      <c r="I151" s="20"/>
      <c r="J151" s="20"/>
      <c r="K151" s="20"/>
      <c r="L151" s="20"/>
      <c r="M151" s="20"/>
      <c r="N151" s="20"/>
      <c r="O151" s="20"/>
      <c r="P151" s="20"/>
      <c r="Q151" s="20"/>
      <c r="R151" s="20"/>
      <c r="S151" s="20"/>
      <c r="T151" s="20"/>
      <c r="U151" s="20"/>
      <c r="V151" s="20"/>
      <c r="W151" s="20"/>
      <c r="X151" s="20"/>
      <c r="Y151" s="20"/>
      <c r="Z151" s="20"/>
      <c r="AA151" s="20"/>
      <c r="AB151" s="20"/>
      <c r="AC151" s="20"/>
    </row>
    <row r="152" spans="1:29">
      <c r="A152" s="20"/>
      <c r="B152" s="20"/>
      <c r="C152" s="20"/>
      <c r="D152" s="20"/>
      <c r="E152" s="20"/>
      <c r="F152" s="20"/>
      <c r="G152" s="20"/>
      <c r="H152" s="20"/>
      <c r="I152" s="20"/>
      <c r="J152" s="20"/>
      <c r="K152" s="20"/>
      <c r="L152" s="20"/>
      <c r="M152" s="20"/>
      <c r="N152" s="20"/>
      <c r="O152" s="20"/>
      <c r="P152" s="20"/>
      <c r="Q152" s="20"/>
      <c r="R152" s="20"/>
      <c r="S152" s="20"/>
      <c r="T152" s="20"/>
      <c r="U152" s="20"/>
      <c r="V152" s="20"/>
      <c r="W152" s="20"/>
      <c r="X152" s="20"/>
      <c r="Y152" s="20"/>
      <c r="Z152" s="20"/>
      <c r="AA152" s="20"/>
      <c r="AB152" s="20"/>
      <c r="AC152" s="20"/>
    </row>
    <row r="153" spans="1:29">
      <c r="A153" s="20"/>
      <c r="B153" s="20"/>
      <c r="C153" s="20"/>
      <c r="D153" s="20"/>
      <c r="E153" s="20"/>
      <c r="F153" s="20"/>
      <c r="G153" s="20"/>
      <c r="H153" s="20"/>
      <c r="I153" s="20"/>
      <c r="J153" s="20"/>
      <c r="K153" s="20"/>
      <c r="L153" s="20"/>
      <c r="M153" s="20"/>
      <c r="N153" s="20"/>
      <c r="O153" s="20"/>
      <c r="P153" s="20"/>
      <c r="Q153" s="20"/>
      <c r="R153" s="20"/>
      <c r="S153" s="20"/>
      <c r="T153" s="20"/>
      <c r="U153" s="20"/>
      <c r="V153" s="20"/>
      <c r="W153" s="20"/>
      <c r="X153" s="20"/>
      <c r="Y153" s="20"/>
      <c r="Z153" s="20"/>
      <c r="AA153" s="20"/>
      <c r="AB153" s="20"/>
      <c r="AC153" s="20"/>
    </row>
    <row r="154" spans="1:29">
      <c r="A154" s="20"/>
      <c r="B154" s="20"/>
      <c r="C154" s="20"/>
      <c r="D154" s="20"/>
      <c r="E154" s="20"/>
      <c r="F154" s="20"/>
      <c r="G154" s="20"/>
      <c r="H154" s="20"/>
      <c r="I154" s="20"/>
      <c r="J154" s="20"/>
      <c r="K154" s="20"/>
      <c r="L154" s="20"/>
      <c r="M154" s="20"/>
      <c r="N154" s="20"/>
      <c r="O154" s="20"/>
      <c r="P154" s="20"/>
      <c r="Q154" s="20"/>
      <c r="R154" s="20"/>
      <c r="S154" s="20"/>
      <c r="T154" s="20"/>
      <c r="U154" s="20"/>
      <c r="V154" s="20"/>
      <c r="W154" s="20"/>
      <c r="X154" s="20"/>
      <c r="Y154" s="20"/>
      <c r="Z154" s="20"/>
      <c r="AA154" s="20"/>
      <c r="AB154" s="20"/>
      <c r="AC154" s="20"/>
    </row>
    <row r="155" spans="1:29">
      <c r="A155" s="20"/>
      <c r="B155" s="20"/>
      <c r="C155" s="20"/>
      <c r="D155" s="20"/>
      <c r="E155" s="20"/>
      <c r="F155" s="20"/>
      <c r="G155" s="20"/>
      <c r="H155" s="20"/>
      <c r="I155" s="20"/>
      <c r="J155" s="20"/>
      <c r="K155" s="20"/>
      <c r="L155" s="20"/>
      <c r="M155" s="20"/>
      <c r="N155" s="20"/>
      <c r="O155" s="20"/>
      <c r="P155" s="20"/>
      <c r="Q155" s="20"/>
      <c r="R155" s="20"/>
      <c r="S155" s="20"/>
      <c r="T155" s="20"/>
      <c r="U155" s="20"/>
      <c r="V155" s="20"/>
      <c r="W155" s="20"/>
      <c r="X155" s="20"/>
      <c r="Y155" s="20"/>
      <c r="Z155" s="20"/>
      <c r="AA155" s="20"/>
      <c r="AB155" s="20"/>
      <c r="AC155" s="20"/>
    </row>
    <row r="156" spans="1:29">
      <c r="A156" s="20"/>
      <c r="B156" s="20"/>
      <c r="C156" s="20"/>
      <c r="D156" s="20"/>
      <c r="E156" s="20"/>
      <c r="F156" s="20"/>
      <c r="G156" s="20"/>
      <c r="H156" s="20"/>
      <c r="I156" s="20"/>
      <c r="J156" s="20"/>
      <c r="K156" s="20"/>
      <c r="L156" s="20"/>
      <c r="M156" s="20"/>
      <c r="N156" s="20"/>
      <c r="O156" s="20"/>
      <c r="P156" s="20"/>
      <c r="Q156" s="20"/>
      <c r="R156" s="20"/>
      <c r="S156" s="20"/>
      <c r="T156" s="20"/>
      <c r="U156" s="20"/>
      <c r="V156" s="20"/>
      <c r="W156" s="20"/>
      <c r="X156" s="20"/>
      <c r="Y156" s="20"/>
      <c r="Z156" s="20"/>
      <c r="AA156" s="20"/>
      <c r="AB156" s="20"/>
      <c r="AC156" s="20"/>
    </row>
    <row r="157" spans="1:29">
      <c r="A157" s="20"/>
      <c r="B157" s="20"/>
      <c r="C157" s="20"/>
      <c r="D157" s="20"/>
      <c r="E157" s="20"/>
      <c r="F157" s="20"/>
      <c r="G157" s="20"/>
      <c r="H157" s="20"/>
      <c r="I157" s="20"/>
      <c r="J157" s="20"/>
      <c r="K157" s="20"/>
      <c r="L157" s="20"/>
      <c r="M157" s="20"/>
      <c r="N157" s="20"/>
      <c r="O157" s="20"/>
      <c r="P157" s="20"/>
      <c r="Q157" s="20"/>
      <c r="R157" s="20"/>
      <c r="S157" s="20"/>
      <c r="T157" s="20"/>
      <c r="U157" s="20"/>
      <c r="V157" s="20"/>
      <c r="W157" s="20"/>
      <c r="X157" s="20"/>
      <c r="Y157" s="20"/>
      <c r="Z157" s="20"/>
      <c r="AA157" s="20"/>
      <c r="AB157" s="20"/>
      <c r="AC157" s="20"/>
    </row>
    <row r="158" spans="1:29">
      <c r="A158" s="20"/>
      <c r="B158" s="20"/>
      <c r="C158" s="20"/>
      <c r="D158" s="20"/>
      <c r="E158" s="20"/>
      <c r="F158" s="20"/>
      <c r="G158" s="20"/>
      <c r="H158" s="20"/>
      <c r="I158" s="20"/>
      <c r="J158" s="20"/>
      <c r="K158" s="20"/>
      <c r="L158" s="20"/>
      <c r="M158" s="20"/>
      <c r="N158" s="20"/>
      <c r="O158" s="20"/>
      <c r="P158" s="20"/>
      <c r="Q158" s="20"/>
      <c r="R158" s="20"/>
      <c r="S158" s="20"/>
      <c r="T158" s="20"/>
      <c r="U158" s="20"/>
      <c r="V158" s="20"/>
      <c r="W158" s="20"/>
      <c r="X158" s="20"/>
      <c r="Y158" s="20"/>
      <c r="Z158" s="20"/>
      <c r="AA158" s="20"/>
      <c r="AB158" s="20"/>
      <c r="AC158" s="20"/>
    </row>
    <row r="159" spans="1:29">
      <c r="A159" s="20"/>
      <c r="B159" s="20"/>
      <c r="C159" s="20"/>
      <c r="D159" s="20"/>
      <c r="E159" s="20"/>
      <c r="F159" s="20"/>
      <c r="G159" s="20"/>
      <c r="H159" s="20"/>
      <c r="I159" s="20"/>
      <c r="J159" s="20"/>
      <c r="K159" s="20"/>
      <c r="L159" s="20"/>
      <c r="M159" s="20"/>
      <c r="N159" s="20"/>
      <c r="O159" s="20"/>
      <c r="P159" s="20"/>
      <c r="Q159" s="20"/>
      <c r="R159" s="20"/>
      <c r="S159" s="20"/>
      <c r="T159" s="20"/>
      <c r="U159" s="20"/>
      <c r="V159" s="20"/>
      <c r="W159" s="20"/>
      <c r="X159" s="20"/>
      <c r="Y159" s="20"/>
      <c r="Z159" s="20"/>
      <c r="AA159" s="20"/>
      <c r="AB159" s="20"/>
      <c r="AC159" s="20"/>
    </row>
    <row r="160" spans="1:29">
      <c r="A160" s="20"/>
      <c r="B160" s="20"/>
      <c r="C160" s="20"/>
      <c r="D160" s="20"/>
      <c r="E160" s="20"/>
      <c r="F160" s="20"/>
      <c r="G160" s="20"/>
      <c r="H160" s="20"/>
      <c r="I160" s="20"/>
      <c r="J160" s="20"/>
      <c r="K160" s="20"/>
      <c r="L160" s="20"/>
      <c r="M160" s="20"/>
      <c r="N160" s="20"/>
      <c r="O160" s="20"/>
      <c r="P160" s="20"/>
      <c r="Q160" s="20"/>
      <c r="R160" s="20"/>
      <c r="S160" s="20"/>
      <c r="T160" s="20"/>
      <c r="U160" s="20"/>
      <c r="V160" s="20"/>
      <c r="W160" s="20"/>
      <c r="X160" s="20"/>
      <c r="Y160" s="20"/>
      <c r="Z160" s="20"/>
      <c r="AA160" s="20"/>
      <c r="AB160" s="20"/>
      <c r="AC160" s="20"/>
    </row>
    <row r="161" spans="1:29">
      <c r="A161" s="20"/>
      <c r="B161" s="20"/>
      <c r="C161" s="20"/>
      <c r="D161" s="20"/>
      <c r="E161" s="20"/>
      <c r="F161" s="20"/>
      <c r="G161" s="20"/>
      <c r="H161" s="20"/>
      <c r="I161" s="20"/>
      <c r="J161" s="20"/>
      <c r="K161" s="20"/>
      <c r="L161" s="20"/>
      <c r="M161" s="20"/>
      <c r="N161" s="20"/>
      <c r="O161" s="20"/>
      <c r="P161" s="20"/>
      <c r="Q161" s="20"/>
      <c r="R161" s="20"/>
      <c r="S161" s="20"/>
      <c r="T161" s="20"/>
      <c r="U161" s="20"/>
      <c r="V161" s="20"/>
      <c r="W161" s="20"/>
      <c r="X161" s="20"/>
      <c r="Y161" s="20"/>
      <c r="Z161" s="20"/>
      <c r="AA161" s="20"/>
      <c r="AB161" s="20"/>
      <c r="AC161" s="20"/>
    </row>
    <row r="162" spans="1:29">
      <c r="A162" s="20"/>
      <c r="B162" s="20"/>
      <c r="C162" s="20"/>
      <c r="D162" s="20"/>
      <c r="E162" s="20"/>
      <c r="F162" s="20"/>
      <c r="G162" s="20"/>
      <c r="H162" s="20"/>
      <c r="I162" s="20"/>
      <c r="J162" s="20"/>
      <c r="K162" s="20"/>
      <c r="L162" s="20"/>
      <c r="M162" s="20"/>
      <c r="N162" s="20"/>
      <c r="O162" s="20"/>
      <c r="P162" s="20"/>
      <c r="Q162" s="20"/>
      <c r="R162" s="20"/>
      <c r="S162" s="20"/>
      <c r="T162" s="20"/>
      <c r="U162" s="20"/>
      <c r="V162" s="20"/>
      <c r="W162" s="20"/>
      <c r="X162" s="20"/>
      <c r="Y162" s="20"/>
      <c r="Z162" s="20"/>
      <c r="AA162" s="20"/>
      <c r="AB162" s="20"/>
      <c r="AC162" s="20"/>
    </row>
    <row r="163" spans="1:29">
      <c r="A163" s="20"/>
      <c r="B163" s="20"/>
      <c r="C163" s="20"/>
      <c r="D163" s="20"/>
      <c r="E163" s="20"/>
      <c r="F163" s="20"/>
      <c r="G163" s="20"/>
      <c r="H163" s="20"/>
      <c r="I163" s="20"/>
      <c r="J163" s="20"/>
      <c r="K163" s="20"/>
      <c r="L163" s="20"/>
      <c r="M163" s="20"/>
      <c r="N163" s="20"/>
      <c r="O163" s="20"/>
      <c r="P163" s="20"/>
      <c r="Q163" s="20"/>
      <c r="R163" s="20"/>
      <c r="S163" s="20"/>
      <c r="T163" s="20"/>
      <c r="U163" s="20"/>
      <c r="V163" s="20"/>
      <c r="W163" s="20"/>
      <c r="X163" s="20"/>
      <c r="Y163" s="20"/>
      <c r="Z163" s="20"/>
      <c r="AA163" s="20"/>
      <c r="AB163" s="20"/>
      <c r="AC163" s="20"/>
    </row>
    <row r="164" spans="1:29">
      <c r="A164" s="20"/>
      <c r="B164" s="20"/>
      <c r="C164" s="20"/>
      <c r="D164" s="20"/>
      <c r="E164" s="20"/>
      <c r="F164" s="20"/>
      <c r="G164" s="20"/>
      <c r="H164" s="20"/>
      <c r="I164" s="20"/>
      <c r="J164" s="20"/>
      <c r="K164" s="20"/>
      <c r="L164" s="20"/>
      <c r="M164" s="20"/>
      <c r="N164" s="20"/>
      <c r="O164" s="20"/>
      <c r="P164" s="20"/>
      <c r="Q164" s="20"/>
      <c r="R164" s="20"/>
      <c r="S164" s="20"/>
      <c r="T164" s="20"/>
      <c r="U164" s="20"/>
      <c r="V164" s="20"/>
      <c r="W164" s="20"/>
      <c r="X164" s="20"/>
      <c r="Y164" s="20"/>
      <c r="Z164" s="20"/>
      <c r="AA164" s="20"/>
      <c r="AB164" s="20"/>
      <c r="AC164" s="20"/>
    </row>
    <row r="165" spans="1:29">
      <c r="A165" s="20"/>
      <c r="B165" s="20"/>
      <c r="C165" s="20"/>
      <c r="D165" s="20"/>
      <c r="E165" s="20"/>
      <c r="F165" s="20"/>
      <c r="G165" s="20"/>
      <c r="H165" s="20"/>
      <c r="I165" s="20"/>
      <c r="J165" s="20"/>
      <c r="K165" s="20"/>
      <c r="L165" s="20"/>
      <c r="M165" s="20"/>
      <c r="N165" s="20"/>
      <c r="O165" s="20"/>
      <c r="P165" s="20"/>
      <c r="Q165" s="20"/>
      <c r="R165" s="20"/>
      <c r="S165" s="20"/>
      <c r="T165" s="20"/>
      <c r="U165" s="20"/>
      <c r="V165" s="20"/>
      <c r="W165" s="20"/>
      <c r="X165" s="20"/>
      <c r="Y165" s="20"/>
      <c r="Z165" s="20"/>
      <c r="AA165" s="20"/>
      <c r="AB165" s="20"/>
      <c r="AC165" s="20"/>
    </row>
    <row r="166" spans="1:29">
      <c r="A166" s="20"/>
      <c r="B166" s="20"/>
      <c r="C166" s="20"/>
      <c r="D166" s="20"/>
      <c r="E166" s="20"/>
      <c r="F166" s="20"/>
      <c r="G166" s="20"/>
      <c r="H166" s="20"/>
      <c r="I166" s="20"/>
      <c r="J166" s="20"/>
      <c r="K166" s="20"/>
      <c r="L166" s="20"/>
      <c r="M166" s="20"/>
      <c r="N166" s="20"/>
      <c r="O166" s="20"/>
      <c r="P166" s="20"/>
      <c r="Q166" s="20"/>
      <c r="R166" s="20"/>
      <c r="S166" s="20"/>
      <c r="T166" s="20"/>
      <c r="U166" s="20"/>
      <c r="V166" s="20"/>
      <c r="W166" s="20"/>
      <c r="X166" s="20"/>
      <c r="Y166" s="20"/>
      <c r="Z166" s="20"/>
      <c r="AA166" s="20"/>
      <c r="AB166" s="20"/>
      <c r="AC166" s="20"/>
    </row>
    <row r="167" spans="1:29">
      <c r="A167" s="20"/>
      <c r="B167" s="20"/>
      <c r="C167" s="20"/>
      <c r="D167" s="20"/>
      <c r="E167" s="20"/>
      <c r="F167" s="20"/>
      <c r="G167" s="20"/>
      <c r="H167" s="20"/>
      <c r="I167" s="20"/>
      <c r="J167" s="20"/>
      <c r="K167" s="20"/>
      <c r="L167" s="20"/>
      <c r="M167" s="20"/>
      <c r="N167" s="20"/>
      <c r="O167" s="20"/>
      <c r="P167" s="20"/>
      <c r="Q167" s="20"/>
      <c r="R167" s="20"/>
      <c r="S167" s="20"/>
      <c r="T167" s="20"/>
      <c r="U167" s="20"/>
      <c r="V167" s="20"/>
      <c r="W167" s="20"/>
      <c r="X167" s="20"/>
      <c r="Y167" s="20"/>
      <c r="Z167" s="20"/>
      <c r="AA167" s="20"/>
      <c r="AB167" s="20"/>
      <c r="AC167" s="20"/>
    </row>
    <row r="168" spans="1:29">
      <c r="A168" s="20"/>
      <c r="B168" s="20"/>
      <c r="C168" s="20"/>
      <c r="D168" s="20"/>
      <c r="E168" s="20"/>
      <c r="F168" s="20"/>
      <c r="G168" s="20"/>
      <c r="H168" s="20"/>
      <c r="I168" s="20"/>
      <c r="J168" s="20"/>
      <c r="K168" s="20"/>
      <c r="L168" s="20"/>
      <c r="M168" s="20"/>
      <c r="N168" s="20"/>
      <c r="O168" s="20"/>
      <c r="P168" s="20"/>
      <c r="Q168" s="20"/>
      <c r="R168" s="20"/>
      <c r="S168" s="20"/>
      <c r="T168" s="20"/>
      <c r="U168" s="20"/>
      <c r="V168" s="20"/>
      <c r="W168" s="20"/>
      <c r="X168" s="20"/>
      <c r="Y168" s="20"/>
      <c r="Z168" s="20"/>
      <c r="AA168" s="20"/>
      <c r="AB168" s="20"/>
      <c r="AC168" s="20"/>
    </row>
    <row r="169" spans="1:29">
      <c r="A169" s="20"/>
      <c r="B169" s="20"/>
      <c r="C169" s="20"/>
      <c r="D169" s="20"/>
      <c r="E169" s="20"/>
      <c r="F169" s="20"/>
      <c r="G169" s="20"/>
      <c r="H169" s="20"/>
      <c r="I169" s="20"/>
      <c r="J169" s="20"/>
      <c r="K169" s="20"/>
      <c r="L169" s="20"/>
      <c r="M169" s="20"/>
      <c r="N169" s="20"/>
      <c r="O169" s="20"/>
      <c r="P169" s="20"/>
      <c r="Q169" s="20"/>
      <c r="R169" s="20"/>
      <c r="S169" s="20"/>
      <c r="T169" s="20"/>
      <c r="U169" s="20"/>
      <c r="V169" s="20"/>
      <c r="W169" s="20"/>
      <c r="X169" s="20"/>
      <c r="Y169" s="20"/>
      <c r="Z169" s="20"/>
      <c r="AA169" s="20"/>
      <c r="AB169" s="20"/>
      <c r="AC169" s="20"/>
    </row>
    <row r="170" spans="1:29">
      <c r="A170" s="20"/>
      <c r="B170" s="20"/>
      <c r="C170" s="20"/>
      <c r="D170" s="20"/>
      <c r="E170" s="20"/>
      <c r="F170" s="20"/>
      <c r="G170" s="20"/>
      <c r="H170" s="20"/>
      <c r="I170" s="20"/>
      <c r="J170" s="20"/>
      <c r="K170" s="20"/>
      <c r="L170" s="20"/>
      <c r="M170" s="20"/>
      <c r="N170" s="20"/>
      <c r="O170" s="20"/>
      <c r="P170" s="20"/>
      <c r="Q170" s="20"/>
      <c r="R170" s="20"/>
      <c r="S170" s="20"/>
      <c r="T170" s="20"/>
      <c r="U170" s="20"/>
      <c r="V170" s="20"/>
      <c r="W170" s="20"/>
      <c r="X170" s="20"/>
      <c r="Y170" s="20"/>
      <c r="Z170" s="20"/>
      <c r="AA170" s="20"/>
      <c r="AB170" s="20"/>
      <c r="AC170" s="20"/>
    </row>
    <row r="171" spans="1:29">
      <c r="A171" s="20"/>
      <c r="B171" s="20"/>
      <c r="C171" s="20"/>
      <c r="D171" s="20"/>
      <c r="E171" s="20"/>
      <c r="F171" s="20"/>
      <c r="G171" s="20"/>
      <c r="H171" s="20"/>
      <c r="I171" s="20"/>
      <c r="J171" s="20"/>
      <c r="K171" s="20"/>
      <c r="L171" s="20"/>
      <c r="M171" s="20"/>
      <c r="N171" s="20"/>
      <c r="O171" s="20"/>
      <c r="P171" s="20"/>
      <c r="Q171" s="20"/>
      <c r="R171" s="20"/>
      <c r="S171" s="20"/>
      <c r="T171" s="20"/>
      <c r="U171" s="20"/>
      <c r="V171" s="20"/>
      <c r="W171" s="20"/>
      <c r="X171" s="20"/>
      <c r="Y171" s="20"/>
      <c r="Z171" s="20"/>
      <c r="AA171" s="20"/>
      <c r="AB171" s="20"/>
      <c r="AC171" s="20"/>
    </row>
    <row r="172" spans="1:29">
      <c r="A172" s="20"/>
      <c r="B172" s="20"/>
      <c r="C172" s="20"/>
      <c r="D172" s="20"/>
      <c r="E172" s="20"/>
      <c r="F172" s="20"/>
      <c r="G172" s="20"/>
      <c r="H172" s="20"/>
      <c r="I172" s="20"/>
      <c r="J172" s="20"/>
      <c r="K172" s="20"/>
      <c r="L172" s="20"/>
      <c r="M172" s="20"/>
      <c r="N172" s="20"/>
      <c r="O172" s="20"/>
      <c r="P172" s="20"/>
      <c r="Q172" s="20"/>
      <c r="R172" s="20"/>
      <c r="S172" s="20"/>
      <c r="T172" s="20"/>
      <c r="U172" s="20"/>
      <c r="V172" s="20"/>
      <c r="W172" s="20"/>
      <c r="X172" s="20"/>
      <c r="Y172" s="20"/>
      <c r="Z172" s="20"/>
      <c r="AA172" s="20"/>
      <c r="AB172" s="20"/>
      <c r="AC172" s="20"/>
    </row>
    <row r="173" spans="1:29">
      <c r="A173" s="20"/>
      <c r="B173" s="20"/>
      <c r="C173" s="20"/>
      <c r="D173" s="20"/>
      <c r="E173" s="20"/>
      <c r="F173" s="20"/>
      <c r="G173" s="20"/>
      <c r="H173" s="20"/>
      <c r="I173" s="20"/>
      <c r="J173" s="20"/>
      <c r="K173" s="20"/>
      <c r="L173" s="20"/>
      <c r="M173" s="20"/>
      <c r="N173" s="20"/>
      <c r="O173" s="20"/>
      <c r="P173" s="20"/>
      <c r="Q173" s="20"/>
      <c r="R173" s="20"/>
      <c r="S173" s="20"/>
      <c r="T173" s="20"/>
      <c r="U173" s="20"/>
      <c r="V173" s="20"/>
      <c r="W173" s="20"/>
      <c r="X173" s="20"/>
      <c r="Y173" s="20"/>
      <c r="Z173" s="20"/>
      <c r="AA173" s="20"/>
      <c r="AB173" s="20"/>
      <c r="AC173" s="20"/>
    </row>
    <row r="174" spans="1:29">
      <c r="A174" s="20"/>
      <c r="B174" s="20"/>
      <c r="C174" s="20"/>
      <c r="D174" s="20"/>
      <c r="E174" s="20"/>
      <c r="F174" s="20"/>
      <c r="G174" s="20"/>
      <c r="H174" s="20"/>
      <c r="I174" s="20"/>
      <c r="J174" s="20"/>
      <c r="K174" s="20"/>
      <c r="L174" s="20"/>
      <c r="M174" s="20"/>
      <c r="N174" s="20"/>
      <c r="O174" s="20"/>
      <c r="P174" s="20"/>
      <c r="Q174" s="20"/>
      <c r="R174" s="20"/>
      <c r="S174" s="20"/>
      <c r="T174" s="20"/>
      <c r="U174" s="20"/>
      <c r="V174" s="20"/>
      <c r="W174" s="20"/>
      <c r="X174" s="20"/>
      <c r="Y174" s="20"/>
      <c r="Z174" s="20"/>
      <c r="AA174" s="20"/>
      <c r="AB174" s="20"/>
      <c r="AC174" s="20"/>
    </row>
    <row r="175" spans="1:29">
      <c r="A175" s="20"/>
      <c r="B175" s="20"/>
      <c r="C175" s="20"/>
      <c r="D175" s="20"/>
      <c r="E175" s="20"/>
      <c r="F175" s="20"/>
      <c r="G175" s="20"/>
      <c r="H175" s="20"/>
      <c r="I175" s="20"/>
      <c r="J175" s="20"/>
      <c r="K175" s="20"/>
      <c r="L175" s="20"/>
      <c r="M175" s="20"/>
      <c r="N175" s="20"/>
      <c r="O175" s="20"/>
      <c r="P175" s="20"/>
      <c r="Q175" s="20"/>
      <c r="R175" s="20"/>
      <c r="S175" s="20"/>
      <c r="T175" s="20"/>
      <c r="U175" s="20"/>
      <c r="V175" s="20"/>
      <c r="W175" s="20"/>
      <c r="X175" s="20"/>
      <c r="Y175" s="20"/>
      <c r="Z175" s="20"/>
      <c r="AA175" s="20"/>
      <c r="AB175" s="20"/>
      <c r="AC175" s="20"/>
    </row>
    <row r="176" spans="1:29">
      <c r="A176" s="20"/>
      <c r="B176" s="20"/>
      <c r="C176" s="20"/>
      <c r="D176" s="20"/>
      <c r="E176" s="20"/>
      <c r="F176" s="20"/>
      <c r="G176" s="20"/>
      <c r="H176" s="20"/>
      <c r="I176" s="20"/>
      <c r="J176" s="20"/>
      <c r="K176" s="20"/>
      <c r="L176" s="20"/>
      <c r="M176" s="20"/>
      <c r="N176" s="20"/>
      <c r="O176" s="20"/>
      <c r="P176" s="20"/>
      <c r="Q176" s="20"/>
      <c r="R176" s="20"/>
      <c r="S176" s="20"/>
      <c r="T176" s="20"/>
      <c r="U176" s="20"/>
      <c r="V176" s="20"/>
      <c r="W176" s="20"/>
      <c r="X176" s="20"/>
      <c r="Y176" s="20"/>
      <c r="Z176" s="20"/>
      <c r="AA176" s="20"/>
      <c r="AB176" s="20"/>
      <c r="AC176" s="20"/>
    </row>
    <row r="177" spans="1:29">
      <c r="A177" s="20"/>
      <c r="B177" s="20"/>
      <c r="C177" s="20"/>
      <c r="D177" s="20"/>
      <c r="E177" s="20"/>
      <c r="F177" s="20"/>
      <c r="G177" s="20"/>
      <c r="H177" s="20"/>
      <c r="I177" s="20"/>
      <c r="J177" s="20"/>
      <c r="K177" s="20"/>
      <c r="L177" s="20"/>
      <c r="M177" s="20"/>
      <c r="N177" s="20"/>
      <c r="O177" s="20"/>
      <c r="P177" s="20"/>
      <c r="Q177" s="20"/>
      <c r="R177" s="20"/>
      <c r="S177" s="20"/>
      <c r="T177" s="20"/>
      <c r="U177" s="20"/>
      <c r="V177" s="20"/>
      <c r="W177" s="20"/>
      <c r="X177" s="20"/>
      <c r="Y177" s="20"/>
      <c r="Z177" s="20"/>
      <c r="AA177" s="20"/>
      <c r="AB177" s="20"/>
      <c r="AC177" s="20"/>
    </row>
    <row r="178" spans="1:29">
      <c r="A178" s="20"/>
      <c r="B178" s="20"/>
      <c r="C178" s="20"/>
      <c r="D178" s="20"/>
      <c r="E178" s="20"/>
      <c r="F178" s="20"/>
      <c r="G178" s="20"/>
      <c r="H178" s="20"/>
      <c r="I178" s="20"/>
      <c r="J178" s="20"/>
      <c r="K178" s="20"/>
      <c r="L178" s="20"/>
      <c r="M178" s="20"/>
      <c r="N178" s="20"/>
      <c r="O178" s="20"/>
      <c r="P178" s="20"/>
      <c r="Q178" s="20"/>
      <c r="R178" s="20"/>
      <c r="S178" s="20"/>
      <c r="T178" s="20"/>
      <c r="U178" s="20"/>
      <c r="V178" s="20"/>
      <c r="W178" s="20"/>
      <c r="X178" s="20"/>
      <c r="Y178" s="20"/>
      <c r="Z178" s="20"/>
      <c r="AA178" s="20"/>
      <c r="AB178" s="20"/>
      <c r="AC178" s="20"/>
    </row>
    <row r="179" spans="1:29">
      <c r="A179" s="20"/>
      <c r="B179" s="20"/>
      <c r="C179" s="20"/>
      <c r="D179" s="20"/>
      <c r="E179" s="20"/>
      <c r="F179" s="20"/>
      <c r="G179" s="20"/>
      <c r="H179" s="20"/>
      <c r="I179" s="20"/>
      <c r="J179" s="20"/>
      <c r="K179" s="20"/>
      <c r="L179" s="20"/>
      <c r="M179" s="20"/>
      <c r="N179" s="20"/>
      <c r="O179" s="20"/>
      <c r="P179" s="20"/>
      <c r="Q179" s="20"/>
      <c r="R179" s="20"/>
      <c r="S179" s="20"/>
      <c r="T179" s="20"/>
      <c r="U179" s="20"/>
      <c r="V179" s="20"/>
      <c r="W179" s="20"/>
      <c r="X179" s="20"/>
      <c r="Y179" s="20"/>
      <c r="Z179" s="20"/>
      <c r="AA179" s="20"/>
      <c r="AB179" s="20"/>
      <c r="AC179" s="20"/>
    </row>
    <row r="180" spans="1:29">
      <c r="A180" s="20"/>
      <c r="B180" s="20"/>
      <c r="C180" s="20"/>
      <c r="D180" s="20"/>
      <c r="E180" s="20"/>
      <c r="F180" s="20"/>
      <c r="G180" s="20"/>
      <c r="H180" s="20"/>
      <c r="I180" s="20"/>
      <c r="J180" s="20"/>
      <c r="K180" s="20"/>
      <c r="L180" s="20"/>
      <c r="M180" s="20"/>
      <c r="N180" s="20"/>
      <c r="O180" s="20"/>
      <c r="P180" s="20"/>
      <c r="Q180" s="20"/>
      <c r="R180" s="20"/>
      <c r="S180" s="20"/>
      <c r="T180" s="20"/>
      <c r="U180" s="20"/>
      <c r="V180" s="20"/>
      <c r="W180" s="20"/>
      <c r="X180" s="20"/>
      <c r="Y180" s="20"/>
      <c r="Z180" s="20"/>
      <c r="AA180" s="20"/>
      <c r="AB180" s="20"/>
      <c r="AC180" s="20"/>
    </row>
    <row r="181" spans="1:29">
      <c r="A181" s="20"/>
      <c r="B181" s="20"/>
      <c r="C181" s="20"/>
      <c r="D181" s="20"/>
      <c r="E181" s="20"/>
      <c r="F181" s="20"/>
      <c r="G181" s="20"/>
      <c r="H181" s="20"/>
      <c r="I181" s="20"/>
      <c r="J181" s="20"/>
      <c r="K181" s="20"/>
      <c r="L181" s="20"/>
      <c r="M181" s="20"/>
      <c r="N181" s="20"/>
      <c r="O181" s="20"/>
      <c r="P181" s="20"/>
      <c r="Q181" s="20"/>
      <c r="R181" s="20"/>
      <c r="S181" s="20"/>
      <c r="T181" s="20"/>
      <c r="U181" s="20"/>
      <c r="V181" s="20"/>
      <c r="W181" s="20"/>
      <c r="X181" s="20"/>
      <c r="Y181" s="20"/>
      <c r="Z181" s="20"/>
      <c r="AA181" s="20"/>
      <c r="AB181" s="20"/>
      <c r="AC181" s="20"/>
    </row>
    <row r="182" spans="1:29">
      <c r="A182" s="20"/>
      <c r="B182" s="20"/>
      <c r="C182" s="20"/>
      <c r="D182" s="20"/>
      <c r="E182" s="20"/>
      <c r="F182" s="20"/>
      <c r="G182" s="20"/>
      <c r="H182" s="20"/>
      <c r="I182" s="20"/>
      <c r="J182" s="20"/>
      <c r="K182" s="20"/>
      <c r="L182" s="20"/>
      <c r="M182" s="20"/>
      <c r="N182" s="20"/>
      <c r="O182" s="20"/>
      <c r="P182" s="20"/>
      <c r="Q182" s="20"/>
      <c r="R182" s="20"/>
      <c r="S182" s="20"/>
      <c r="T182" s="20"/>
      <c r="U182" s="20"/>
      <c r="V182" s="20"/>
      <c r="W182" s="20"/>
      <c r="X182" s="20"/>
      <c r="Y182" s="20"/>
      <c r="Z182" s="20"/>
      <c r="AA182" s="20"/>
      <c r="AB182" s="20"/>
      <c r="AC182" s="20"/>
    </row>
    <row r="183" spans="1:29">
      <c r="A183" s="20"/>
      <c r="B183" s="20"/>
      <c r="C183" s="20"/>
      <c r="D183" s="20"/>
      <c r="E183" s="20"/>
      <c r="F183" s="20"/>
      <c r="G183" s="20"/>
      <c r="H183" s="20"/>
      <c r="I183" s="20"/>
      <c r="J183" s="20"/>
      <c r="K183" s="20"/>
      <c r="L183" s="20"/>
      <c r="M183" s="20"/>
      <c r="N183" s="20"/>
      <c r="O183" s="20"/>
      <c r="P183" s="20"/>
      <c r="Q183" s="20"/>
      <c r="R183" s="20"/>
      <c r="S183" s="20"/>
      <c r="T183" s="20"/>
      <c r="U183" s="20"/>
      <c r="V183" s="20"/>
      <c r="W183" s="20"/>
      <c r="X183" s="20"/>
      <c r="Y183" s="20"/>
      <c r="Z183" s="20"/>
      <c r="AA183" s="20"/>
      <c r="AB183" s="20"/>
      <c r="AC183" s="20"/>
    </row>
    <row r="184" spans="1:29">
      <c r="A184" s="20"/>
      <c r="B184" s="20"/>
      <c r="C184" s="20"/>
      <c r="D184" s="20"/>
      <c r="E184" s="20"/>
      <c r="F184" s="20"/>
      <c r="G184" s="20"/>
      <c r="H184" s="20"/>
      <c r="I184" s="20"/>
      <c r="J184" s="20"/>
      <c r="K184" s="20"/>
      <c r="L184" s="20"/>
      <c r="M184" s="20"/>
      <c r="N184" s="20"/>
      <c r="O184" s="20"/>
      <c r="P184" s="20"/>
      <c r="Q184" s="20"/>
      <c r="R184" s="20"/>
      <c r="S184" s="20"/>
      <c r="T184" s="20"/>
      <c r="U184" s="20"/>
      <c r="V184" s="20"/>
      <c r="W184" s="20"/>
      <c r="X184" s="20"/>
      <c r="Y184" s="20"/>
      <c r="Z184" s="20"/>
      <c r="AA184" s="20"/>
      <c r="AB184" s="20"/>
      <c r="AC184" s="20"/>
    </row>
    <row r="185" spans="1:29">
      <c r="A185" s="20"/>
      <c r="B185" s="20"/>
      <c r="C185" s="20"/>
      <c r="D185" s="20"/>
      <c r="E185" s="20"/>
      <c r="F185" s="20"/>
      <c r="G185" s="20"/>
      <c r="H185" s="20"/>
      <c r="I185" s="20"/>
      <c r="J185" s="20"/>
      <c r="K185" s="20"/>
      <c r="L185" s="20"/>
      <c r="M185" s="20"/>
      <c r="N185" s="20"/>
      <c r="O185" s="20"/>
      <c r="P185" s="20"/>
      <c r="Q185" s="20"/>
      <c r="R185" s="20"/>
      <c r="S185" s="20"/>
      <c r="T185" s="20"/>
      <c r="U185" s="20"/>
      <c r="V185" s="20"/>
      <c r="W185" s="20"/>
      <c r="X185" s="20"/>
      <c r="Y185" s="20"/>
      <c r="Z185" s="20"/>
      <c r="AA185" s="20"/>
      <c r="AB185" s="20"/>
      <c r="AC185" s="20"/>
    </row>
    <row r="186" spans="1:29">
      <c r="A186" s="20"/>
      <c r="B186" s="20"/>
      <c r="C186" s="20"/>
      <c r="D186" s="20"/>
      <c r="E186" s="20"/>
      <c r="F186" s="20"/>
      <c r="G186" s="20"/>
      <c r="H186" s="20"/>
      <c r="I186" s="20"/>
      <c r="J186" s="20"/>
      <c r="K186" s="20"/>
      <c r="L186" s="20"/>
      <c r="M186" s="20"/>
      <c r="N186" s="20"/>
      <c r="O186" s="20"/>
      <c r="P186" s="20"/>
      <c r="Q186" s="20"/>
      <c r="R186" s="20"/>
      <c r="S186" s="20"/>
      <c r="T186" s="20"/>
      <c r="U186" s="20"/>
      <c r="V186" s="20"/>
      <c r="W186" s="20"/>
      <c r="X186" s="20"/>
      <c r="Y186" s="20"/>
      <c r="Z186" s="20"/>
      <c r="AA186" s="20"/>
      <c r="AB186" s="20"/>
      <c r="AC186" s="20"/>
    </row>
    <row r="187" spans="1:29">
      <c r="A187" s="20"/>
      <c r="B187" s="20"/>
      <c r="C187" s="20"/>
      <c r="D187" s="20"/>
      <c r="E187" s="20"/>
      <c r="F187" s="20"/>
      <c r="G187" s="20"/>
      <c r="H187" s="20"/>
      <c r="I187" s="20"/>
      <c r="J187" s="20"/>
      <c r="K187" s="20"/>
      <c r="L187" s="20"/>
      <c r="M187" s="20"/>
      <c r="N187" s="20"/>
      <c r="O187" s="20"/>
      <c r="P187" s="20"/>
      <c r="Q187" s="20"/>
      <c r="R187" s="20"/>
      <c r="S187" s="20"/>
      <c r="T187" s="20"/>
      <c r="U187" s="20"/>
      <c r="V187" s="20"/>
      <c r="W187" s="20"/>
      <c r="X187" s="20"/>
      <c r="Y187" s="20"/>
      <c r="Z187" s="20"/>
      <c r="AA187" s="20"/>
      <c r="AB187" s="20"/>
      <c r="AC187" s="20"/>
    </row>
    <row r="188" spans="1:29">
      <c r="A188" s="20"/>
      <c r="B188" s="20"/>
      <c r="C188" s="20"/>
      <c r="D188" s="20"/>
      <c r="E188" s="20"/>
      <c r="F188" s="20"/>
      <c r="G188" s="20"/>
      <c r="H188" s="20"/>
      <c r="I188" s="20"/>
      <c r="J188" s="20"/>
      <c r="K188" s="20"/>
      <c r="L188" s="20"/>
      <c r="M188" s="20"/>
      <c r="N188" s="20"/>
      <c r="O188" s="20"/>
      <c r="P188" s="20"/>
      <c r="Q188" s="20"/>
      <c r="R188" s="20"/>
      <c r="S188" s="20"/>
      <c r="T188" s="20"/>
      <c r="U188" s="20"/>
      <c r="V188" s="20"/>
      <c r="W188" s="20"/>
      <c r="X188" s="20"/>
      <c r="Y188" s="20"/>
      <c r="Z188" s="20"/>
      <c r="AA188" s="20"/>
      <c r="AB188" s="20"/>
      <c r="AC188" s="20"/>
    </row>
    <row r="189" spans="1:29">
      <c r="A189" s="20"/>
      <c r="B189" s="20"/>
      <c r="C189" s="20"/>
      <c r="D189" s="20"/>
      <c r="E189" s="20"/>
      <c r="F189" s="20"/>
      <c r="G189" s="20"/>
      <c r="H189" s="20"/>
      <c r="I189" s="20"/>
      <c r="J189" s="20"/>
      <c r="K189" s="20"/>
      <c r="L189" s="20"/>
      <c r="M189" s="20"/>
      <c r="N189" s="20"/>
      <c r="O189" s="20"/>
      <c r="P189" s="20"/>
      <c r="Q189" s="20"/>
      <c r="R189" s="20"/>
      <c r="S189" s="20"/>
      <c r="T189" s="20"/>
      <c r="U189" s="20"/>
      <c r="V189" s="20"/>
      <c r="W189" s="20"/>
      <c r="X189" s="20"/>
      <c r="Y189" s="20"/>
      <c r="Z189" s="20"/>
      <c r="AA189" s="20"/>
      <c r="AB189" s="20"/>
      <c r="AC189" s="20"/>
    </row>
    <row r="190" spans="1:29">
      <c r="A190" s="20"/>
      <c r="B190" s="20"/>
      <c r="C190" s="20"/>
      <c r="D190" s="20"/>
      <c r="E190" s="20"/>
      <c r="F190" s="20"/>
      <c r="G190" s="20"/>
      <c r="H190" s="20"/>
      <c r="I190" s="20"/>
      <c r="J190" s="20"/>
      <c r="K190" s="20"/>
      <c r="L190" s="20"/>
      <c r="M190" s="20"/>
      <c r="N190" s="20"/>
      <c r="O190" s="20"/>
      <c r="P190" s="20"/>
      <c r="Q190" s="20"/>
      <c r="R190" s="20"/>
      <c r="S190" s="20"/>
      <c r="T190" s="20"/>
      <c r="U190" s="20"/>
      <c r="V190" s="20"/>
      <c r="W190" s="20"/>
      <c r="X190" s="20"/>
      <c r="Y190" s="20"/>
      <c r="Z190" s="20"/>
      <c r="AA190" s="20"/>
      <c r="AB190" s="20"/>
      <c r="AC190" s="20"/>
    </row>
    <row r="191" spans="1:29">
      <c r="A191" s="20"/>
      <c r="B191" s="20"/>
      <c r="C191" s="20"/>
      <c r="D191" s="20"/>
      <c r="E191" s="20"/>
      <c r="F191" s="20"/>
      <c r="G191" s="20"/>
      <c r="H191" s="20"/>
      <c r="I191" s="20"/>
      <c r="J191" s="20"/>
      <c r="K191" s="20"/>
      <c r="L191" s="20"/>
      <c r="M191" s="20"/>
      <c r="N191" s="20"/>
      <c r="O191" s="20"/>
      <c r="P191" s="20"/>
      <c r="Q191" s="20"/>
      <c r="R191" s="20"/>
      <c r="S191" s="20"/>
      <c r="T191" s="20"/>
      <c r="U191" s="20"/>
      <c r="V191" s="20"/>
      <c r="W191" s="20"/>
      <c r="X191" s="20"/>
      <c r="Y191" s="20"/>
      <c r="Z191" s="20"/>
      <c r="AA191" s="20"/>
      <c r="AB191" s="20"/>
      <c r="AC191" s="20"/>
    </row>
    <row r="192" spans="1:29">
      <c r="A192" s="20"/>
      <c r="B192" s="20"/>
      <c r="C192" s="20"/>
      <c r="D192" s="20"/>
      <c r="E192" s="20"/>
      <c r="F192" s="20"/>
      <c r="G192" s="20"/>
      <c r="H192" s="20"/>
      <c r="I192" s="20"/>
      <c r="J192" s="20"/>
      <c r="K192" s="20"/>
      <c r="L192" s="20"/>
      <c r="M192" s="20"/>
      <c r="N192" s="20"/>
      <c r="O192" s="20"/>
      <c r="P192" s="20"/>
      <c r="Q192" s="20"/>
      <c r="R192" s="20"/>
      <c r="S192" s="20"/>
      <c r="T192" s="20"/>
      <c r="U192" s="20"/>
      <c r="V192" s="20"/>
      <c r="W192" s="20"/>
      <c r="X192" s="20"/>
      <c r="Y192" s="20"/>
      <c r="Z192" s="20"/>
      <c r="AA192" s="20"/>
      <c r="AB192" s="20"/>
      <c r="AC192" s="20"/>
    </row>
    <row r="193" spans="1:29">
      <c r="A193" s="20"/>
      <c r="B193" s="20"/>
      <c r="C193" s="20"/>
      <c r="D193" s="20"/>
      <c r="E193" s="20"/>
      <c r="F193" s="20"/>
      <c r="G193" s="20"/>
      <c r="H193" s="20"/>
      <c r="I193" s="20"/>
      <c r="J193" s="20"/>
      <c r="K193" s="20"/>
      <c r="L193" s="20"/>
      <c r="M193" s="20"/>
      <c r="N193" s="20"/>
      <c r="O193" s="20"/>
      <c r="P193" s="20"/>
      <c r="Q193" s="20"/>
      <c r="R193" s="20"/>
      <c r="S193" s="20"/>
      <c r="T193" s="20"/>
      <c r="U193" s="20"/>
      <c r="V193" s="20"/>
      <c r="W193" s="20"/>
      <c r="X193" s="20"/>
      <c r="Y193" s="20"/>
      <c r="Z193" s="20"/>
      <c r="AA193" s="20"/>
      <c r="AB193" s="20"/>
      <c r="AC193" s="20"/>
    </row>
    <row r="194" spans="1:29">
      <c r="A194" s="20"/>
      <c r="B194" s="20"/>
      <c r="C194" s="20"/>
      <c r="D194" s="20"/>
      <c r="E194" s="20"/>
      <c r="F194" s="20"/>
      <c r="G194" s="20"/>
      <c r="H194" s="20"/>
      <c r="I194" s="20"/>
      <c r="J194" s="20"/>
      <c r="K194" s="20"/>
      <c r="L194" s="20"/>
      <c r="M194" s="20"/>
      <c r="N194" s="20"/>
      <c r="O194" s="20"/>
      <c r="P194" s="20"/>
      <c r="Q194" s="20"/>
      <c r="R194" s="20"/>
      <c r="S194" s="20"/>
      <c r="T194" s="20"/>
      <c r="U194" s="20"/>
      <c r="V194" s="20"/>
      <c r="W194" s="20"/>
      <c r="X194" s="20"/>
      <c r="Y194" s="20"/>
      <c r="Z194" s="20"/>
      <c r="AA194" s="20"/>
      <c r="AB194" s="20"/>
      <c r="AC194" s="20"/>
    </row>
    <row r="195" spans="1:29">
      <c r="A195" s="20"/>
      <c r="B195" s="20"/>
      <c r="C195" s="20"/>
      <c r="D195" s="20"/>
      <c r="E195" s="20"/>
      <c r="F195" s="20"/>
      <c r="G195" s="20"/>
      <c r="H195" s="20"/>
      <c r="I195" s="20"/>
      <c r="J195" s="20"/>
      <c r="K195" s="20"/>
      <c r="L195" s="20"/>
      <c r="M195" s="20"/>
      <c r="N195" s="20"/>
      <c r="O195" s="20"/>
      <c r="P195" s="20"/>
      <c r="Q195" s="20"/>
      <c r="R195" s="20"/>
      <c r="S195" s="20"/>
      <c r="T195" s="20"/>
      <c r="U195" s="20"/>
      <c r="V195" s="20"/>
      <c r="W195" s="20"/>
      <c r="X195" s="20"/>
      <c r="Y195" s="20"/>
      <c r="Z195" s="20"/>
      <c r="AA195" s="20"/>
      <c r="AB195" s="20"/>
      <c r="AC195" s="20"/>
    </row>
    <row r="196" spans="1:29">
      <c r="A196" s="20"/>
      <c r="B196" s="20"/>
      <c r="C196" s="20"/>
      <c r="D196" s="20"/>
      <c r="E196" s="20"/>
      <c r="F196" s="20"/>
      <c r="G196" s="20"/>
      <c r="H196" s="20"/>
      <c r="I196" s="20"/>
      <c r="J196" s="20"/>
      <c r="K196" s="20"/>
      <c r="L196" s="20"/>
      <c r="M196" s="20"/>
      <c r="N196" s="20"/>
      <c r="O196" s="20"/>
      <c r="P196" s="20"/>
      <c r="Q196" s="20"/>
      <c r="R196" s="20"/>
      <c r="S196" s="20"/>
      <c r="T196" s="20"/>
      <c r="U196" s="20"/>
      <c r="V196" s="20"/>
      <c r="W196" s="20"/>
      <c r="X196" s="20"/>
      <c r="Y196" s="20"/>
      <c r="Z196" s="20"/>
      <c r="AA196" s="20"/>
      <c r="AB196" s="20"/>
      <c r="AC196" s="20"/>
    </row>
    <row r="197" spans="1:29">
      <c r="A197" s="20"/>
      <c r="B197" s="20"/>
      <c r="C197" s="20"/>
      <c r="D197" s="20"/>
      <c r="E197" s="20"/>
      <c r="F197" s="20"/>
      <c r="G197" s="20"/>
      <c r="H197" s="20"/>
      <c r="I197" s="20"/>
      <c r="J197" s="20"/>
      <c r="K197" s="20"/>
      <c r="L197" s="20"/>
      <c r="M197" s="20"/>
      <c r="N197" s="20"/>
      <c r="O197" s="20"/>
      <c r="P197" s="20"/>
      <c r="Q197" s="20"/>
      <c r="R197" s="20"/>
      <c r="S197" s="20"/>
      <c r="T197" s="20"/>
      <c r="U197" s="20"/>
      <c r="V197" s="20"/>
      <c r="W197" s="20"/>
      <c r="X197" s="20"/>
      <c r="Y197" s="20"/>
      <c r="Z197" s="20"/>
      <c r="AA197" s="20"/>
      <c r="AB197" s="20"/>
      <c r="AC197" s="20"/>
    </row>
    <row r="198" spans="1:29">
      <c r="A198" s="20"/>
      <c r="B198" s="20"/>
      <c r="C198" s="20"/>
      <c r="D198" s="20"/>
      <c r="E198" s="20"/>
      <c r="F198" s="20"/>
      <c r="G198" s="20"/>
      <c r="H198" s="20"/>
      <c r="I198" s="20"/>
      <c r="J198" s="20"/>
      <c r="K198" s="20"/>
      <c r="L198" s="20"/>
      <c r="M198" s="20"/>
      <c r="N198" s="20"/>
      <c r="O198" s="20"/>
      <c r="P198" s="20"/>
      <c r="Q198" s="20"/>
      <c r="R198" s="20"/>
      <c r="S198" s="20"/>
      <c r="T198" s="20"/>
      <c r="U198" s="20"/>
      <c r="V198" s="20"/>
      <c r="W198" s="20"/>
      <c r="X198" s="20"/>
      <c r="Y198" s="20"/>
      <c r="Z198" s="20"/>
      <c r="AA198" s="20"/>
      <c r="AB198" s="20"/>
      <c r="AC198" s="20"/>
    </row>
    <row r="199" spans="1:29">
      <c r="A199" s="20"/>
      <c r="B199" s="20"/>
      <c r="C199" s="20"/>
      <c r="D199" s="20"/>
      <c r="E199" s="20"/>
      <c r="F199" s="20"/>
      <c r="G199" s="20"/>
      <c r="H199" s="20"/>
      <c r="I199" s="20"/>
      <c r="J199" s="20"/>
      <c r="K199" s="20"/>
      <c r="L199" s="20"/>
      <c r="M199" s="20"/>
      <c r="N199" s="20"/>
      <c r="O199" s="20"/>
      <c r="P199" s="20"/>
      <c r="Q199" s="20"/>
      <c r="R199" s="20"/>
      <c r="S199" s="20"/>
      <c r="T199" s="20"/>
      <c r="U199" s="20"/>
      <c r="V199" s="20"/>
      <c r="W199" s="20"/>
      <c r="X199" s="20"/>
      <c r="Y199" s="20"/>
      <c r="Z199" s="20"/>
      <c r="AA199" s="20"/>
      <c r="AB199" s="20"/>
      <c r="AC199" s="20"/>
    </row>
    <row r="200" spans="1:29">
      <c r="A200" s="20"/>
      <c r="B200" s="20"/>
      <c r="C200" s="20"/>
      <c r="D200" s="20"/>
      <c r="E200" s="20"/>
      <c r="F200" s="20"/>
      <c r="G200" s="20"/>
      <c r="H200" s="20"/>
      <c r="I200" s="20"/>
      <c r="J200" s="20"/>
      <c r="K200" s="20"/>
      <c r="L200" s="20"/>
      <c r="M200" s="20"/>
      <c r="N200" s="20"/>
      <c r="O200" s="20"/>
      <c r="P200" s="20"/>
      <c r="Q200" s="20"/>
      <c r="R200" s="20"/>
      <c r="S200" s="20"/>
      <c r="T200" s="20"/>
      <c r="U200" s="20"/>
      <c r="V200" s="20"/>
      <c r="W200" s="20"/>
      <c r="X200" s="20"/>
      <c r="Y200" s="20"/>
      <c r="Z200" s="20"/>
      <c r="AA200" s="20"/>
      <c r="AB200" s="20"/>
      <c r="AC200" s="20"/>
    </row>
    <row r="201" spans="1:29">
      <c r="A201" s="20"/>
      <c r="B201" s="20"/>
      <c r="C201" s="20"/>
      <c r="D201" s="20"/>
      <c r="E201" s="20"/>
      <c r="F201" s="20"/>
      <c r="G201" s="20"/>
      <c r="H201" s="20"/>
      <c r="I201" s="20"/>
      <c r="J201" s="20"/>
      <c r="K201" s="20"/>
      <c r="L201" s="20"/>
      <c r="M201" s="20"/>
      <c r="N201" s="20"/>
      <c r="O201" s="20"/>
      <c r="P201" s="20"/>
      <c r="Q201" s="20"/>
      <c r="R201" s="20"/>
      <c r="S201" s="20"/>
      <c r="T201" s="20"/>
      <c r="U201" s="20"/>
      <c r="V201" s="20"/>
      <c r="W201" s="20"/>
      <c r="X201" s="20"/>
      <c r="Y201" s="20"/>
      <c r="Z201" s="20"/>
      <c r="AA201" s="20"/>
      <c r="AB201" s="20"/>
      <c r="AC201" s="20"/>
    </row>
    <row r="202" spans="1:29">
      <c r="A202" s="20"/>
      <c r="B202" s="20"/>
      <c r="C202" s="20"/>
      <c r="D202" s="20"/>
      <c r="E202" s="20"/>
      <c r="F202" s="20"/>
      <c r="G202" s="20"/>
      <c r="H202" s="20"/>
      <c r="I202" s="20"/>
      <c r="J202" s="20"/>
      <c r="K202" s="20"/>
      <c r="L202" s="20"/>
      <c r="M202" s="20"/>
      <c r="N202" s="20"/>
      <c r="O202" s="20"/>
      <c r="P202" s="20"/>
      <c r="Q202" s="20"/>
      <c r="R202" s="20"/>
      <c r="S202" s="20"/>
      <c r="T202" s="20"/>
      <c r="U202" s="20"/>
      <c r="V202" s="20"/>
      <c r="W202" s="20"/>
      <c r="X202" s="20"/>
      <c r="Y202" s="20"/>
      <c r="Z202" s="20"/>
      <c r="AA202" s="20"/>
      <c r="AB202" s="20"/>
      <c r="AC202" s="20"/>
    </row>
    <row r="203" spans="1:29">
      <c r="A203" s="20"/>
      <c r="B203" s="20"/>
      <c r="C203" s="20"/>
      <c r="D203" s="20"/>
      <c r="E203" s="20"/>
      <c r="F203" s="20"/>
      <c r="G203" s="20"/>
      <c r="H203" s="20"/>
      <c r="I203" s="20"/>
      <c r="J203" s="20"/>
      <c r="K203" s="20"/>
      <c r="L203" s="20"/>
      <c r="M203" s="20"/>
      <c r="N203" s="20"/>
      <c r="O203" s="20"/>
      <c r="P203" s="20"/>
      <c r="Q203" s="20"/>
      <c r="R203" s="20"/>
      <c r="S203" s="20"/>
      <c r="T203" s="20"/>
      <c r="U203" s="20"/>
      <c r="V203" s="20"/>
      <c r="W203" s="20"/>
      <c r="X203" s="20"/>
      <c r="Y203" s="20"/>
      <c r="Z203" s="20"/>
      <c r="AA203" s="20"/>
      <c r="AB203" s="20"/>
      <c r="AC203" s="20"/>
    </row>
    <row r="204" spans="1:29">
      <c r="A204" s="20"/>
      <c r="B204" s="20"/>
      <c r="C204" s="20"/>
      <c r="D204" s="20"/>
      <c r="E204" s="20"/>
      <c r="F204" s="20"/>
      <c r="G204" s="20"/>
      <c r="H204" s="20"/>
      <c r="I204" s="20"/>
      <c r="J204" s="20"/>
      <c r="K204" s="20"/>
      <c r="L204" s="20"/>
      <c r="M204" s="20"/>
      <c r="N204" s="20"/>
      <c r="O204" s="20"/>
      <c r="P204" s="20"/>
      <c r="Q204" s="20"/>
      <c r="R204" s="20"/>
      <c r="S204" s="20"/>
      <c r="T204" s="20"/>
      <c r="U204" s="20"/>
      <c r="V204" s="20"/>
      <c r="W204" s="20"/>
      <c r="X204" s="20"/>
      <c r="Y204" s="20"/>
      <c r="Z204" s="20"/>
      <c r="AA204" s="20"/>
      <c r="AB204" s="20"/>
      <c r="AC204" s="20"/>
    </row>
    <row r="205" spans="1:29">
      <c r="A205" s="20"/>
      <c r="B205" s="20"/>
      <c r="C205" s="20"/>
      <c r="D205" s="20"/>
      <c r="E205" s="20"/>
      <c r="F205" s="20"/>
      <c r="G205" s="20"/>
      <c r="H205" s="20"/>
      <c r="I205" s="20"/>
      <c r="J205" s="20"/>
      <c r="K205" s="20"/>
      <c r="L205" s="20"/>
      <c r="M205" s="20"/>
      <c r="N205" s="20"/>
      <c r="O205" s="20"/>
      <c r="P205" s="20"/>
      <c r="Q205" s="20"/>
      <c r="R205" s="20"/>
      <c r="S205" s="20"/>
      <c r="T205" s="20"/>
      <c r="U205" s="20"/>
      <c r="V205" s="20"/>
      <c r="W205" s="20"/>
      <c r="X205" s="20"/>
      <c r="Y205" s="20"/>
      <c r="Z205" s="20"/>
      <c r="AA205" s="20"/>
      <c r="AB205" s="20"/>
      <c r="AC205" s="20"/>
    </row>
    <row r="206" spans="1:29">
      <c r="A206" s="20"/>
      <c r="B206" s="20"/>
      <c r="C206" s="20"/>
      <c r="D206" s="20"/>
      <c r="E206" s="20"/>
      <c r="F206" s="20"/>
      <c r="G206" s="20"/>
      <c r="H206" s="20"/>
      <c r="I206" s="20"/>
      <c r="J206" s="20"/>
      <c r="K206" s="20"/>
      <c r="L206" s="20"/>
      <c r="M206" s="20"/>
      <c r="N206" s="20"/>
      <c r="O206" s="20"/>
      <c r="P206" s="20"/>
      <c r="Q206" s="20"/>
      <c r="R206" s="20"/>
      <c r="S206" s="20"/>
      <c r="T206" s="20"/>
      <c r="U206" s="20"/>
      <c r="V206" s="20"/>
      <c r="W206" s="20"/>
      <c r="X206" s="20"/>
      <c r="Y206" s="20"/>
      <c r="Z206" s="20"/>
      <c r="AA206" s="20"/>
      <c r="AB206" s="20"/>
      <c r="AC206" s="20"/>
    </row>
    <row r="207" spans="1:29">
      <c r="A207" s="20"/>
      <c r="B207" s="20"/>
      <c r="C207" s="20"/>
      <c r="D207" s="20"/>
      <c r="E207" s="20"/>
      <c r="F207" s="20"/>
      <c r="G207" s="20"/>
      <c r="H207" s="20"/>
      <c r="I207" s="20"/>
      <c r="J207" s="20"/>
      <c r="K207" s="20"/>
      <c r="L207" s="20"/>
      <c r="M207" s="20"/>
      <c r="N207" s="20"/>
      <c r="O207" s="20"/>
      <c r="P207" s="20"/>
      <c r="Q207" s="20"/>
      <c r="R207" s="20"/>
      <c r="S207" s="20"/>
      <c r="T207" s="20"/>
      <c r="U207" s="20"/>
      <c r="V207" s="20"/>
      <c r="W207" s="20"/>
      <c r="X207" s="20"/>
      <c r="Y207" s="20"/>
      <c r="Z207" s="20"/>
      <c r="AA207" s="20"/>
      <c r="AB207" s="20"/>
      <c r="AC207" s="20"/>
    </row>
    <row r="208" spans="1:29">
      <c r="A208" s="20"/>
      <c r="B208" s="20"/>
      <c r="C208" s="20"/>
      <c r="D208" s="20"/>
      <c r="E208" s="20"/>
      <c r="F208" s="20"/>
      <c r="G208" s="20"/>
      <c r="H208" s="20"/>
      <c r="I208" s="20"/>
      <c r="J208" s="20"/>
      <c r="K208" s="20"/>
      <c r="L208" s="20"/>
      <c r="M208" s="20"/>
      <c r="N208" s="20"/>
      <c r="O208" s="20"/>
      <c r="P208" s="20"/>
      <c r="Q208" s="20"/>
      <c r="R208" s="20"/>
      <c r="S208" s="20"/>
      <c r="T208" s="20"/>
      <c r="U208" s="20"/>
      <c r="V208" s="20"/>
      <c r="W208" s="20"/>
      <c r="X208" s="20"/>
      <c r="Y208" s="20"/>
      <c r="Z208" s="20"/>
      <c r="AA208" s="20"/>
      <c r="AB208" s="20"/>
      <c r="AC208" s="20"/>
    </row>
    <row r="209" spans="1:29">
      <c r="A209" s="20"/>
      <c r="B209" s="20"/>
      <c r="C209" s="20"/>
      <c r="D209" s="20"/>
      <c r="E209" s="20"/>
      <c r="F209" s="20"/>
      <c r="G209" s="20"/>
      <c r="H209" s="20"/>
      <c r="I209" s="20"/>
      <c r="J209" s="20"/>
      <c r="K209" s="20"/>
      <c r="L209" s="20"/>
      <c r="M209" s="20"/>
      <c r="N209" s="20"/>
      <c r="O209" s="20"/>
      <c r="P209" s="20"/>
      <c r="Q209" s="20"/>
      <c r="R209" s="20"/>
      <c r="S209" s="20"/>
      <c r="T209" s="20"/>
      <c r="U209" s="20"/>
      <c r="V209" s="20"/>
      <c r="W209" s="20"/>
      <c r="X209" s="20"/>
      <c r="Y209" s="20"/>
      <c r="Z209" s="20"/>
      <c r="AA209" s="20"/>
      <c r="AB209" s="20"/>
      <c r="AC209" s="20"/>
    </row>
    <row r="210" spans="1:29">
      <c r="A210" s="20"/>
      <c r="B210" s="20"/>
      <c r="C210" s="20"/>
      <c r="D210" s="20"/>
      <c r="E210" s="20"/>
      <c r="F210" s="20"/>
      <c r="G210" s="20"/>
      <c r="H210" s="20"/>
      <c r="I210" s="20"/>
      <c r="J210" s="20"/>
      <c r="K210" s="20"/>
      <c r="L210" s="20"/>
      <c r="M210" s="20"/>
      <c r="N210" s="20"/>
      <c r="O210" s="20"/>
      <c r="P210" s="20"/>
      <c r="Q210" s="20"/>
      <c r="R210" s="20"/>
      <c r="S210" s="20"/>
      <c r="T210" s="20"/>
      <c r="U210" s="20"/>
      <c r="V210" s="20"/>
      <c r="W210" s="20"/>
      <c r="X210" s="20"/>
      <c r="Y210" s="20"/>
      <c r="Z210" s="20"/>
      <c r="AA210" s="20"/>
      <c r="AB210" s="20"/>
      <c r="AC210" s="20"/>
    </row>
    <row r="211" spans="1:29">
      <c r="A211" s="20"/>
      <c r="B211" s="20"/>
      <c r="C211" s="20"/>
      <c r="D211" s="20"/>
      <c r="E211" s="20"/>
      <c r="F211" s="20"/>
      <c r="G211" s="20"/>
      <c r="H211" s="20"/>
      <c r="I211" s="20"/>
      <c r="J211" s="20"/>
      <c r="K211" s="20"/>
      <c r="L211" s="20"/>
      <c r="M211" s="20"/>
      <c r="N211" s="20"/>
      <c r="O211" s="20"/>
      <c r="P211" s="20"/>
      <c r="Q211" s="20"/>
      <c r="R211" s="20"/>
      <c r="S211" s="20"/>
      <c r="T211" s="20"/>
      <c r="U211" s="20"/>
      <c r="V211" s="20"/>
      <c r="W211" s="20"/>
      <c r="X211" s="20"/>
      <c r="Y211" s="20"/>
      <c r="Z211" s="20"/>
      <c r="AA211" s="20"/>
      <c r="AB211" s="20"/>
      <c r="AC211" s="20"/>
    </row>
    <row r="212" spans="1:29">
      <c r="A212" s="20"/>
      <c r="B212" s="20"/>
      <c r="C212" s="20"/>
      <c r="D212" s="20"/>
      <c r="E212" s="20"/>
      <c r="F212" s="20"/>
      <c r="G212" s="20"/>
      <c r="H212" s="20"/>
      <c r="I212" s="20"/>
      <c r="J212" s="20"/>
      <c r="K212" s="20"/>
      <c r="L212" s="20"/>
      <c r="M212" s="20"/>
      <c r="N212" s="20"/>
      <c r="O212" s="20"/>
      <c r="P212" s="20"/>
      <c r="Q212" s="20"/>
      <c r="R212" s="20"/>
      <c r="S212" s="20"/>
      <c r="T212" s="20"/>
      <c r="U212" s="20"/>
      <c r="V212" s="20"/>
      <c r="W212" s="20"/>
      <c r="X212" s="20"/>
      <c r="Y212" s="20"/>
      <c r="Z212" s="20"/>
      <c r="AA212" s="20"/>
      <c r="AB212" s="20"/>
      <c r="AC212" s="20"/>
    </row>
    <row r="213" spans="1:29">
      <c r="A213" s="20"/>
      <c r="B213" s="20"/>
      <c r="C213" s="20"/>
      <c r="D213" s="20"/>
      <c r="E213" s="20"/>
      <c r="F213" s="20"/>
      <c r="G213" s="20"/>
      <c r="H213" s="20"/>
      <c r="I213" s="20"/>
      <c r="J213" s="20"/>
      <c r="K213" s="20"/>
      <c r="L213" s="20"/>
      <c r="M213" s="20"/>
      <c r="N213" s="20"/>
      <c r="O213" s="20"/>
      <c r="P213" s="20"/>
      <c r="Q213" s="20"/>
      <c r="R213" s="20"/>
      <c r="S213" s="20"/>
      <c r="T213" s="20"/>
      <c r="U213" s="20"/>
      <c r="V213" s="20"/>
      <c r="W213" s="20"/>
      <c r="X213" s="20"/>
      <c r="Y213" s="20"/>
      <c r="Z213" s="20"/>
      <c r="AA213" s="20"/>
      <c r="AB213" s="20"/>
      <c r="AC213" s="20"/>
    </row>
    <row r="214" spans="1:29">
      <c r="A214" s="20"/>
      <c r="B214" s="20"/>
      <c r="C214" s="20"/>
      <c r="D214" s="20"/>
      <c r="E214" s="20"/>
      <c r="F214" s="20"/>
      <c r="G214" s="20"/>
      <c r="H214" s="20"/>
      <c r="I214" s="20"/>
      <c r="J214" s="20"/>
      <c r="K214" s="20"/>
      <c r="L214" s="20"/>
      <c r="M214" s="20"/>
      <c r="N214" s="20"/>
      <c r="O214" s="20"/>
      <c r="P214" s="20"/>
      <c r="Q214" s="20"/>
      <c r="R214" s="20"/>
      <c r="S214" s="20"/>
      <c r="T214" s="20"/>
      <c r="U214" s="20"/>
      <c r="V214" s="20"/>
      <c r="W214" s="20"/>
      <c r="X214" s="20"/>
      <c r="Y214" s="20"/>
      <c r="Z214" s="20"/>
      <c r="AA214" s="20"/>
      <c r="AB214" s="20"/>
      <c r="AC214" s="20"/>
    </row>
    <row r="215" spans="1:29">
      <c r="A215" s="20"/>
      <c r="B215" s="20"/>
      <c r="C215" s="20"/>
      <c r="D215" s="20"/>
      <c r="E215" s="20"/>
      <c r="F215" s="20"/>
      <c r="G215" s="20"/>
      <c r="H215" s="20"/>
      <c r="I215" s="20"/>
      <c r="J215" s="20"/>
      <c r="K215" s="20"/>
      <c r="L215" s="20"/>
      <c r="M215" s="20"/>
      <c r="N215" s="20"/>
      <c r="O215" s="20"/>
      <c r="P215" s="20"/>
      <c r="Q215" s="20"/>
      <c r="R215" s="20"/>
      <c r="S215" s="20"/>
      <c r="T215" s="20"/>
      <c r="U215" s="20"/>
      <c r="V215" s="20"/>
      <c r="W215" s="20"/>
      <c r="X215" s="20"/>
      <c r="Y215" s="20"/>
      <c r="Z215" s="20"/>
      <c r="AA215" s="20"/>
      <c r="AB215" s="20"/>
      <c r="AC215" s="20"/>
    </row>
    <row r="216" spans="1:29">
      <c r="A216" s="20"/>
      <c r="B216" s="20"/>
      <c r="C216" s="20"/>
      <c r="D216" s="20"/>
      <c r="E216" s="20"/>
      <c r="F216" s="20"/>
      <c r="G216" s="20"/>
      <c r="H216" s="20"/>
      <c r="I216" s="20"/>
      <c r="J216" s="20"/>
      <c r="K216" s="20"/>
      <c r="L216" s="20"/>
      <c r="M216" s="20"/>
      <c r="N216" s="20"/>
      <c r="O216" s="20"/>
      <c r="P216" s="20"/>
      <c r="Q216" s="20"/>
      <c r="R216" s="20"/>
      <c r="S216" s="20"/>
      <c r="T216" s="20"/>
      <c r="U216" s="20"/>
      <c r="V216" s="20"/>
      <c r="W216" s="20"/>
      <c r="X216" s="20"/>
      <c r="Y216" s="20"/>
      <c r="Z216" s="20"/>
      <c r="AA216" s="20"/>
      <c r="AB216" s="20"/>
      <c r="AC216" s="20"/>
    </row>
    <row r="217" spans="1:29">
      <c r="A217" s="20"/>
      <c r="B217" s="20"/>
      <c r="C217" s="20"/>
      <c r="D217" s="20"/>
      <c r="E217" s="20"/>
      <c r="F217" s="20"/>
      <c r="G217" s="20"/>
      <c r="H217" s="20"/>
      <c r="I217" s="20"/>
      <c r="J217" s="20"/>
      <c r="K217" s="20"/>
      <c r="L217" s="20"/>
      <c r="M217" s="20"/>
      <c r="N217" s="20"/>
      <c r="O217" s="20"/>
      <c r="P217" s="20"/>
      <c r="Q217" s="20"/>
      <c r="R217" s="20"/>
      <c r="S217" s="20"/>
      <c r="T217" s="20"/>
      <c r="U217" s="20"/>
      <c r="V217" s="20"/>
      <c r="W217" s="20"/>
      <c r="X217" s="20"/>
      <c r="Y217" s="20"/>
      <c r="Z217" s="20"/>
      <c r="AA217" s="20"/>
      <c r="AB217" s="20"/>
      <c r="AC217" s="20"/>
    </row>
    <row r="218" spans="1:29">
      <c r="A218" s="20"/>
      <c r="B218" s="20"/>
      <c r="C218" s="20"/>
      <c r="D218" s="20"/>
      <c r="E218" s="20"/>
      <c r="F218" s="20"/>
      <c r="G218" s="20"/>
      <c r="H218" s="20"/>
      <c r="I218" s="20"/>
      <c r="J218" s="20"/>
      <c r="K218" s="20"/>
      <c r="L218" s="20"/>
      <c r="M218" s="20"/>
      <c r="N218" s="20"/>
      <c r="O218" s="20"/>
      <c r="P218" s="20"/>
      <c r="Q218" s="20"/>
      <c r="R218" s="20"/>
      <c r="S218" s="20"/>
      <c r="T218" s="20"/>
      <c r="U218" s="20"/>
      <c r="V218" s="20"/>
      <c r="W218" s="20"/>
      <c r="X218" s="20"/>
      <c r="Y218" s="20"/>
      <c r="Z218" s="20"/>
      <c r="AA218" s="20"/>
      <c r="AB218" s="20"/>
      <c r="AC218" s="20"/>
    </row>
    <row r="219" spans="1:29">
      <c r="A219" s="20"/>
      <c r="B219" s="20"/>
      <c r="C219" s="20"/>
      <c r="D219" s="20"/>
      <c r="E219" s="20"/>
      <c r="F219" s="20"/>
      <c r="G219" s="20"/>
      <c r="H219" s="20"/>
      <c r="I219" s="20"/>
      <c r="J219" s="20"/>
      <c r="K219" s="20"/>
      <c r="L219" s="20"/>
      <c r="M219" s="20"/>
      <c r="N219" s="20"/>
      <c r="O219" s="20"/>
      <c r="P219" s="20"/>
      <c r="Q219" s="20"/>
      <c r="R219" s="20"/>
      <c r="S219" s="20"/>
      <c r="T219" s="20"/>
      <c r="U219" s="20"/>
      <c r="V219" s="20"/>
      <c r="W219" s="20"/>
      <c r="X219" s="20"/>
      <c r="Y219" s="20"/>
      <c r="Z219" s="20"/>
      <c r="AA219" s="20"/>
      <c r="AB219" s="20"/>
      <c r="AC219" s="20"/>
    </row>
    <row r="220" spans="1:29">
      <c r="A220" s="20"/>
      <c r="B220" s="20"/>
      <c r="C220" s="20"/>
      <c r="D220" s="20"/>
      <c r="E220" s="20"/>
      <c r="F220" s="20"/>
      <c r="G220" s="20"/>
      <c r="H220" s="20"/>
      <c r="I220" s="20"/>
      <c r="J220" s="20"/>
      <c r="K220" s="20"/>
      <c r="L220" s="20"/>
      <c r="M220" s="20"/>
      <c r="N220" s="20"/>
      <c r="O220" s="20"/>
      <c r="P220" s="20"/>
      <c r="Q220" s="20"/>
      <c r="R220" s="20"/>
      <c r="S220" s="20"/>
      <c r="T220" s="20"/>
      <c r="U220" s="20"/>
      <c r="V220" s="20"/>
      <c r="W220" s="20"/>
      <c r="X220" s="20"/>
      <c r="Y220" s="20"/>
      <c r="Z220" s="20"/>
      <c r="AA220" s="20"/>
      <c r="AB220" s="20"/>
      <c r="AC220" s="20"/>
    </row>
    <row r="221" spans="1:29">
      <c r="A221" s="20"/>
      <c r="B221" s="20"/>
      <c r="C221" s="20"/>
      <c r="D221" s="20"/>
      <c r="E221" s="20"/>
      <c r="F221" s="20"/>
      <c r="G221" s="20"/>
      <c r="H221" s="20"/>
      <c r="I221" s="20"/>
      <c r="J221" s="20"/>
      <c r="K221" s="20"/>
      <c r="L221" s="20"/>
      <c r="M221" s="20"/>
      <c r="N221" s="20"/>
      <c r="O221" s="20"/>
      <c r="P221" s="20"/>
      <c r="Q221" s="20"/>
      <c r="R221" s="20"/>
      <c r="S221" s="20"/>
      <c r="T221" s="20"/>
      <c r="U221" s="20"/>
      <c r="V221" s="20"/>
      <c r="W221" s="20"/>
      <c r="X221" s="20"/>
      <c r="Y221" s="20"/>
      <c r="Z221" s="20"/>
      <c r="AA221" s="20"/>
      <c r="AB221" s="20"/>
      <c r="AC221" s="20"/>
    </row>
    <row r="222" spans="1:29">
      <c r="A222" s="20"/>
      <c r="B222" s="20"/>
      <c r="C222" s="20"/>
      <c r="D222" s="20"/>
      <c r="E222" s="20"/>
      <c r="F222" s="20"/>
      <c r="G222" s="20"/>
      <c r="H222" s="20"/>
      <c r="I222" s="20"/>
      <c r="J222" s="20"/>
      <c r="K222" s="20"/>
      <c r="L222" s="20"/>
      <c r="M222" s="20"/>
      <c r="N222" s="20"/>
      <c r="O222" s="20"/>
      <c r="P222" s="20"/>
      <c r="Q222" s="20"/>
      <c r="R222" s="20"/>
      <c r="S222" s="20"/>
      <c r="T222" s="20"/>
      <c r="U222" s="20"/>
      <c r="V222" s="20"/>
      <c r="W222" s="20"/>
      <c r="X222" s="20"/>
      <c r="Y222" s="20"/>
      <c r="Z222" s="20"/>
      <c r="AA222" s="20"/>
      <c r="AB222" s="20"/>
      <c r="AC222" s="20"/>
    </row>
    <row r="223" spans="1:29">
      <c r="A223" s="20"/>
      <c r="B223" s="20"/>
      <c r="C223" s="20"/>
      <c r="D223" s="20"/>
      <c r="E223" s="20"/>
      <c r="F223" s="20"/>
      <c r="G223" s="20"/>
      <c r="H223" s="20"/>
      <c r="I223" s="20"/>
      <c r="J223" s="20"/>
      <c r="K223" s="20"/>
      <c r="L223" s="20"/>
      <c r="M223" s="20"/>
      <c r="N223" s="20"/>
      <c r="O223" s="20"/>
      <c r="P223" s="20"/>
      <c r="Q223" s="20"/>
      <c r="R223" s="20"/>
      <c r="S223" s="20"/>
      <c r="T223" s="20"/>
      <c r="U223" s="20"/>
      <c r="V223" s="20"/>
      <c r="W223" s="20"/>
      <c r="X223" s="20"/>
      <c r="Y223" s="20"/>
      <c r="Z223" s="20"/>
      <c r="AA223" s="20"/>
      <c r="AB223" s="20"/>
      <c r="AC223" s="20"/>
    </row>
    <row r="224" spans="1:29">
      <c r="A224" s="20"/>
      <c r="B224" s="20"/>
      <c r="C224" s="20"/>
      <c r="D224" s="20"/>
      <c r="E224" s="20"/>
      <c r="F224" s="20"/>
      <c r="G224" s="20"/>
      <c r="H224" s="20"/>
      <c r="I224" s="20"/>
      <c r="J224" s="20"/>
      <c r="K224" s="20"/>
      <c r="L224" s="20"/>
      <c r="M224" s="20"/>
      <c r="N224" s="20"/>
      <c r="O224" s="20"/>
      <c r="P224" s="20"/>
      <c r="Q224" s="20"/>
      <c r="R224" s="20"/>
      <c r="S224" s="20"/>
      <c r="T224" s="20"/>
      <c r="U224" s="20"/>
      <c r="V224" s="20"/>
      <c r="W224" s="20"/>
      <c r="X224" s="20"/>
      <c r="Y224" s="20"/>
      <c r="Z224" s="20"/>
      <c r="AA224" s="20"/>
      <c r="AB224" s="20"/>
      <c r="AC224" s="20"/>
    </row>
    <row r="225" spans="1:29">
      <c r="A225" s="20"/>
      <c r="B225" s="20"/>
      <c r="C225" s="20"/>
      <c r="D225" s="20"/>
      <c r="E225" s="20"/>
      <c r="F225" s="20"/>
      <c r="G225" s="20"/>
      <c r="H225" s="20"/>
      <c r="I225" s="20"/>
      <c r="J225" s="20"/>
      <c r="K225" s="20"/>
      <c r="L225" s="20"/>
      <c r="M225" s="20"/>
      <c r="N225" s="20"/>
      <c r="O225" s="20"/>
      <c r="P225" s="20"/>
      <c r="Q225" s="20"/>
      <c r="R225" s="20"/>
      <c r="S225" s="20"/>
      <c r="T225" s="20"/>
      <c r="U225" s="20"/>
      <c r="V225" s="20"/>
      <c r="W225" s="20"/>
      <c r="X225" s="20"/>
      <c r="Y225" s="20"/>
      <c r="Z225" s="20"/>
      <c r="AA225" s="20"/>
      <c r="AB225" s="20"/>
      <c r="AC225" s="20"/>
    </row>
    <row r="226" spans="1:29">
      <c r="A226" s="20"/>
      <c r="B226" s="20"/>
      <c r="C226" s="20"/>
      <c r="D226" s="20"/>
      <c r="E226" s="20"/>
      <c r="F226" s="20"/>
      <c r="G226" s="20"/>
      <c r="H226" s="20"/>
      <c r="I226" s="20"/>
      <c r="J226" s="20"/>
      <c r="K226" s="20"/>
      <c r="L226" s="20"/>
      <c r="M226" s="20"/>
      <c r="N226" s="20"/>
      <c r="O226" s="20"/>
      <c r="P226" s="20"/>
      <c r="Q226" s="20"/>
      <c r="R226" s="20"/>
      <c r="S226" s="20"/>
      <c r="T226" s="20"/>
      <c r="U226" s="20"/>
      <c r="V226" s="20"/>
      <c r="W226" s="20"/>
      <c r="X226" s="20"/>
      <c r="Y226" s="20"/>
      <c r="Z226" s="20"/>
      <c r="AA226" s="20"/>
      <c r="AB226" s="20"/>
      <c r="AC226" s="20"/>
    </row>
    <row r="227" spans="1:29">
      <c r="A227" s="20"/>
      <c r="B227" s="20"/>
      <c r="C227" s="20"/>
      <c r="D227" s="20"/>
      <c r="E227" s="20"/>
      <c r="F227" s="20"/>
      <c r="G227" s="20"/>
      <c r="H227" s="20"/>
      <c r="I227" s="20"/>
      <c r="J227" s="20"/>
      <c r="K227" s="20"/>
      <c r="L227" s="20"/>
      <c r="M227" s="20"/>
      <c r="N227" s="20"/>
      <c r="O227" s="20"/>
      <c r="P227" s="20"/>
      <c r="Q227" s="20"/>
      <c r="R227" s="20"/>
      <c r="S227" s="20"/>
      <c r="T227" s="20"/>
      <c r="U227" s="20"/>
      <c r="V227" s="20"/>
      <c r="W227" s="20"/>
      <c r="X227" s="20"/>
      <c r="Y227" s="20"/>
      <c r="Z227" s="20"/>
      <c r="AA227" s="20"/>
      <c r="AB227" s="20"/>
      <c r="AC227" s="20"/>
    </row>
    <row r="228" spans="1:29">
      <c r="A228" s="20"/>
      <c r="B228" s="20"/>
      <c r="C228" s="20"/>
      <c r="D228" s="20"/>
      <c r="E228" s="20"/>
      <c r="F228" s="20"/>
      <c r="G228" s="20"/>
      <c r="H228" s="20"/>
      <c r="I228" s="20"/>
      <c r="J228" s="20"/>
      <c r="K228" s="20"/>
      <c r="L228" s="20"/>
      <c r="M228" s="20"/>
      <c r="N228" s="20"/>
      <c r="O228" s="20"/>
      <c r="P228" s="20"/>
      <c r="Q228" s="20"/>
      <c r="R228" s="20"/>
      <c r="S228" s="20"/>
      <c r="T228" s="20"/>
      <c r="U228" s="20"/>
      <c r="V228" s="20"/>
      <c r="W228" s="20"/>
      <c r="X228" s="20"/>
      <c r="Y228" s="20"/>
      <c r="Z228" s="20"/>
      <c r="AA228" s="20"/>
      <c r="AB228" s="20"/>
      <c r="AC228" s="20"/>
    </row>
    <row r="229" spans="1:29">
      <c r="A229" s="20"/>
      <c r="B229" s="20"/>
      <c r="C229" s="20"/>
      <c r="D229" s="20"/>
      <c r="E229" s="20"/>
      <c r="F229" s="20"/>
      <c r="G229" s="20"/>
      <c r="H229" s="20"/>
      <c r="I229" s="20"/>
      <c r="J229" s="20"/>
      <c r="K229" s="20"/>
      <c r="L229" s="20"/>
      <c r="M229" s="20"/>
      <c r="N229" s="20"/>
      <c r="O229" s="20"/>
      <c r="P229" s="20"/>
      <c r="Q229" s="20"/>
      <c r="R229" s="20"/>
      <c r="S229" s="20"/>
      <c r="T229" s="20"/>
      <c r="U229" s="20"/>
      <c r="V229" s="20"/>
      <c r="W229" s="20"/>
      <c r="X229" s="20"/>
      <c r="Y229" s="20"/>
      <c r="Z229" s="20"/>
      <c r="AA229" s="20"/>
      <c r="AB229" s="20"/>
      <c r="AC229" s="20"/>
    </row>
    <row r="230" spans="1:29">
      <c r="A230" s="20"/>
      <c r="B230" s="20"/>
      <c r="C230" s="20"/>
      <c r="D230" s="20"/>
      <c r="E230" s="20"/>
      <c r="F230" s="20"/>
      <c r="G230" s="20"/>
      <c r="H230" s="20"/>
      <c r="I230" s="20"/>
      <c r="J230" s="20"/>
      <c r="K230" s="20"/>
      <c r="L230" s="20"/>
      <c r="M230" s="20"/>
      <c r="N230" s="20"/>
      <c r="O230" s="20"/>
      <c r="P230" s="20"/>
      <c r="Q230" s="20"/>
      <c r="R230" s="20"/>
      <c r="S230" s="20"/>
      <c r="T230" s="20"/>
      <c r="U230" s="20"/>
      <c r="V230" s="20"/>
      <c r="W230" s="20"/>
      <c r="X230" s="20"/>
      <c r="Y230" s="20"/>
      <c r="Z230" s="20"/>
      <c r="AA230" s="20"/>
      <c r="AB230" s="20"/>
      <c r="AC230" s="20"/>
    </row>
    <row r="231" spans="1:29">
      <c r="A231" s="20"/>
      <c r="B231" s="20"/>
      <c r="C231" s="20"/>
      <c r="D231" s="20"/>
      <c r="E231" s="20"/>
      <c r="F231" s="20"/>
      <c r="G231" s="20"/>
      <c r="H231" s="20"/>
      <c r="I231" s="20"/>
      <c r="J231" s="20"/>
      <c r="K231" s="20"/>
      <c r="L231" s="20"/>
      <c r="M231" s="20"/>
      <c r="N231" s="20"/>
      <c r="O231" s="20"/>
      <c r="P231" s="20"/>
      <c r="Q231" s="20"/>
      <c r="R231" s="20"/>
      <c r="S231" s="20"/>
      <c r="T231" s="20"/>
      <c r="U231" s="20"/>
      <c r="V231" s="20"/>
      <c r="W231" s="20"/>
      <c r="X231" s="20"/>
      <c r="Y231" s="20"/>
      <c r="Z231" s="20"/>
      <c r="AA231" s="20"/>
      <c r="AB231" s="20"/>
      <c r="AC231" s="20"/>
    </row>
    <row r="232" spans="1:29">
      <c r="A232" s="20"/>
      <c r="B232" s="20"/>
      <c r="C232" s="20"/>
      <c r="D232" s="20"/>
      <c r="E232" s="20"/>
      <c r="F232" s="20"/>
      <c r="G232" s="20"/>
      <c r="H232" s="20"/>
      <c r="I232" s="20"/>
      <c r="J232" s="20"/>
      <c r="K232" s="20"/>
      <c r="L232" s="20"/>
      <c r="M232" s="20"/>
      <c r="N232" s="20"/>
      <c r="O232" s="20"/>
      <c r="P232" s="20"/>
      <c r="Q232" s="20"/>
      <c r="R232" s="20"/>
      <c r="S232" s="20"/>
      <c r="T232" s="20"/>
      <c r="U232" s="20"/>
      <c r="V232" s="20"/>
      <c r="W232" s="20"/>
      <c r="X232" s="20"/>
      <c r="Y232" s="20"/>
      <c r="Z232" s="20"/>
      <c r="AA232" s="20"/>
      <c r="AB232" s="20"/>
      <c r="AC232" s="20"/>
    </row>
    <row r="233" spans="1:29">
      <c r="A233" s="20"/>
      <c r="B233" s="20"/>
      <c r="C233" s="20"/>
      <c r="D233" s="20"/>
      <c r="E233" s="20"/>
      <c r="F233" s="20"/>
      <c r="G233" s="20"/>
      <c r="H233" s="20"/>
      <c r="I233" s="20"/>
      <c r="J233" s="20"/>
      <c r="K233" s="20"/>
      <c r="L233" s="20"/>
      <c r="M233" s="20"/>
      <c r="N233" s="20"/>
      <c r="O233" s="20"/>
      <c r="P233" s="20"/>
      <c r="Q233" s="20"/>
      <c r="R233" s="20"/>
      <c r="S233" s="20"/>
      <c r="T233" s="20"/>
      <c r="U233" s="20"/>
      <c r="V233" s="20"/>
      <c r="W233" s="20"/>
      <c r="X233" s="20"/>
      <c r="Y233" s="20"/>
      <c r="Z233" s="20"/>
      <c r="AA233" s="20"/>
      <c r="AB233" s="20"/>
      <c r="AC233" s="20"/>
    </row>
    <row r="234" spans="1:29">
      <c r="A234" s="20"/>
      <c r="B234" s="20"/>
      <c r="C234" s="20"/>
      <c r="D234" s="20"/>
      <c r="E234" s="20"/>
      <c r="F234" s="20"/>
      <c r="G234" s="20"/>
      <c r="H234" s="20"/>
      <c r="I234" s="20"/>
      <c r="J234" s="20"/>
      <c r="K234" s="20"/>
      <c r="L234" s="20"/>
      <c r="M234" s="20"/>
      <c r="N234" s="20"/>
      <c r="O234" s="20"/>
      <c r="P234" s="20"/>
      <c r="Q234" s="20"/>
      <c r="R234" s="20"/>
      <c r="S234" s="20"/>
      <c r="T234" s="20"/>
      <c r="U234" s="20"/>
      <c r="V234" s="20"/>
      <c r="W234" s="20"/>
      <c r="X234" s="20"/>
      <c r="Y234" s="20"/>
      <c r="Z234" s="20"/>
      <c r="AA234" s="20"/>
      <c r="AB234" s="20"/>
      <c r="AC234" s="20"/>
    </row>
    <row r="235" spans="1:29">
      <c r="A235" s="20"/>
      <c r="B235" s="20"/>
      <c r="C235" s="20"/>
      <c r="D235" s="20"/>
      <c r="E235" s="20"/>
      <c r="F235" s="20"/>
      <c r="G235" s="20"/>
      <c r="H235" s="20"/>
      <c r="I235" s="20"/>
      <c r="J235" s="20"/>
      <c r="K235" s="20"/>
      <c r="L235" s="20"/>
      <c r="M235" s="20"/>
      <c r="N235" s="20"/>
      <c r="O235" s="20"/>
      <c r="P235" s="20"/>
      <c r="Q235" s="20"/>
      <c r="R235" s="20"/>
      <c r="S235" s="20"/>
      <c r="T235" s="20"/>
      <c r="U235" s="20"/>
      <c r="V235" s="20"/>
      <c r="W235" s="20"/>
      <c r="X235" s="20"/>
      <c r="Y235" s="20"/>
      <c r="Z235" s="20"/>
      <c r="AA235" s="20"/>
      <c r="AB235" s="20"/>
      <c r="AC235" s="20"/>
    </row>
    <row r="236" spans="1:29">
      <c r="A236" s="20"/>
      <c r="B236" s="20"/>
      <c r="C236" s="20"/>
      <c r="D236" s="20"/>
      <c r="E236" s="20"/>
      <c r="F236" s="20"/>
      <c r="G236" s="20"/>
      <c r="H236" s="20"/>
      <c r="I236" s="20"/>
      <c r="J236" s="20"/>
      <c r="K236" s="20"/>
      <c r="L236" s="20"/>
      <c r="M236" s="20"/>
      <c r="N236" s="20"/>
      <c r="O236" s="20"/>
      <c r="P236" s="20"/>
      <c r="Q236" s="20"/>
      <c r="R236" s="20"/>
      <c r="S236" s="20"/>
      <c r="T236" s="20"/>
      <c r="U236" s="20"/>
      <c r="V236" s="20"/>
      <c r="W236" s="20"/>
      <c r="X236" s="20"/>
      <c r="Y236" s="20"/>
      <c r="Z236" s="20"/>
      <c r="AA236" s="20"/>
      <c r="AB236" s="20"/>
      <c r="AC236" s="20"/>
    </row>
    <row r="237" spans="1:29">
      <c r="A237" s="20"/>
      <c r="B237" s="20"/>
      <c r="C237" s="20"/>
      <c r="D237" s="20"/>
      <c r="E237" s="20"/>
      <c r="F237" s="20"/>
      <c r="G237" s="20"/>
      <c r="H237" s="20"/>
      <c r="I237" s="20"/>
      <c r="J237" s="20"/>
      <c r="K237" s="20"/>
      <c r="L237" s="20"/>
      <c r="M237" s="20"/>
      <c r="N237" s="20"/>
      <c r="O237" s="20"/>
      <c r="P237" s="20"/>
      <c r="Q237" s="20"/>
      <c r="R237" s="20"/>
      <c r="S237" s="20"/>
      <c r="T237" s="20"/>
      <c r="U237" s="20"/>
      <c r="V237" s="20"/>
      <c r="W237" s="20"/>
      <c r="X237" s="20"/>
      <c r="Y237" s="20"/>
      <c r="Z237" s="20"/>
      <c r="AA237" s="20"/>
      <c r="AB237" s="20"/>
      <c r="AC237" s="20"/>
    </row>
    <row r="238" spans="1:29">
      <c r="A238" s="20"/>
      <c r="B238" s="20"/>
      <c r="C238" s="20"/>
      <c r="D238" s="20"/>
      <c r="E238" s="20"/>
      <c r="F238" s="20"/>
      <c r="G238" s="20"/>
      <c r="H238" s="20"/>
      <c r="I238" s="20"/>
      <c r="J238" s="20"/>
      <c r="K238" s="20"/>
      <c r="L238" s="20"/>
      <c r="M238" s="20"/>
      <c r="N238" s="20"/>
      <c r="O238" s="20"/>
      <c r="P238" s="20"/>
      <c r="Q238" s="20"/>
      <c r="R238" s="20"/>
      <c r="S238" s="20"/>
      <c r="T238" s="20"/>
      <c r="U238" s="20"/>
      <c r="V238" s="20"/>
      <c r="W238" s="20"/>
      <c r="X238" s="20"/>
      <c r="Y238" s="20"/>
      <c r="Z238" s="20"/>
      <c r="AA238" s="20"/>
      <c r="AB238" s="20"/>
      <c r="AC238" s="20"/>
    </row>
    <row r="239" spans="1:29">
      <c r="A239" s="20"/>
      <c r="B239" s="20"/>
      <c r="C239" s="20"/>
      <c r="D239" s="20"/>
      <c r="E239" s="20"/>
      <c r="F239" s="20"/>
      <c r="G239" s="20"/>
      <c r="H239" s="20"/>
      <c r="I239" s="20"/>
      <c r="J239" s="20"/>
      <c r="K239" s="20"/>
      <c r="L239" s="20"/>
      <c r="M239" s="20"/>
      <c r="N239" s="20"/>
      <c r="O239" s="20"/>
      <c r="P239" s="20"/>
      <c r="Q239" s="20"/>
      <c r="R239" s="20"/>
      <c r="S239" s="20"/>
      <c r="T239" s="20"/>
      <c r="U239" s="20"/>
      <c r="V239" s="20"/>
      <c r="W239" s="20"/>
      <c r="X239" s="20"/>
      <c r="Y239" s="20"/>
      <c r="Z239" s="20"/>
      <c r="AA239" s="20"/>
      <c r="AB239" s="20"/>
      <c r="AC239" s="20"/>
    </row>
    <row r="240" spans="1:29">
      <c r="A240" s="20"/>
      <c r="B240" s="20"/>
      <c r="C240" s="20"/>
      <c r="D240" s="20"/>
      <c r="E240" s="20"/>
      <c r="F240" s="20"/>
      <c r="G240" s="20"/>
      <c r="H240" s="20"/>
      <c r="I240" s="20"/>
      <c r="J240" s="20"/>
      <c r="K240" s="20"/>
      <c r="L240" s="20"/>
      <c r="M240" s="20"/>
      <c r="N240" s="20"/>
      <c r="O240" s="20"/>
      <c r="P240" s="20"/>
      <c r="Q240" s="20"/>
      <c r="R240" s="20"/>
      <c r="S240" s="20"/>
      <c r="T240" s="20"/>
      <c r="U240" s="20"/>
      <c r="V240" s="20"/>
      <c r="W240" s="20"/>
      <c r="X240" s="20"/>
      <c r="Y240" s="20"/>
      <c r="Z240" s="20"/>
      <c r="AA240" s="20"/>
      <c r="AB240" s="20"/>
      <c r="AC240" s="20"/>
    </row>
    <row r="241" spans="1:29">
      <c r="A241" s="20"/>
      <c r="B241" s="20"/>
      <c r="C241" s="20"/>
      <c r="D241" s="20"/>
      <c r="E241" s="20"/>
      <c r="F241" s="20"/>
      <c r="G241" s="20"/>
      <c r="H241" s="20"/>
      <c r="I241" s="20"/>
      <c r="J241" s="20"/>
      <c r="K241" s="20"/>
      <c r="L241" s="20"/>
      <c r="M241" s="20"/>
      <c r="N241" s="20"/>
      <c r="O241" s="20"/>
      <c r="P241" s="20"/>
      <c r="Q241" s="20"/>
      <c r="R241" s="20"/>
      <c r="S241" s="20"/>
      <c r="T241" s="20"/>
      <c r="U241" s="20"/>
      <c r="V241" s="20"/>
      <c r="W241" s="20"/>
      <c r="X241" s="20"/>
      <c r="Y241" s="20"/>
      <c r="Z241" s="20"/>
      <c r="AA241" s="20"/>
      <c r="AB241" s="20"/>
      <c r="AC241" s="20"/>
    </row>
    <row r="242" spans="1:29">
      <c r="A242" s="20"/>
      <c r="B242" s="20"/>
      <c r="C242" s="20"/>
      <c r="D242" s="20"/>
      <c r="E242" s="20"/>
      <c r="F242" s="20"/>
      <c r="G242" s="20"/>
      <c r="H242" s="20"/>
      <c r="I242" s="20"/>
      <c r="J242" s="20"/>
      <c r="K242" s="20"/>
      <c r="L242" s="20"/>
      <c r="M242" s="20"/>
      <c r="N242" s="20"/>
      <c r="O242" s="20"/>
      <c r="P242" s="20"/>
      <c r="Q242" s="20"/>
      <c r="R242" s="20"/>
      <c r="S242" s="20"/>
      <c r="T242" s="20"/>
      <c r="U242" s="20"/>
      <c r="V242" s="20"/>
      <c r="W242" s="20"/>
      <c r="X242" s="20"/>
      <c r="Y242" s="20"/>
      <c r="Z242" s="20"/>
      <c r="AA242" s="20"/>
      <c r="AB242" s="20"/>
      <c r="AC242" s="20"/>
    </row>
    <row r="243" spans="1:29">
      <c r="A243" s="20"/>
      <c r="B243" s="20"/>
      <c r="C243" s="20"/>
      <c r="D243" s="20"/>
      <c r="E243" s="20"/>
      <c r="F243" s="20"/>
      <c r="G243" s="20"/>
      <c r="H243" s="20"/>
      <c r="I243" s="20"/>
      <c r="J243" s="20"/>
      <c r="K243" s="20"/>
      <c r="L243" s="20"/>
      <c r="M243" s="20"/>
      <c r="N243" s="20"/>
      <c r="O243" s="20"/>
      <c r="P243" s="20"/>
      <c r="Q243" s="20"/>
      <c r="R243" s="20"/>
      <c r="S243" s="20"/>
      <c r="T243" s="20"/>
      <c r="U243" s="20"/>
      <c r="V243" s="20"/>
      <c r="W243" s="20"/>
      <c r="X243" s="20"/>
      <c r="Y243" s="20"/>
      <c r="Z243" s="20"/>
      <c r="AA243" s="20"/>
      <c r="AB243" s="20"/>
      <c r="AC243" s="20"/>
    </row>
    <row r="244" spans="1:29">
      <c r="A244" s="20"/>
      <c r="B244" s="20"/>
      <c r="C244" s="20"/>
      <c r="D244" s="20"/>
      <c r="E244" s="20"/>
      <c r="F244" s="20"/>
      <c r="G244" s="20"/>
      <c r="H244" s="20"/>
      <c r="I244" s="20"/>
      <c r="J244" s="20"/>
      <c r="K244" s="20"/>
      <c r="L244" s="20"/>
      <c r="M244" s="20"/>
      <c r="N244" s="20"/>
      <c r="O244" s="20"/>
      <c r="P244" s="20"/>
      <c r="Q244" s="20"/>
      <c r="R244" s="20"/>
      <c r="S244" s="20"/>
      <c r="T244" s="20"/>
      <c r="U244" s="20"/>
      <c r="V244" s="20"/>
      <c r="W244" s="20"/>
      <c r="X244" s="20"/>
      <c r="Y244" s="20"/>
      <c r="Z244" s="20"/>
      <c r="AA244" s="20"/>
      <c r="AB244" s="20"/>
      <c r="AC244" s="20"/>
    </row>
    <row r="245" spans="1:29">
      <c r="A245" s="20"/>
      <c r="B245" s="20"/>
      <c r="C245" s="20"/>
      <c r="D245" s="20"/>
      <c r="E245" s="20"/>
      <c r="F245" s="20"/>
      <c r="G245" s="20"/>
      <c r="H245" s="20"/>
      <c r="I245" s="20"/>
      <c r="J245" s="20"/>
      <c r="K245" s="20"/>
      <c r="L245" s="20"/>
      <c r="M245" s="20"/>
      <c r="N245" s="20"/>
      <c r="O245" s="20"/>
      <c r="P245" s="20"/>
      <c r="Q245" s="20"/>
      <c r="R245" s="20"/>
      <c r="S245" s="20"/>
      <c r="T245" s="20"/>
      <c r="U245" s="20"/>
      <c r="V245" s="20"/>
      <c r="W245" s="20"/>
      <c r="X245" s="20"/>
      <c r="Y245" s="20"/>
      <c r="Z245" s="20"/>
      <c r="AA245" s="20"/>
      <c r="AB245" s="20"/>
      <c r="AC245" s="20"/>
    </row>
    <row r="246" spans="1:29">
      <c r="A246" s="20"/>
      <c r="B246" s="20"/>
      <c r="C246" s="20"/>
      <c r="D246" s="20"/>
      <c r="E246" s="20"/>
      <c r="F246" s="20"/>
      <c r="G246" s="20"/>
      <c r="H246" s="20"/>
      <c r="I246" s="20"/>
      <c r="J246" s="20"/>
      <c r="K246" s="20"/>
      <c r="L246" s="20"/>
      <c r="M246" s="20"/>
      <c r="N246" s="20"/>
      <c r="O246" s="20"/>
      <c r="P246" s="20"/>
      <c r="Q246" s="20"/>
      <c r="R246" s="20"/>
      <c r="S246" s="20"/>
      <c r="T246" s="20"/>
      <c r="U246" s="20"/>
      <c r="V246" s="20"/>
      <c r="W246" s="20"/>
      <c r="X246" s="20"/>
      <c r="Y246" s="20"/>
      <c r="Z246" s="20"/>
      <c r="AA246" s="20"/>
      <c r="AB246" s="20"/>
      <c r="AC246" s="20"/>
    </row>
    <row r="247" spans="1:29">
      <c r="A247" s="20"/>
      <c r="B247" s="20"/>
      <c r="C247" s="20"/>
      <c r="D247" s="20"/>
      <c r="E247" s="20"/>
      <c r="F247" s="20"/>
      <c r="G247" s="20"/>
      <c r="H247" s="20"/>
      <c r="I247" s="20"/>
      <c r="J247" s="20"/>
      <c r="K247" s="20"/>
      <c r="L247" s="20"/>
      <c r="M247" s="20"/>
      <c r="N247" s="20"/>
      <c r="O247" s="20"/>
      <c r="P247" s="20"/>
      <c r="Q247" s="20"/>
      <c r="R247" s="20"/>
      <c r="S247" s="20"/>
      <c r="T247" s="20"/>
      <c r="U247" s="20"/>
      <c r="V247" s="20"/>
      <c r="W247" s="20"/>
      <c r="X247" s="20"/>
      <c r="Y247" s="20"/>
      <c r="Z247" s="20"/>
      <c r="AA247" s="20"/>
      <c r="AB247" s="20"/>
      <c r="AC247" s="20"/>
    </row>
    <row r="248" spans="1:29">
      <c r="A248" s="20"/>
      <c r="B248" s="20"/>
      <c r="C248" s="20"/>
      <c r="D248" s="20"/>
      <c r="E248" s="20"/>
      <c r="F248" s="20"/>
      <c r="G248" s="20"/>
      <c r="H248" s="20"/>
      <c r="I248" s="20"/>
      <c r="J248" s="20"/>
      <c r="K248" s="20"/>
      <c r="L248" s="20"/>
      <c r="M248" s="20"/>
      <c r="N248" s="20"/>
      <c r="O248" s="20"/>
      <c r="P248" s="20"/>
      <c r="Q248" s="20"/>
      <c r="R248" s="20"/>
      <c r="S248" s="20"/>
      <c r="T248" s="20"/>
      <c r="U248" s="20"/>
      <c r="V248" s="20"/>
      <c r="W248" s="20"/>
      <c r="X248" s="20"/>
      <c r="Y248" s="20"/>
      <c r="Z248" s="20"/>
      <c r="AA248" s="20"/>
      <c r="AB248" s="20"/>
      <c r="AC248" s="20"/>
    </row>
    <row r="249" spans="1:29">
      <c r="A249" s="20"/>
      <c r="B249" s="20"/>
      <c r="C249" s="20"/>
      <c r="D249" s="20"/>
      <c r="E249" s="20"/>
      <c r="F249" s="20"/>
      <c r="G249" s="20"/>
      <c r="H249" s="20"/>
      <c r="I249" s="20"/>
      <c r="J249" s="20"/>
      <c r="K249" s="20"/>
      <c r="L249" s="20"/>
      <c r="M249" s="20"/>
      <c r="N249" s="20"/>
      <c r="O249" s="20"/>
      <c r="P249" s="20"/>
      <c r="Q249" s="20"/>
      <c r="R249" s="20"/>
      <c r="S249" s="20"/>
      <c r="T249" s="20"/>
      <c r="U249" s="20"/>
      <c r="V249" s="20"/>
      <c r="W249" s="20"/>
      <c r="X249" s="20"/>
      <c r="Y249" s="20"/>
      <c r="Z249" s="20"/>
      <c r="AA249" s="20"/>
      <c r="AB249" s="20"/>
      <c r="AC249" s="20"/>
    </row>
    <row r="250" spans="1:29">
      <c r="A250" s="20"/>
      <c r="B250" s="20"/>
      <c r="C250" s="20"/>
      <c r="D250" s="20"/>
      <c r="E250" s="20"/>
      <c r="F250" s="20"/>
      <c r="G250" s="20"/>
      <c r="H250" s="20"/>
      <c r="I250" s="20"/>
      <c r="J250" s="20"/>
      <c r="K250" s="20"/>
      <c r="L250" s="20"/>
      <c r="M250" s="20"/>
      <c r="N250" s="20"/>
      <c r="O250" s="20"/>
      <c r="P250" s="20"/>
      <c r="Q250" s="20"/>
      <c r="R250" s="20"/>
      <c r="S250" s="20"/>
      <c r="T250" s="20"/>
      <c r="U250" s="20"/>
      <c r="V250" s="20"/>
      <c r="W250" s="20"/>
      <c r="X250" s="20"/>
      <c r="Y250" s="20"/>
      <c r="Z250" s="20"/>
      <c r="AA250" s="20"/>
      <c r="AB250" s="20"/>
      <c r="AC250" s="20"/>
    </row>
    <row r="251" spans="1:29">
      <c r="A251" s="20"/>
      <c r="B251" s="20"/>
      <c r="C251" s="20"/>
      <c r="D251" s="20"/>
      <c r="E251" s="20"/>
      <c r="F251" s="20"/>
      <c r="G251" s="20"/>
      <c r="H251" s="20"/>
      <c r="I251" s="20"/>
      <c r="J251" s="20"/>
      <c r="K251" s="20"/>
      <c r="L251" s="20"/>
      <c r="M251" s="20"/>
      <c r="N251" s="20"/>
      <c r="O251" s="20"/>
      <c r="P251" s="20"/>
      <c r="Q251" s="20"/>
      <c r="R251" s="20"/>
      <c r="S251" s="20"/>
      <c r="T251" s="20"/>
      <c r="U251" s="20"/>
      <c r="V251" s="20"/>
      <c r="W251" s="20"/>
      <c r="X251" s="20"/>
      <c r="Y251" s="20"/>
      <c r="Z251" s="20"/>
      <c r="AA251" s="20"/>
      <c r="AB251" s="20"/>
      <c r="AC251" s="20"/>
    </row>
    <row r="252" spans="1:29">
      <c r="A252" s="20"/>
      <c r="B252" s="20"/>
      <c r="C252" s="20"/>
      <c r="D252" s="20"/>
      <c r="E252" s="20"/>
      <c r="F252" s="20"/>
      <c r="G252" s="20"/>
      <c r="H252" s="20"/>
      <c r="I252" s="20"/>
      <c r="J252" s="20"/>
      <c r="K252" s="20"/>
      <c r="L252" s="20"/>
      <c r="M252" s="20"/>
      <c r="N252" s="20"/>
      <c r="O252" s="20"/>
      <c r="P252" s="20"/>
      <c r="Q252" s="20"/>
      <c r="R252" s="20"/>
      <c r="S252" s="20"/>
      <c r="T252" s="20"/>
      <c r="U252" s="20"/>
      <c r="V252" s="20"/>
      <c r="W252" s="20"/>
      <c r="X252" s="20"/>
      <c r="Y252" s="20"/>
      <c r="Z252" s="20"/>
      <c r="AA252" s="20"/>
      <c r="AB252" s="20"/>
      <c r="AC252" s="20"/>
    </row>
    <row r="253" spans="1:29">
      <c r="A253" s="20"/>
      <c r="B253" s="20"/>
      <c r="C253" s="20"/>
      <c r="D253" s="20"/>
      <c r="E253" s="20"/>
      <c r="F253" s="20"/>
      <c r="G253" s="20"/>
      <c r="H253" s="20"/>
      <c r="I253" s="20"/>
      <c r="J253" s="20"/>
      <c r="K253" s="20"/>
      <c r="L253" s="20"/>
      <c r="M253" s="20"/>
      <c r="N253" s="20"/>
      <c r="O253" s="20"/>
      <c r="P253" s="20"/>
      <c r="Q253" s="20"/>
      <c r="R253" s="20"/>
      <c r="S253" s="20"/>
      <c r="T253" s="20"/>
      <c r="U253" s="20"/>
      <c r="V253" s="20"/>
      <c r="W253" s="20"/>
      <c r="X253" s="20"/>
      <c r="Y253" s="20"/>
      <c r="Z253" s="20"/>
      <c r="AA253" s="20"/>
      <c r="AB253" s="20"/>
      <c r="AC253" s="20"/>
    </row>
    <row r="254" spans="1:29">
      <c r="A254" s="20"/>
      <c r="B254" s="20"/>
      <c r="C254" s="20"/>
      <c r="D254" s="20"/>
      <c r="E254" s="20"/>
      <c r="F254" s="20"/>
      <c r="G254" s="20"/>
      <c r="H254" s="20"/>
      <c r="I254" s="20"/>
      <c r="J254" s="20"/>
      <c r="K254" s="20"/>
      <c r="L254" s="20"/>
      <c r="M254" s="20"/>
      <c r="N254" s="20"/>
      <c r="O254" s="20"/>
      <c r="P254" s="20"/>
      <c r="Q254" s="20"/>
      <c r="R254" s="20"/>
      <c r="S254" s="20"/>
      <c r="T254" s="20"/>
      <c r="U254" s="20"/>
      <c r="V254" s="20"/>
      <c r="W254" s="20"/>
      <c r="X254" s="20"/>
      <c r="Y254" s="20"/>
      <c r="Z254" s="20"/>
      <c r="AA254" s="20"/>
      <c r="AB254" s="20"/>
      <c r="AC254" s="20"/>
    </row>
    <row r="255" spans="1:29">
      <c r="A255" s="20"/>
      <c r="B255" s="20"/>
      <c r="C255" s="20"/>
      <c r="D255" s="20"/>
      <c r="E255" s="20"/>
      <c r="F255" s="20"/>
      <c r="G255" s="20"/>
      <c r="H255" s="20"/>
      <c r="I255" s="20"/>
      <c r="J255" s="20"/>
      <c r="K255" s="20"/>
      <c r="L255" s="20"/>
      <c r="M255" s="20"/>
      <c r="N255" s="20"/>
      <c r="O255" s="20"/>
      <c r="P255" s="20"/>
      <c r="Q255" s="20"/>
      <c r="R255" s="20"/>
      <c r="S255" s="20"/>
      <c r="T255" s="20"/>
      <c r="U255" s="20"/>
      <c r="V255" s="20"/>
      <c r="W255" s="20"/>
      <c r="X255" s="20"/>
      <c r="Y255" s="20"/>
      <c r="Z255" s="20"/>
      <c r="AA255" s="20"/>
      <c r="AB255" s="20"/>
      <c r="AC255" s="20"/>
    </row>
    <row r="256" spans="1:29">
      <c r="A256" s="20"/>
      <c r="B256" s="20"/>
      <c r="C256" s="20"/>
      <c r="D256" s="20"/>
      <c r="E256" s="20"/>
      <c r="F256" s="20"/>
      <c r="G256" s="20"/>
      <c r="H256" s="20"/>
      <c r="I256" s="20"/>
      <c r="J256" s="20"/>
      <c r="K256" s="20"/>
      <c r="L256" s="20"/>
      <c r="M256" s="20"/>
      <c r="N256" s="20"/>
      <c r="O256" s="20"/>
      <c r="P256" s="20"/>
      <c r="Q256" s="20"/>
      <c r="R256" s="20"/>
      <c r="S256" s="20"/>
      <c r="T256" s="20"/>
      <c r="U256" s="20"/>
      <c r="V256" s="20"/>
      <c r="W256" s="20"/>
      <c r="X256" s="20"/>
      <c r="Y256" s="20"/>
      <c r="Z256" s="20"/>
      <c r="AA256" s="20"/>
      <c r="AB256" s="20"/>
      <c r="AC256" s="20"/>
    </row>
    <row r="257" spans="1:29">
      <c r="A257" s="20"/>
      <c r="B257" s="20"/>
      <c r="C257" s="20"/>
      <c r="D257" s="20"/>
      <c r="E257" s="20"/>
      <c r="F257" s="20"/>
      <c r="G257" s="20"/>
      <c r="H257" s="20"/>
      <c r="I257" s="20"/>
      <c r="J257" s="20"/>
      <c r="K257" s="20"/>
      <c r="L257" s="20"/>
      <c r="M257" s="20"/>
      <c r="N257" s="20"/>
      <c r="O257" s="20"/>
      <c r="P257" s="20"/>
      <c r="Q257" s="20"/>
      <c r="R257" s="20"/>
      <c r="S257" s="20"/>
      <c r="T257" s="20"/>
      <c r="U257" s="20"/>
      <c r="V257" s="20"/>
      <c r="W257" s="20"/>
      <c r="X257" s="20"/>
      <c r="Y257" s="20"/>
      <c r="Z257" s="20"/>
      <c r="AA257" s="20"/>
      <c r="AB257" s="20"/>
      <c r="AC257" s="20"/>
    </row>
    <row r="258" spans="1:29">
      <c r="A258" s="20"/>
      <c r="B258" s="20"/>
      <c r="C258" s="20"/>
      <c r="D258" s="20"/>
      <c r="E258" s="20"/>
      <c r="F258" s="20"/>
      <c r="G258" s="20"/>
      <c r="H258" s="20"/>
      <c r="I258" s="20"/>
      <c r="J258" s="20"/>
      <c r="K258" s="20"/>
      <c r="L258" s="20"/>
      <c r="M258" s="20"/>
      <c r="N258" s="20"/>
      <c r="O258" s="20"/>
      <c r="P258" s="20"/>
      <c r="Q258" s="20"/>
      <c r="R258" s="20"/>
      <c r="S258" s="20"/>
      <c r="T258" s="20"/>
      <c r="U258" s="20"/>
      <c r="V258" s="20"/>
      <c r="W258" s="20"/>
      <c r="X258" s="20"/>
      <c r="Y258" s="20"/>
      <c r="Z258" s="20"/>
      <c r="AA258" s="20"/>
      <c r="AB258" s="20"/>
      <c r="AC258" s="20"/>
    </row>
    <row r="259" spans="1:29">
      <c r="A259" s="20"/>
      <c r="B259" s="20"/>
      <c r="C259" s="20"/>
      <c r="D259" s="20"/>
      <c r="E259" s="20"/>
      <c r="F259" s="20"/>
      <c r="G259" s="20"/>
      <c r="H259" s="20"/>
      <c r="I259" s="20"/>
      <c r="J259" s="20"/>
      <c r="K259" s="20"/>
      <c r="L259" s="20"/>
      <c r="M259" s="20"/>
      <c r="N259" s="20"/>
      <c r="O259" s="20"/>
      <c r="P259" s="20"/>
      <c r="Q259" s="20"/>
      <c r="R259" s="20"/>
      <c r="S259" s="20"/>
      <c r="T259" s="20"/>
      <c r="U259" s="20"/>
      <c r="V259" s="20"/>
      <c r="W259" s="20"/>
      <c r="X259" s="20"/>
      <c r="Y259" s="20"/>
      <c r="Z259" s="20"/>
      <c r="AA259" s="20"/>
      <c r="AB259" s="20"/>
      <c r="AC259" s="20"/>
    </row>
    <row r="260" spans="1:29">
      <c r="A260" s="20"/>
      <c r="B260" s="20"/>
      <c r="C260" s="20"/>
      <c r="D260" s="20"/>
      <c r="E260" s="20"/>
      <c r="F260" s="20"/>
      <c r="G260" s="20"/>
      <c r="H260" s="20"/>
      <c r="I260" s="20"/>
      <c r="J260" s="20"/>
      <c r="K260" s="20"/>
      <c r="L260" s="20"/>
      <c r="M260" s="20"/>
      <c r="N260" s="20"/>
      <c r="O260" s="20"/>
      <c r="P260" s="20"/>
      <c r="Q260" s="20"/>
      <c r="R260" s="20"/>
      <c r="S260" s="20"/>
      <c r="T260" s="20"/>
      <c r="U260" s="20"/>
      <c r="V260" s="20"/>
      <c r="W260" s="20"/>
      <c r="X260" s="20"/>
      <c r="Y260" s="20"/>
      <c r="Z260" s="20"/>
      <c r="AA260" s="20"/>
      <c r="AB260" s="20"/>
      <c r="AC260" s="20"/>
    </row>
    <row r="261" spans="1:29">
      <c r="A261" s="20"/>
      <c r="B261" s="20"/>
      <c r="C261" s="20"/>
      <c r="D261" s="20"/>
      <c r="E261" s="20"/>
      <c r="F261" s="20"/>
      <c r="G261" s="20"/>
      <c r="H261" s="20"/>
      <c r="I261" s="20"/>
      <c r="J261" s="20"/>
      <c r="K261" s="20"/>
      <c r="L261" s="20"/>
      <c r="M261" s="20"/>
      <c r="N261" s="20"/>
      <c r="O261" s="20"/>
      <c r="P261" s="20"/>
      <c r="Q261" s="20"/>
      <c r="R261" s="20"/>
      <c r="S261" s="20"/>
      <c r="T261" s="20"/>
      <c r="U261" s="20"/>
      <c r="V261" s="20"/>
      <c r="W261" s="20"/>
      <c r="X261" s="20"/>
      <c r="Y261" s="20"/>
      <c r="Z261" s="20"/>
      <c r="AA261" s="20"/>
      <c r="AB261" s="20"/>
      <c r="AC261" s="20"/>
    </row>
    <row r="262" spans="1:29">
      <c r="A262" s="20"/>
      <c r="B262" s="20"/>
      <c r="C262" s="20"/>
      <c r="D262" s="20"/>
      <c r="E262" s="20"/>
      <c r="F262" s="20"/>
      <c r="G262" s="20"/>
      <c r="H262" s="20"/>
      <c r="I262" s="20"/>
      <c r="J262" s="20"/>
      <c r="K262" s="20"/>
      <c r="L262" s="20"/>
      <c r="M262" s="20"/>
      <c r="N262" s="20"/>
      <c r="O262" s="20"/>
      <c r="P262" s="20"/>
      <c r="Q262" s="20"/>
      <c r="R262" s="20"/>
      <c r="S262" s="20"/>
      <c r="T262" s="20"/>
      <c r="U262" s="20"/>
      <c r="V262" s="20"/>
      <c r="W262" s="20"/>
      <c r="X262" s="20"/>
      <c r="Y262" s="20"/>
      <c r="Z262" s="20"/>
      <c r="AA262" s="20"/>
      <c r="AB262" s="20"/>
      <c r="AC262" s="20"/>
    </row>
    <row r="263" spans="1:29">
      <c r="A263" s="20"/>
      <c r="B263" s="20"/>
      <c r="C263" s="20"/>
      <c r="D263" s="20"/>
      <c r="E263" s="20"/>
      <c r="F263" s="20"/>
      <c r="G263" s="20"/>
      <c r="H263" s="20"/>
      <c r="I263" s="20"/>
      <c r="J263" s="20"/>
      <c r="K263" s="20"/>
      <c r="L263" s="20"/>
      <c r="M263" s="20"/>
      <c r="N263" s="20"/>
      <c r="O263" s="20"/>
      <c r="P263" s="20"/>
      <c r="Q263" s="20"/>
      <c r="R263" s="20"/>
      <c r="S263" s="20"/>
      <c r="T263" s="20"/>
      <c r="U263" s="20"/>
      <c r="V263" s="20"/>
      <c r="W263" s="20"/>
      <c r="X263" s="20"/>
      <c r="Y263" s="20"/>
      <c r="Z263" s="20"/>
      <c r="AA263" s="20"/>
      <c r="AB263" s="20"/>
      <c r="AC263" s="20"/>
    </row>
    <row r="264" spans="1:29">
      <c r="A264" s="20"/>
      <c r="B264" s="20"/>
      <c r="C264" s="20"/>
      <c r="D264" s="20"/>
      <c r="E264" s="20"/>
      <c r="F264" s="20"/>
      <c r="G264" s="20"/>
      <c r="H264" s="20"/>
      <c r="I264" s="20"/>
      <c r="J264" s="20"/>
      <c r="K264" s="20"/>
      <c r="L264" s="20"/>
      <c r="M264" s="20"/>
      <c r="N264" s="20"/>
      <c r="O264" s="20"/>
      <c r="P264" s="20"/>
      <c r="Q264" s="20"/>
      <c r="R264" s="20"/>
      <c r="S264" s="20"/>
      <c r="T264" s="20"/>
      <c r="U264" s="20"/>
      <c r="V264" s="20"/>
      <c r="W264" s="20"/>
      <c r="X264" s="20"/>
      <c r="Y264" s="20"/>
      <c r="Z264" s="20"/>
      <c r="AA264" s="20"/>
      <c r="AB264" s="20"/>
      <c r="AC264" s="20"/>
    </row>
    <row r="265" spans="1:29">
      <c r="A265" s="20"/>
      <c r="B265" s="20"/>
      <c r="C265" s="20"/>
      <c r="D265" s="20"/>
      <c r="E265" s="20"/>
      <c r="F265" s="20"/>
      <c r="G265" s="20"/>
      <c r="H265" s="20"/>
      <c r="I265" s="20"/>
      <c r="J265" s="20"/>
      <c r="K265" s="20"/>
      <c r="L265" s="20"/>
      <c r="M265" s="20"/>
      <c r="N265" s="20"/>
      <c r="O265" s="20"/>
      <c r="P265" s="20"/>
      <c r="Q265" s="20"/>
      <c r="R265" s="20"/>
      <c r="S265" s="20"/>
      <c r="T265" s="20"/>
      <c r="U265" s="20"/>
      <c r="V265" s="20"/>
      <c r="W265" s="20"/>
      <c r="X265" s="20"/>
      <c r="Y265" s="20"/>
      <c r="Z265" s="20"/>
      <c r="AA265" s="20"/>
      <c r="AB265" s="20"/>
      <c r="AC265" s="20"/>
    </row>
    <row r="266" spans="1:29">
      <c r="A266" s="20"/>
      <c r="B266" s="20"/>
      <c r="C266" s="20"/>
      <c r="D266" s="20"/>
      <c r="E266" s="20"/>
      <c r="F266" s="20"/>
      <c r="G266" s="20"/>
      <c r="H266" s="20"/>
      <c r="I266" s="20"/>
      <c r="J266" s="20"/>
      <c r="K266" s="20"/>
      <c r="L266" s="20"/>
      <c r="M266" s="20"/>
      <c r="N266" s="20"/>
      <c r="O266" s="20"/>
      <c r="P266" s="20"/>
      <c r="Q266" s="20"/>
      <c r="R266" s="20"/>
      <c r="S266" s="20"/>
    </row>
    <row r="267" spans="1:29">
      <c r="A267" s="20"/>
      <c r="B267" s="20"/>
      <c r="C267" s="20"/>
      <c r="D267" s="20"/>
      <c r="E267" s="20"/>
      <c r="F267" s="20"/>
      <c r="G267" s="20"/>
      <c r="H267" s="20"/>
      <c r="I267" s="20"/>
      <c r="J267" s="20"/>
      <c r="K267" s="20"/>
      <c r="L267" s="20"/>
      <c r="M267" s="20"/>
      <c r="N267" s="20"/>
      <c r="O267" s="20"/>
      <c r="P267" s="20"/>
      <c r="Q267" s="20"/>
      <c r="R267" s="20"/>
      <c r="S267" s="20"/>
    </row>
    <row r="268" spans="1:29">
      <c r="A268" s="20"/>
      <c r="B268" s="20"/>
      <c r="C268" s="20"/>
      <c r="D268" s="20"/>
      <c r="E268" s="20"/>
      <c r="F268" s="20"/>
      <c r="G268" s="20"/>
      <c r="H268" s="20"/>
      <c r="I268" s="20"/>
      <c r="J268" s="20"/>
      <c r="K268" s="20"/>
      <c r="L268" s="20"/>
      <c r="M268" s="20"/>
      <c r="N268" s="20"/>
      <c r="O268" s="20"/>
      <c r="P268" s="20"/>
      <c r="Q268" s="20"/>
      <c r="R268" s="20"/>
      <c r="S268" s="20"/>
    </row>
    <row r="269" spans="1:29">
      <c r="A269" s="20"/>
      <c r="B269" s="20"/>
      <c r="C269" s="20"/>
      <c r="D269" s="20"/>
      <c r="E269" s="20"/>
      <c r="F269" s="20"/>
      <c r="G269" s="20"/>
      <c r="H269" s="20"/>
      <c r="I269" s="20"/>
      <c r="J269" s="20"/>
      <c r="K269" s="20"/>
      <c r="L269" s="20"/>
      <c r="M269" s="20"/>
      <c r="N269" s="20"/>
      <c r="O269" s="20"/>
      <c r="P269" s="20"/>
      <c r="Q269" s="20"/>
      <c r="R269" s="20"/>
      <c r="S269" s="20"/>
    </row>
    <row r="270" spans="1:29">
      <c r="A270" s="20"/>
      <c r="B270" s="20"/>
      <c r="C270" s="20"/>
      <c r="D270" s="20"/>
      <c r="E270" s="20"/>
      <c r="F270" s="20"/>
      <c r="G270" s="20"/>
      <c r="H270" s="20"/>
      <c r="I270" s="20"/>
      <c r="J270" s="20"/>
      <c r="K270" s="20"/>
      <c r="L270" s="20"/>
      <c r="M270" s="20"/>
      <c r="N270" s="20"/>
      <c r="O270" s="20"/>
      <c r="P270" s="20"/>
      <c r="Q270" s="20"/>
      <c r="R270" s="20"/>
      <c r="S270" s="20"/>
    </row>
    <row r="271" spans="1:29">
      <c r="A271" s="20"/>
      <c r="B271" s="20"/>
      <c r="C271" s="20"/>
      <c r="D271" s="20"/>
      <c r="E271" s="20"/>
      <c r="F271" s="20"/>
      <c r="G271" s="20"/>
      <c r="H271" s="20"/>
      <c r="I271" s="20"/>
      <c r="J271" s="20"/>
      <c r="K271" s="20"/>
      <c r="L271" s="20"/>
      <c r="M271" s="20"/>
      <c r="N271" s="20"/>
      <c r="O271" s="20"/>
      <c r="P271" s="20"/>
      <c r="Q271" s="20"/>
      <c r="R271" s="20"/>
      <c r="S271" s="20"/>
    </row>
    <row r="272" spans="1:29">
      <c r="A272" s="20"/>
      <c r="B272" s="20"/>
      <c r="C272" s="20"/>
      <c r="D272" s="20"/>
      <c r="E272" s="20"/>
      <c r="F272" s="20"/>
      <c r="G272" s="20"/>
      <c r="H272" s="20"/>
      <c r="I272" s="20"/>
      <c r="J272" s="20"/>
      <c r="K272" s="20"/>
      <c r="L272" s="20"/>
      <c r="M272" s="20"/>
      <c r="N272" s="20"/>
      <c r="O272" s="20"/>
      <c r="P272" s="20"/>
      <c r="Q272" s="20"/>
      <c r="R272" s="20"/>
      <c r="S272" s="20"/>
    </row>
    <row r="273" spans="1:19">
      <c r="A273" s="20"/>
      <c r="B273" s="20"/>
      <c r="C273" s="20"/>
      <c r="D273" s="20"/>
      <c r="E273" s="20"/>
      <c r="F273" s="20"/>
      <c r="G273" s="20"/>
      <c r="H273" s="20"/>
      <c r="I273" s="20"/>
      <c r="J273" s="20"/>
      <c r="K273" s="20"/>
      <c r="L273" s="20"/>
      <c r="M273" s="20"/>
      <c r="N273" s="20"/>
      <c r="O273" s="20"/>
      <c r="P273" s="20"/>
      <c r="Q273" s="20"/>
      <c r="R273" s="20"/>
      <c r="S273" s="20"/>
    </row>
    <row r="274" spans="1:19">
      <c r="A274" s="20"/>
      <c r="B274" s="20"/>
      <c r="C274" s="20"/>
      <c r="D274" s="20"/>
      <c r="E274" s="20"/>
      <c r="F274" s="20"/>
      <c r="G274" s="20"/>
      <c r="H274" s="20"/>
      <c r="I274" s="20"/>
      <c r="J274" s="20"/>
      <c r="K274" s="20"/>
      <c r="L274" s="20"/>
      <c r="M274" s="20"/>
      <c r="N274" s="20"/>
      <c r="O274" s="20"/>
      <c r="P274" s="20"/>
      <c r="Q274" s="20"/>
      <c r="R274" s="20"/>
      <c r="S274" s="20"/>
    </row>
    <row r="275" spans="1:19">
      <c r="A275" s="20"/>
      <c r="B275" s="20"/>
      <c r="C275" s="20"/>
      <c r="D275" s="20"/>
      <c r="E275" s="20"/>
      <c r="F275" s="20"/>
      <c r="G275" s="20"/>
      <c r="H275" s="20"/>
      <c r="I275" s="20"/>
      <c r="J275" s="20"/>
      <c r="K275" s="20"/>
      <c r="L275" s="20"/>
      <c r="M275" s="20"/>
      <c r="N275" s="20"/>
      <c r="O275" s="20"/>
      <c r="P275" s="20"/>
      <c r="Q275" s="20"/>
      <c r="R275" s="20"/>
      <c r="S275" s="20"/>
    </row>
    <row r="276" spans="1:19">
      <c r="A276" s="20"/>
      <c r="B276" s="20"/>
      <c r="C276" s="20"/>
      <c r="D276" s="20"/>
      <c r="E276" s="20"/>
      <c r="F276" s="20"/>
      <c r="G276" s="20"/>
      <c r="H276" s="20"/>
      <c r="I276" s="20"/>
      <c r="J276" s="20"/>
      <c r="K276" s="20"/>
      <c r="L276" s="20"/>
      <c r="M276" s="20"/>
      <c r="N276" s="20"/>
      <c r="O276" s="20"/>
      <c r="P276" s="20"/>
      <c r="Q276" s="20"/>
      <c r="R276" s="20"/>
      <c r="S276" s="20"/>
    </row>
    <row r="277" spans="1:19">
      <c r="A277" s="20"/>
      <c r="B277" s="20"/>
      <c r="C277" s="20"/>
      <c r="D277" s="20"/>
      <c r="E277" s="20"/>
      <c r="F277" s="20"/>
      <c r="G277" s="20"/>
      <c r="H277" s="20"/>
      <c r="I277" s="20"/>
      <c r="J277" s="20"/>
      <c r="K277" s="20"/>
      <c r="L277" s="20"/>
      <c r="M277" s="20"/>
      <c r="N277" s="20"/>
      <c r="O277" s="20"/>
      <c r="P277" s="20"/>
      <c r="Q277" s="20"/>
      <c r="R277" s="20"/>
      <c r="S277" s="20"/>
    </row>
    <row r="278" spans="1:19">
      <c r="A278" s="20"/>
      <c r="B278" s="20"/>
      <c r="C278" s="20"/>
      <c r="D278" s="20"/>
      <c r="E278" s="20"/>
      <c r="F278" s="20"/>
      <c r="G278" s="20"/>
      <c r="H278" s="20"/>
      <c r="I278" s="20"/>
      <c r="J278" s="20"/>
      <c r="K278" s="20"/>
      <c r="L278" s="20"/>
      <c r="M278" s="20"/>
      <c r="N278" s="20"/>
      <c r="O278" s="20"/>
      <c r="P278" s="20"/>
      <c r="Q278" s="20"/>
      <c r="R278" s="20"/>
      <c r="S278" s="20"/>
    </row>
    <row r="279" spans="1:19">
      <c r="A279" s="20"/>
      <c r="B279" s="20"/>
      <c r="C279" s="20"/>
      <c r="D279" s="20"/>
      <c r="E279" s="20"/>
      <c r="F279" s="20"/>
      <c r="G279" s="20"/>
      <c r="H279" s="20"/>
      <c r="I279" s="20"/>
      <c r="J279" s="20"/>
      <c r="K279" s="20"/>
      <c r="L279" s="20"/>
      <c r="M279" s="20"/>
      <c r="N279" s="20"/>
      <c r="O279" s="20"/>
      <c r="P279" s="20"/>
      <c r="Q279" s="20"/>
      <c r="R279" s="20"/>
      <c r="S279" s="20"/>
    </row>
    <row r="280" spans="1:19">
      <c r="A280" s="20"/>
      <c r="B280" s="20"/>
      <c r="C280" s="20"/>
      <c r="D280" s="20"/>
      <c r="E280" s="20"/>
      <c r="F280" s="20"/>
      <c r="G280" s="20"/>
      <c r="H280" s="20"/>
      <c r="I280" s="20"/>
      <c r="J280" s="20"/>
      <c r="K280" s="20"/>
      <c r="L280" s="20"/>
      <c r="M280" s="20"/>
      <c r="N280" s="20"/>
      <c r="O280" s="20"/>
      <c r="P280" s="20"/>
      <c r="Q280" s="20"/>
      <c r="R280" s="20"/>
      <c r="S280" s="20"/>
    </row>
    <row r="281" spans="1:19">
      <c r="A281" s="20"/>
      <c r="B281" s="20"/>
      <c r="C281" s="20"/>
      <c r="D281" s="20"/>
      <c r="E281" s="20"/>
      <c r="F281" s="20"/>
      <c r="G281" s="20"/>
      <c r="H281" s="20"/>
      <c r="I281" s="20"/>
      <c r="J281" s="20"/>
      <c r="K281" s="20"/>
      <c r="L281" s="20"/>
      <c r="M281" s="20"/>
      <c r="N281" s="20"/>
      <c r="O281" s="20"/>
      <c r="P281" s="20"/>
      <c r="Q281" s="20"/>
      <c r="R281" s="20"/>
      <c r="S281" s="20"/>
    </row>
    <row r="282" spans="1:19">
      <c r="A282" s="20"/>
      <c r="B282" s="20"/>
      <c r="C282" s="20"/>
      <c r="D282" s="20"/>
      <c r="E282" s="20"/>
      <c r="F282" s="20"/>
      <c r="G282" s="20"/>
      <c r="H282" s="20"/>
      <c r="I282" s="20"/>
      <c r="J282" s="20"/>
      <c r="K282" s="20"/>
      <c r="L282" s="20"/>
      <c r="M282" s="20"/>
      <c r="N282" s="20"/>
      <c r="O282" s="20"/>
      <c r="P282" s="20"/>
      <c r="Q282" s="20"/>
      <c r="R282" s="20"/>
      <c r="S282" s="20"/>
    </row>
    <row r="283" spans="1:19">
      <c r="A283" s="20"/>
      <c r="B283" s="20"/>
      <c r="C283" s="20"/>
      <c r="D283" s="20"/>
      <c r="E283" s="20"/>
      <c r="F283" s="20"/>
      <c r="G283" s="20"/>
      <c r="H283" s="20"/>
      <c r="I283" s="20"/>
      <c r="J283" s="20"/>
      <c r="K283" s="20"/>
      <c r="L283" s="20"/>
      <c r="M283" s="20"/>
      <c r="N283" s="20"/>
      <c r="O283" s="20"/>
      <c r="P283" s="20"/>
      <c r="Q283" s="20"/>
      <c r="R283" s="20"/>
      <c r="S283" s="20"/>
    </row>
    <row r="284" spans="1:19">
      <c r="A284" s="20"/>
      <c r="B284" s="20"/>
      <c r="C284" s="20"/>
      <c r="D284" s="20"/>
      <c r="E284" s="20"/>
      <c r="F284" s="20"/>
      <c r="G284" s="20"/>
      <c r="H284" s="20"/>
      <c r="I284" s="20"/>
      <c r="J284" s="20"/>
      <c r="K284" s="20"/>
      <c r="L284" s="20"/>
      <c r="M284" s="20"/>
      <c r="N284" s="20"/>
      <c r="O284" s="20"/>
      <c r="P284" s="20"/>
      <c r="Q284" s="20"/>
      <c r="R284" s="20"/>
      <c r="S284" s="20"/>
    </row>
    <row r="285" spans="1:19">
      <c r="A285" s="20"/>
      <c r="B285" s="20"/>
      <c r="C285" s="20"/>
      <c r="D285" s="20"/>
      <c r="E285" s="20"/>
      <c r="F285" s="20"/>
      <c r="G285" s="20"/>
      <c r="H285" s="20"/>
      <c r="I285" s="20"/>
      <c r="J285" s="20"/>
      <c r="K285" s="20"/>
      <c r="L285" s="20"/>
      <c r="M285" s="20"/>
      <c r="N285" s="20"/>
      <c r="O285" s="20"/>
      <c r="P285" s="20"/>
      <c r="Q285" s="20"/>
      <c r="R285" s="20"/>
      <c r="S285" s="20"/>
    </row>
    <row r="286" spans="1:19">
      <c r="A286" s="20"/>
      <c r="B286" s="20"/>
      <c r="C286" s="20"/>
      <c r="D286" s="20"/>
      <c r="E286" s="20"/>
      <c r="F286" s="20"/>
      <c r="G286" s="20"/>
      <c r="H286" s="20"/>
      <c r="I286" s="20"/>
      <c r="J286" s="20"/>
      <c r="K286" s="20"/>
      <c r="L286" s="20"/>
      <c r="M286" s="20"/>
      <c r="N286" s="20"/>
      <c r="O286" s="20"/>
      <c r="P286" s="20"/>
      <c r="Q286" s="20"/>
      <c r="R286" s="20"/>
      <c r="S286" s="20"/>
    </row>
    <row r="287" spans="1:19">
      <c r="A287" s="20"/>
      <c r="B287" s="20"/>
      <c r="C287" s="20"/>
      <c r="D287" s="20"/>
      <c r="E287" s="20"/>
      <c r="F287" s="20"/>
      <c r="G287" s="20"/>
      <c r="H287" s="20"/>
      <c r="I287" s="20"/>
      <c r="J287" s="20"/>
      <c r="K287" s="20"/>
      <c r="L287" s="20"/>
      <c r="M287" s="20"/>
      <c r="N287" s="20"/>
      <c r="O287" s="20"/>
      <c r="P287" s="20"/>
      <c r="Q287" s="20"/>
      <c r="R287" s="20"/>
      <c r="S287" s="20"/>
    </row>
    <row r="288" spans="1:19">
      <c r="A288" s="20"/>
      <c r="B288" s="20"/>
      <c r="C288" s="20"/>
      <c r="D288" s="20"/>
      <c r="E288" s="20"/>
      <c r="F288" s="20"/>
      <c r="G288" s="20"/>
      <c r="H288" s="20"/>
      <c r="I288" s="20"/>
      <c r="J288" s="20"/>
      <c r="K288" s="20"/>
      <c r="L288" s="20"/>
      <c r="M288" s="20"/>
      <c r="N288" s="20"/>
      <c r="O288" s="20"/>
      <c r="P288" s="20"/>
      <c r="Q288" s="20"/>
      <c r="R288" s="20"/>
      <c r="S288" s="20"/>
    </row>
    <row r="289" spans="1:19">
      <c r="A289" s="20"/>
      <c r="B289" s="20"/>
      <c r="C289" s="20"/>
      <c r="D289" s="20"/>
      <c r="E289" s="20"/>
      <c r="F289" s="20"/>
      <c r="G289" s="20"/>
      <c r="H289" s="20"/>
      <c r="I289" s="20"/>
      <c r="J289" s="20"/>
      <c r="K289" s="20"/>
      <c r="L289" s="20"/>
      <c r="M289" s="20"/>
      <c r="N289" s="20"/>
      <c r="O289" s="20"/>
      <c r="P289" s="20"/>
      <c r="Q289" s="20"/>
      <c r="R289" s="20"/>
      <c r="S289" s="20"/>
    </row>
    <row r="290" spans="1:19">
      <c r="A290" s="20"/>
      <c r="B290" s="20"/>
      <c r="C290" s="20"/>
      <c r="D290" s="20"/>
      <c r="E290" s="20"/>
      <c r="F290" s="20"/>
      <c r="G290" s="20"/>
      <c r="H290" s="20"/>
      <c r="I290" s="20"/>
      <c r="J290" s="20"/>
      <c r="K290" s="20"/>
      <c r="L290" s="20"/>
      <c r="M290" s="20"/>
      <c r="N290" s="20"/>
      <c r="O290" s="20"/>
      <c r="P290" s="20"/>
      <c r="Q290" s="20"/>
      <c r="R290" s="20"/>
      <c r="S290" s="20"/>
    </row>
    <row r="291" spans="1:19">
      <c r="A291" s="20"/>
      <c r="B291" s="20"/>
      <c r="C291" s="20"/>
      <c r="D291" s="20"/>
      <c r="E291" s="20"/>
      <c r="F291" s="20"/>
      <c r="G291" s="20"/>
      <c r="H291" s="20"/>
      <c r="I291" s="20"/>
      <c r="J291" s="20"/>
      <c r="K291" s="20"/>
      <c r="L291" s="20"/>
      <c r="M291" s="20"/>
      <c r="N291" s="20"/>
      <c r="O291" s="20"/>
      <c r="P291" s="20"/>
      <c r="Q291" s="20"/>
      <c r="R291" s="20"/>
      <c r="S291" s="20"/>
    </row>
    <row r="292" spans="1:19">
      <c r="A292" s="20"/>
      <c r="B292" s="20"/>
      <c r="C292" s="20"/>
      <c r="D292" s="20"/>
      <c r="E292" s="20"/>
      <c r="F292" s="20"/>
      <c r="G292" s="20"/>
      <c r="H292" s="20"/>
      <c r="I292" s="20"/>
      <c r="J292" s="20"/>
      <c r="K292" s="20"/>
      <c r="L292" s="20"/>
      <c r="M292" s="20"/>
      <c r="N292" s="20"/>
      <c r="O292" s="20"/>
      <c r="P292" s="20"/>
      <c r="Q292" s="20"/>
      <c r="R292" s="20"/>
      <c r="S292" s="20"/>
    </row>
    <row r="293" spans="1:19">
      <c r="A293" s="20"/>
      <c r="B293" s="20"/>
      <c r="C293" s="20"/>
      <c r="D293" s="20"/>
      <c r="E293" s="20"/>
      <c r="F293" s="20"/>
      <c r="G293" s="20"/>
      <c r="H293" s="20"/>
      <c r="I293" s="20"/>
      <c r="J293" s="20"/>
      <c r="K293" s="20"/>
      <c r="L293" s="20"/>
      <c r="M293" s="20"/>
      <c r="N293" s="20"/>
      <c r="O293" s="20"/>
      <c r="P293" s="20"/>
      <c r="Q293" s="20"/>
      <c r="R293" s="20"/>
      <c r="S293" s="20"/>
    </row>
    <row r="294" spans="1:19">
      <c r="A294" s="20"/>
      <c r="B294" s="20"/>
      <c r="C294" s="20"/>
      <c r="D294" s="20"/>
      <c r="E294" s="20"/>
      <c r="F294" s="20"/>
      <c r="G294" s="20"/>
      <c r="H294" s="20"/>
      <c r="I294" s="20"/>
      <c r="J294" s="20"/>
      <c r="K294" s="20"/>
      <c r="L294" s="20"/>
      <c r="M294" s="20"/>
      <c r="N294" s="20"/>
      <c r="O294" s="20"/>
      <c r="P294" s="20"/>
      <c r="Q294" s="20"/>
      <c r="R294" s="20"/>
      <c r="S294" s="20"/>
    </row>
    <row r="295" spans="1:19">
      <c r="A295" s="20"/>
      <c r="B295" s="20"/>
      <c r="C295" s="20"/>
      <c r="D295" s="20"/>
      <c r="E295" s="20"/>
      <c r="F295" s="20"/>
      <c r="G295" s="20"/>
      <c r="H295" s="20"/>
      <c r="I295" s="20"/>
      <c r="J295" s="20"/>
      <c r="K295" s="20"/>
      <c r="L295" s="20"/>
      <c r="M295" s="20"/>
      <c r="N295" s="20"/>
      <c r="O295" s="20"/>
      <c r="P295" s="20"/>
      <c r="Q295" s="20"/>
      <c r="R295" s="20"/>
      <c r="S295" s="20"/>
    </row>
    <row r="296" spans="1:19">
      <c r="A296" s="20"/>
      <c r="B296" s="20"/>
      <c r="C296" s="20"/>
      <c r="D296" s="20"/>
      <c r="E296" s="20"/>
      <c r="F296" s="20"/>
      <c r="G296" s="20"/>
      <c r="H296" s="20"/>
      <c r="I296" s="20"/>
      <c r="J296" s="20"/>
      <c r="K296" s="20"/>
      <c r="L296" s="20"/>
      <c r="M296" s="20"/>
      <c r="N296" s="20"/>
      <c r="O296" s="20"/>
      <c r="P296" s="20"/>
      <c r="Q296" s="20"/>
      <c r="R296" s="20"/>
      <c r="S296" s="20"/>
    </row>
    <row r="297" spans="1:19">
      <c r="A297" s="20"/>
      <c r="B297" s="20"/>
      <c r="C297" s="20"/>
      <c r="D297" s="20"/>
      <c r="E297" s="20"/>
      <c r="F297" s="20"/>
      <c r="G297" s="20"/>
      <c r="H297" s="20"/>
      <c r="I297" s="20"/>
      <c r="J297" s="20"/>
      <c r="K297" s="20"/>
      <c r="L297" s="20"/>
      <c r="M297" s="20"/>
      <c r="N297" s="20"/>
      <c r="O297" s="20"/>
      <c r="P297" s="20"/>
      <c r="Q297" s="20"/>
      <c r="R297" s="20"/>
      <c r="S297" s="20"/>
    </row>
    <row r="298" spans="1:19">
      <c r="A298" s="20"/>
      <c r="B298" s="20"/>
      <c r="C298" s="20"/>
      <c r="D298" s="20"/>
      <c r="E298" s="20"/>
      <c r="F298" s="20"/>
      <c r="G298" s="20"/>
      <c r="H298" s="20"/>
      <c r="I298" s="20"/>
      <c r="J298" s="20"/>
      <c r="K298" s="20"/>
      <c r="L298" s="20"/>
      <c r="M298" s="20"/>
      <c r="N298" s="20"/>
      <c r="O298" s="20"/>
      <c r="P298" s="20"/>
      <c r="Q298" s="20"/>
      <c r="R298" s="20"/>
      <c r="S298" s="20"/>
    </row>
  </sheetData>
  <sheetProtection algorithmName="SHA-512" hashValue="ouWas6RHuDoFTyD0OZtl1fe4KS5dtSxCwmDxmsvVLkMMU+W5q1/ZwZz/TcYCDMquo1rf44/a1WXmrRBxMLAHBw==" saltValue="QjFgEziDX6mHZ55MYQJnOA==" spinCount="100000" sheet="1" selectLockedCells="1"/>
  <mergeCells count="50">
    <mergeCell ref="U28:V28"/>
    <mergeCell ref="U29:V29"/>
    <mergeCell ref="U30:V30"/>
    <mergeCell ref="U31:V31"/>
    <mergeCell ref="O31:P31"/>
    <mergeCell ref="O33:P33"/>
    <mergeCell ref="U35:V35"/>
    <mergeCell ref="U32:V32"/>
    <mergeCell ref="U33:V33"/>
    <mergeCell ref="U34:V34"/>
    <mergeCell ref="U36:V36"/>
    <mergeCell ref="U37:V37"/>
    <mergeCell ref="U38:V38"/>
    <mergeCell ref="F39:G39"/>
    <mergeCell ref="O39:P39"/>
    <mergeCell ref="O37:P37"/>
    <mergeCell ref="B12:C12"/>
    <mergeCell ref="A4:S4"/>
    <mergeCell ref="D7:F7"/>
    <mergeCell ref="D9:F9"/>
    <mergeCell ref="P7:R7"/>
    <mergeCell ref="O18:P18"/>
    <mergeCell ref="P12:R12"/>
    <mergeCell ref="O14:P14"/>
    <mergeCell ref="K14:M14"/>
    <mergeCell ref="U27:V27"/>
    <mergeCell ref="O27:P27"/>
    <mergeCell ref="O15:P15"/>
    <mergeCell ref="E14:I14"/>
    <mergeCell ref="O25:P25"/>
    <mergeCell ref="O29:P29"/>
    <mergeCell ref="T98:U98"/>
    <mergeCell ref="G61:H61"/>
    <mergeCell ref="G80:H80"/>
    <mergeCell ref="O87:P87"/>
    <mergeCell ref="O72:P72"/>
    <mergeCell ref="O74:P74"/>
    <mergeCell ref="O94:P94"/>
    <mergeCell ref="O97:P97"/>
    <mergeCell ref="O65:P65"/>
    <mergeCell ref="O67:P67"/>
    <mergeCell ref="O76:P76"/>
    <mergeCell ref="O79:P79"/>
    <mergeCell ref="O61:P61"/>
    <mergeCell ref="O41:P41"/>
    <mergeCell ref="O63:P63"/>
    <mergeCell ref="O43:P43"/>
    <mergeCell ref="O45:P45"/>
    <mergeCell ref="O47:P47"/>
    <mergeCell ref="O59:P59"/>
  </mergeCells>
  <phoneticPr fontId="2" type="noConversion"/>
  <conditionalFormatting sqref="B11">
    <cfRule type="expression" dxfId="60" priority="9" stopIfTrue="1">
      <formula>$B$11</formula>
    </cfRule>
  </conditionalFormatting>
  <conditionalFormatting sqref="D11">
    <cfRule type="expression" dxfId="59" priority="10" stopIfTrue="1">
      <formula>$D$11</formula>
    </cfRule>
  </conditionalFormatting>
  <conditionalFormatting sqref="F11">
    <cfRule type="expression" dxfId="58" priority="11" stopIfTrue="1">
      <formula>$F$11</formula>
    </cfRule>
  </conditionalFormatting>
  <conditionalFormatting sqref="H11">
    <cfRule type="expression" dxfId="57" priority="12" stopIfTrue="1">
      <formula>$H$11</formula>
    </cfRule>
  </conditionalFormatting>
  <conditionalFormatting sqref="J35 N35 R35 H39 J53 L53 N53 P53 R53 I61 I72 I80 O89 O91 O94 O97">
    <cfRule type="cellIs" dxfId="56" priority="7" stopIfTrue="1" operator="equal">
      <formula>0</formula>
    </cfRule>
  </conditionalFormatting>
  <conditionalFormatting sqref="J50">
    <cfRule type="expression" dxfId="55" priority="24" stopIfTrue="1">
      <formula>$J$50</formula>
    </cfRule>
  </conditionalFormatting>
  <conditionalFormatting sqref="L11">
    <cfRule type="expression" dxfId="54" priority="13" stopIfTrue="1">
      <formula>$L$11</formula>
    </cfRule>
  </conditionalFormatting>
  <conditionalFormatting sqref="L50">
    <cfRule type="expression" dxfId="53" priority="25" stopIfTrue="1">
      <formula>$L$50</formula>
    </cfRule>
  </conditionalFormatting>
  <conditionalFormatting sqref="N11">
    <cfRule type="expression" dxfId="52" priority="14" stopIfTrue="1">
      <formula>$N$11</formula>
    </cfRule>
  </conditionalFormatting>
  <conditionalFormatting sqref="N50">
    <cfRule type="expression" dxfId="51" priority="26" stopIfTrue="1">
      <formula>$N$50</formula>
    </cfRule>
  </conditionalFormatting>
  <conditionalFormatting sqref="O18:P18">
    <cfRule type="expression" dxfId="50" priority="17" stopIfTrue="1">
      <formula>$O$18</formula>
    </cfRule>
  </conditionalFormatting>
  <conditionalFormatting sqref="O27:P27">
    <cfRule type="expression" dxfId="49" priority="18" stopIfTrue="1">
      <formula>$O$27</formula>
    </cfRule>
  </conditionalFormatting>
  <conditionalFormatting sqref="O29:P29">
    <cfRule type="expression" dxfId="48" priority="19" stopIfTrue="1">
      <formula>$O$29</formula>
    </cfRule>
  </conditionalFormatting>
  <conditionalFormatting sqref="O31:P31">
    <cfRule type="expression" dxfId="47" priority="20" stopIfTrue="1">
      <formula>$O$31</formula>
    </cfRule>
  </conditionalFormatting>
  <conditionalFormatting sqref="O33:P33">
    <cfRule type="expression" dxfId="46" priority="21" stopIfTrue="1">
      <formula>$O$33</formula>
    </cfRule>
  </conditionalFormatting>
  <conditionalFormatting sqref="O39:P39">
    <cfRule type="expression" dxfId="45" priority="22" stopIfTrue="1">
      <formula>$O$39</formula>
    </cfRule>
  </conditionalFormatting>
  <conditionalFormatting sqref="O47:P47">
    <cfRule type="expression" dxfId="44" priority="23" stopIfTrue="1">
      <formula>$O$47</formula>
    </cfRule>
  </conditionalFormatting>
  <conditionalFormatting sqref="O61:P61">
    <cfRule type="expression" dxfId="43" priority="29" stopIfTrue="1">
      <formula>$O$61</formula>
    </cfRule>
  </conditionalFormatting>
  <conditionalFormatting sqref="O72:P72">
    <cfRule type="expression" dxfId="42" priority="30" stopIfTrue="1">
      <formula>$O$72</formula>
    </cfRule>
  </conditionalFormatting>
  <conditionalFormatting sqref="O79:P79">
    <cfRule type="expression" dxfId="41" priority="31" stopIfTrue="1">
      <formula>$O$79</formula>
    </cfRule>
  </conditionalFormatting>
  <conditionalFormatting sqref="O87:P87">
    <cfRule type="expression" dxfId="40" priority="32" stopIfTrue="1">
      <formula>$O$87</formula>
    </cfRule>
  </conditionalFormatting>
  <conditionalFormatting sqref="P11">
    <cfRule type="expression" dxfId="39" priority="15" stopIfTrue="1">
      <formula>$P$11</formula>
    </cfRule>
  </conditionalFormatting>
  <conditionalFormatting sqref="P50">
    <cfRule type="expression" dxfId="38" priority="27" stopIfTrue="1">
      <formula>$P$50</formula>
    </cfRule>
  </conditionalFormatting>
  <conditionalFormatting sqref="R11">
    <cfRule type="expression" dxfId="37" priority="16" stopIfTrue="1">
      <formula>$R$11</formula>
    </cfRule>
  </conditionalFormatting>
  <conditionalFormatting sqref="R14:R15">
    <cfRule type="cellIs" dxfId="36" priority="6" stopIfTrue="1" operator="equal">
      <formula>0</formula>
    </cfRule>
  </conditionalFormatting>
  <conditionalFormatting sqref="R50">
    <cfRule type="expression" dxfId="35" priority="28" stopIfTrue="1">
      <formula>$R$50</formula>
    </cfRule>
  </conditionalFormatting>
  <conditionalFormatting sqref="U27:V38">
    <cfRule type="cellIs" dxfId="34" priority="4" stopIfTrue="1" operator="equal">
      <formula>0</formula>
    </cfRule>
  </conditionalFormatting>
  <conditionalFormatting sqref="A41:T46 W41:AC46 A60:T92 W60:AC92 A47:AC59 A1:AC40 A93:AC298">
    <cfRule type="expression" dxfId="33" priority="3" stopIfTrue="1">
      <formula>AND(A1&lt;&gt;"",OR(A1=0,A1="0"))</formula>
    </cfRule>
  </conditionalFormatting>
  <hyperlinks>
    <hyperlink ref="T98:U98" location="HTAE2!P1" display="Ir a HTAE2" xr:uid="{00000000-0004-0000-0B00-000000000000}"/>
    <hyperlink ref="T97" location="'Guía de trabajo'!A38" display="'Guía de trabajo'!A38" xr:uid="{00000000-0004-0000-0B00-000001000000}"/>
  </hyperlinks>
  <pageMargins left="0.78740157480314965" right="0.36" top="1.1417322834645669" bottom="0.8" header="0.59055118110236227" footer="0"/>
  <pageSetup scale="95" orientation="portrait" blackAndWhite="1" horizontalDpi="4294967292" verticalDpi="4294967292" r:id="rId1"/>
  <headerFooter alignWithMargins="0">
    <oddHeader xml:space="preserve">&amp;LPREFECTURA NAVAL ARGENTINA
</oddHeader>
  </headerFooter>
  <rowBreaks count="1" manualBreakCount="1">
    <brk id="55" max="18" man="1"/>
  </rowBreaks>
  <cellWatches>
    <cellWatch r="H1"/>
  </cellWatches>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Hoja14"/>
  <dimension ref="A1:AD276"/>
  <sheetViews>
    <sheetView zoomScale="115" zoomScaleNormal="115" zoomScaleSheetLayoutView="120" workbookViewId="0">
      <selection activeCell="I72" sqref="I72"/>
    </sheetView>
  </sheetViews>
  <sheetFormatPr baseColWidth="10" defaultRowHeight="13.2"/>
  <cols>
    <col min="1" max="3" width="5.6640625" customWidth="1"/>
    <col min="4" max="4" width="4.88671875" customWidth="1"/>
    <col min="5" max="6" width="5.6640625" customWidth="1"/>
    <col min="7" max="7" width="5.44140625" customWidth="1"/>
    <col min="8" max="8" width="5.6640625" customWidth="1"/>
    <col min="9" max="9" width="7" customWidth="1"/>
    <col min="10" max="10" width="5.6640625" customWidth="1"/>
    <col min="11" max="11" width="1.33203125" customWidth="1"/>
    <col min="12" max="12" width="5.6640625" customWidth="1"/>
    <col min="13" max="13" width="1.109375" customWidth="1"/>
    <col min="14" max="14" width="5.6640625" customWidth="1"/>
    <col min="15" max="15" width="3.44140625" customWidth="1"/>
    <col min="16" max="16" width="5.6640625" customWidth="1"/>
    <col min="17" max="17" width="1.88671875" customWidth="1"/>
    <col min="18" max="18" width="5.6640625" customWidth="1"/>
    <col min="19" max="19" width="6.33203125" customWidth="1"/>
    <col min="20" max="20" width="5.6640625" customWidth="1"/>
  </cols>
  <sheetData>
    <row r="1" spans="1:30" ht="13.8" thickBot="1">
      <c r="A1" s="3"/>
      <c r="B1" s="3"/>
      <c r="C1" s="3"/>
      <c r="D1" s="3"/>
      <c r="E1" s="3"/>
      <c r="F1" s="3"/>
      <c r="G1" s="3"/>
      <c r="H1" s="3"/>
      <c r="I1" s="90"/>
      <c r="J1" s="3"/>
      <c r="K1" s="3"/>
      <c r="L1" s="3"/>
      <c r="M1" s="3"/>
      <c r="N1" s="3"/>
      <c r="O1" s="3"/>
      <c r="P1" s="3"/>
      <c r="Q1" s="3"/>
      <c r="R1" s="3"/>
      <c r="S1" s="3"/>
      <c r="T1" s="20"/>
      <c r="U1" s="20"/>
      <c r="V1" s="20"/>
      <c r="W1" s="20"/>
      <c r="X1" s="20"/>
      <c r="Y1" s="20"/>
      <c r="Z1" s="20"/>
      <c r="AA1" s="20"/>
      <c r="AB1" s="20"/>
      <c r="AC1" s="20"/>
      <c r="AD1" s="20"/>
    </row>
    <row r="2" spans="1:30" ht="13.8" thickTop="1">
      <c r="A2" s="192"/>
      <c r="B2" s="191"/>
      <c r="C2" s="191"/>
      <c r="D2" s="191"/>
      <c r="E2" s="191"/>
      <c r="F2" s="191"/>
      <c r="G2" s="191"/>
      <c r="H2" s="191"/>
      <c r="I2" s="191"/>
      <c r="J2" s="191"/>
      <c r="K2" s="191"/>
      <c r="L2" s="191"/>
      <c r="M2" s="191"/>
      <c r="N2" s="191"/>
      <c r="O2" s="191"/>
      <c r="P2" s="191"/>
      <c r="Q2" s="191"/>
      <c r="R2" s="191"/>
      <c r="S2" s="200"/>
      <c r="T2" s="20"/>
      <c r="U2" s="20"/>
      <c r="V2" s="20"/>
      <c r="W2" s="20"/>
      <c r="X2" s="20"/>
      <c r="Y2" s="20"/>
      <c r="Z2" s="20"/>
      <c r="AA2" s="20"/>
      <c r="AB2" s="20"/>
      <c r="AC2" s="20"/>
      <c r="AD2" s="20"/>
    </row>
    <row r="3" spans="1:30">
      <c r="A3" s="259" t="s">
        <v>237</v>
      </c>
      <c r="B3" s="168"/>
      <c r="C3" s="168"/>
      <c r="D3" s="168"/>
      <c r="E3" s="168"/>
      <c r="F3" s="168"/>
      <c r="G3" s="168"/>
      <c r="H3" s="168"/>
      <c r="I3" s="168"/>
      <c r="J3" s="168"/>
      <c r="K3" s="168"/>
      <c r="L3" s="168"/>
      <c r="M3" s="168"/>
      <c r="N3" s="168"/>
      <c r="O3" s="168"/>
      <c r="P3" s="168"/>
      <c r="Q3" s="168"/>
      <c r="R3" s="168"/>
      <c r="S3" s="201"/>
      <c r="T3" s="20"/>
      <c r="U3" s="20"/>
      <c r="V3" s="20"/>
      <c r="W3" s="20"/>
      <c r="X3" s="20"/>
      <c r="Y3" s="20"/>
      <c r="Z3" s="20"/>
      <c r="AA3" s="20"/>
      <c r="AB3" s="20"/>
      <c r="AC3" s="20"/>
      <c r="AD3" s="20"/>
    </row>
    <row r="4" spans="1:30">
      <c r="A4" s="368" t="s">
        <v>238</v>
      </c>
      <c r="B4" s="369"/>
      <c r="C4" s="369"/>
      <c r="D4" s="369"/>
      <c r="E4" s="369"/>
      <c r="F4" s="369"/>
      <c r="G4" s="369"/>
      <c r="H4" s="369"/>
      <c r="I4" s="369"/>
      <c r="J4" s="369"/>
      <c r="K4" s="369"/>
      <c r="L4" s="369"/>
      <c r="M4" s="369"/>
      <c r="N4" s="369"/>
      <c r="O4" s="369"/>
      <c r="P4" s="369"/>
      <c r="Q4" s="369"/>
      <c r="R4" s="369"/>
      <c r="S4" s="370"/>
      <c r="T4" s="20"/>
      <c r="U4" s="20"/>
      <c r="V4" s="20"/>
      <c r="W4" s="20"/>
      <c r="X4" s="20"/>
      <c r="Y4" s="20"/>
      <c r="Z4" s="20"/>
      <c r="AA4" s="20"/>
      <c r="AB4" s="20"/>
      <c r="AC4" s="20"/>
      <c r="AD4" s="20"/>
    </row>
    <row r="5" spans="1:30">
      <c r="A5" s="193"/>
      <c r="B5" s="168"/>
      <c r="C5" s="168"/>
      <c r="D5" s="168"/>
      <c r="E5" s="168"/>
      <c r="F5" s="168"/>
      <c r="G5" s="168"/>
      <c r="H5" s="168"/>
      <c r="I5" s="168"/>
      <c r="J5" s="168"/>
      <c r="K5" s="168"/>
      <c r="L5" s="168"/>
      <c r="M5" s="168"/>
      <c r="N5" s="168"/>
      <c r="O5" s="168"/>
      <c r="P5" s="168"/>
      <c r="Q5" s="168"/>
      <c r="R5" s="168"/>
      <c r="S5" s="201"/>
      <c r="T5" s="20"/>
      <c r="U5" s="20"/>
      <c r="V5" s="20"/>
      <c r="W5" s="20"/>
      <c r="X5" s="20"/>
      <c r="Y5" s="20"/>
      <c r="Z5" s="20"/>
      <c r="AA5" s="20"/>
      <c r="AB5" s="20"/>
      <c r="AC5" s="20"/>
      <c r="AD5" s="20"/>
    </row>
    <row r="6" spans="1:30">
      <c r="A6" s="193"/>
      <c r="B6" s="168"/>
      <c r="C6" s="168"/>
      <c r="D6" s="168"/>
      <c r="E6" s="168"/>
      <c r="F6" s="168"/>
      <c r="G6" s="168"/>
      <c r="H6" s="168"/>
      <c r="I6" s="168"/>
      <c r="J6" s="168"/>
      <c r="K6" s="168"/>
      <c r="L6" s="168"/>
      <c r="M6" s="168"/>
      <c r="N6" s="168"/>
      <c r="O6" s="168"/>
      <c r="P6" s="168"/>
      <c r="Q6" s="168"/>
      <c r="R6" s="168"/>
      <c r="S6" s="201"/>
      <c r="T6" s="20"/>
      <c r="U6" s="20"/>
      <c r="V6" s="20"/>
      <c r="W6" s="20"/>
      <c r="X6" s="20"/>
      <c r="Y6" s="20"/>
      <c r="Z6" s="20"/>
      <c r="AA6" s="20"/>
      <c r="AB6" s="20"/>
      <c r="AC6" s="20"/>
      <c r="AD6" s="20"/>
    </row>
    <row r="7" spans="1:30">
      <c r="A7" s="213" t="s">
        <v>0</v>
      </c>
      <c r="B7" s="206"/>
      <c r="C7" s="206"/>
      <c r="D7" s="310">
        <f>Datum!D7</f>
        <v>0</v>
      </c>
      <c r="E7" s="310"/>
      <c r="F7" s="310"/>
      <c r="G7" s="206"/>
      <c r="H7" s="206" t="s">
        <v>1</v>
      </c>
      <c r="I7" s="206"/>
      <c r="J7" s="1">
        <f>Datum!J7</f>
        <v>0</v>
      </c>
      <c r="K7" s="206"/>
      <c r="L7" s="206"/>
      <c r="M7" s="206"/>
      <c r="N7" s="208" t="s">
        <v>508</v>
      </c>
      <c r="O7" s="168"/>
      <c r="P7" s="311">
        <f>Datum!N7</f>
        <v>0</v>
      </c>
      <c r="Q7" s="312"/>
      <c r="R7" s="312"/>
      <c r="S7" s="201"/>
      <c r="T7" s="20"/>
      <c r="U7" s="20"/>
      <c r="V7" s="20"/>
      <c r="W7" s="20"/>
      <c r="X7" s="20"/>
      <c r="Y7" s="20"/>
      <c r="Z7" s="20"/>
      <c r="AA7" s="20"/>
      <c r="AB7" s="20"/>
      <c r="AC7" s="20"/>
      <c r="AD7" s="20"/>
    </row>
    <row r="8" spans="1:30">
      <c r="A8" s="193"/>
      <c r="B8" s="168"/>
      <c r="C8" s="168"/>
      <c r="D8" s="168"/>
      <c r="E8" s="168"/>
      <c r="F8" s="168"/>
      <c r="G8" s="168"/>
      <c r="H8" s="168"/>
      <c r="I8" s="168"/>
      <c r="J8" s="168"/>
      <c r="K8" s="168"/>
      <c r="L8" s="168"/>
      <c r="M8" s="168"/>
      <c r="N8" s="168"/>
      <c r="O8" s="168"/>
      <c r="P8" s="168"/>
      <c r="Q8" s="168"/>
      <c r="R8" s="168"/>
      <c r="S8" s="201"/>
      <c r="T8" s="20"/>
      <c r="U8" s="20"/>
      <c r="V8" s="20"/>
      <c r="W8" s="20"/>
      <c r="X8" s="20"/>
      <c r="Y8" s="20"/>
      <c r="Z8" s="20"/>
      <c r="AA8" s="20"/>
      <c r="AB8" s="20"/>
      <c r="AC8" s="20"/>
      <c r="AD8" s="20"/>
    </row>
    <row r="9" spans="1:30">
      <c r="A9" s="213" t="s">
        <v>3</v>
      </c>
      <c r="B9" s="206"/>
      <c r="C9" s="206"/>
      <c r="D9" s="310">
        <f>Datum!D9</f>
        <v>0</v>
      </c>
      <c r="E9" s="310"/>
      <c r="F9" s="310"/>
      <c r="G9" s="206"/>
      <c r="H9" s="206" t="s">
        <v>4</v>
      </c>
      <c r="I9" s="206"/>
      <c r="J9" s="1">
        <f>Datum!J9</f>
        <v>0</v>
      </c>
      <c r="K9" s="206"/>
      <c r="L9" s="206" t="s">
        <v>5</v>
      </c>
      <c r="M9" s="206"/>
      <c r="N9" s="206"/>
      <c r="O9" s="168"/>
      <c r="P9" s="206"/>
      <c r="Q9" s="206"/>
      <c r="R9" s="1">
        <f>Datum!P9</f>
        <v>0</v>
      </c>
      <c r="S9" s="222"/>
      <c r="T9" s="20"/>
      <c r="U9" s="20"/>
      <c r="V9" s="20"/>
      <c r="W9" s="20"/>
      <c r="X9" s="20"/>
      <c r="Y9" s="20"/>
      <c r="Z9" s="20"/>
      <c r="AA9" s="20"/>
      <c r="AB9" s="20"/>
      <c r="AC9" s="20"/>
      <c r="AD9" s="20"/>
    </row>
    <row r="10" spans="1:30">
      <c r="A10" s="213"/>
      <c r="B10" s="206"/>
      <c r="C10" s="206"/>
      <c r="D10" s="206"/>
      <c r="E10" s="206"/>
      <c r="F10" s="206"/>
      <c r="G10" s="206"/>
      <c r="H10" s="206"/>
      <c r="I10" s="206"/>
      <c r="J10" s="206"/>
      <c r="K10" s="206"/>
      <c r="L10" s="206"/>
      <c r="M10" s="206"/>
      <c r="N10" s="206"/>
      <c r="O10" s="168"/>
      <c r="P10" s="206"/>
      <c r="Q10" s="206"/>
      <c r="R10" s="206"/>
      <c r="S10" s="222"/>
      <c r="T10" s="20"/>
      <c r="U10" s="20"/>
      <c r="V10" s="20"/>
      <c r="W10" s="20"/>
      <c r="X10" s="20"/>
      <c r="Y10" s="20"/>
      <c r="Z10" s="20"/>
      <c r="AA10" s="20"/>
      <c r="AB10" s="20"/>
      <c r="AC10" s="20"/>
      <c r="AD10" s="20"/>
    </row>
    <row r="11" spans="1:30">
      <c r="A11" s="213" t="s">
        <v>187</v>
      </c>
      <c r="B11" s="145">
        <f>Datum!J84</f>
        <v>0</v>
      </c>
      <c r="C11" s="207" t="s">
        <v>135</v>
      </c>
      <c r="D11" s="145">
        <f>Datum!L84</f>
        <v>0</v>
      </c>
      <c r="E11" s="206" t="s">
        <v>504</v>
      </c>
      <c r="F11" s="145">
        <f>Datum!N84</f>
        <v>0</v>
      </c>
      <c r="G11" s="207" t="s">
        <v>135</v>
      </c>
      <c r="H11" s="145">
        <f>Datum!P84</f>
        <v>0</v>
      </c>
      <c r="I11" s="206" t="s">
        <v>505</v>
      </c>
      <c r="J11" s="206" t="s">
        <v>187</v>
      </c>
      <c r="K11" s="206"/>
      <c r="L11" s="145">
        <f>Datum!J86</f>
        <v>0</v>
      </c>
      <c r="M11" s="207" t="s">
        <v>135</v>
      </c>
      <c r="N11" s="145">
        <f>Datum!L86</f>
        <v>0</v>
      </c>
      <c r="O11" s="206" t="s">
        <v>504</v>
      </c>
      <c r="P11" s="145">
        <f>Datum!N86</f>
        <v>0</v>
      </c>
      <c r="Q11" s="207" t="s">
        <v>135</v>
      </c>
      <c r="R11" s="145">
        <f>Datum!P86</f>
        <v>0</v>
      </c>
      <c r="S11" s="222" t="s">
        <v>505</v>
      </c>
      <c r="T11" s="20"/>
      <c r="U11" s="20"/>
      <c r="V11" s="20"/>
      <c r="W11" s="20"/>
      <c r="X11" s="20"/>
      <c r="Y11" s="20"/>
      <c r="Z11" s="20"/>
      <c r="AA11" s="20"/>
      <c r="AB11" s="20"/>
      <c r="AC11" s="20"/>
      <c r="AD11" s="20"/>
    </row>
    <row r="12" spans="1:30">
      <c r="A12" s="240" t="s">
        <v>188</v>
      </c>
      <c r="B12" s="398" t="s">
        <v>190</v>
      </c>
      <c r="C12" s="399"/>
      <c r="D12" s="168"/>
      <c r="E12" s="168"/>
      <c r="F12" s="238"/>
      <c r="G12" s="229" t="s">
        <v>191</v>
      </c>
      <c r="H12" s="168"/>
      <c r="I12" s="168"/>
      <c r="J12" s="229" t="s">
        <v>189</v>
      </c>
      <c r="K12" s="229"/>
      <c r="L12" s="229"/>
      <c r="M12" s="229" t="s">
        <v>190</v>
      </c>
      <c r="N12" s="229"/>
      <c r="O12" s="168"/>
      <c r="P12" s="398" t="s">
        <v>191</v>
      </c>
      <c r="Q12" s="399"/>
      <c r="R12" s="398"/>
      <c r="S12" s="244"/>
      <c r="T12" s="20"/>
      <c r="U12" s="20"/>
      <c r="V12" s="20"/>
      <c r="W12" s="20"/>
      <c r="X12" s="20"/>
      <c r="Y12" s="20"/>
      <c r="Z12" s="20"/>
      <c r="AA12" s="20"/>
      <c r="AB12" s="20"/>
      <c r="AC12" s="20"/>
      <c r="AD12" s="20"/>
    </row>
    <row r="13" spans="1:30">
      <c r="A13" s="193"/>
      <c r="B13" s="168"/>
      <c r="C13" s="168"/>
      <c r="D13" s="168"/>
      <c r="E13" s="168"/>
      <c r="F13" s="168"/>
      <c r="G13" s="168"/>
      <c r="H13" s="168"/>
      <c r="I13" s="168"/>
      <c r="J13" s="168"/>
      <c r="K13" s="168"/>
      <c r="L13" s="168"/>
      <c r="M13" s="168"/>
      <c r="N13" s="168"/>
      <c r="O13" s="168"/>
      <c r="P13" s="168"/>
      <c r="Q13" s="168"/>
      <c r="R13" s="168"/>
      <c r="S13" s="201"/>
      <c r="T13" s="20"/>
      <c r="U13" s="20"/>
      <c r="V13" s="20"/>
      <c r="W13" s="20"/>
      <c r="X13" s="20"/>
      <c r="Y13" s="20"/>
      <c r="Z13" s="20"/>
      <c r="AA13" s="20"/>
      <c r="AB13" s="20"/>
      <c r="AC13" s="20"/>
      <c r="AD13" s="20"/>
    </row>
    <row r="14" spans="1:30">
      <c r="A14" s="213" t="s">
        <v>6</v>
      </c>
      <c r="B14" s="168"/>
      <c r="C14" s="168"/>
      <c r="D14" s="372">
        <f>Datum!D11</f>
        <v>0</v>
      </c>
      <c r="E14" s="372"/>
      <c r="F14" s="372"/>
      <c r="G14" s="372"/>
      <c r="H14" s="372"/>
      <c r="I14" s="372"/>
      <c r="J14" s="249" t="s">
        <v>510</v>
      </c>
      <c r="K14" s="415">
        <f>Datum!J25</f>
        <v>0</v>
      </c>
      <c r="L14" s="415"/>
      <c r="M14" s="415"/>
      <c r="N14" s="168"/>
      <c r="O14" s="408" t="s">
        <v>509</v>
      </c>
      <c r="P14" s="408"/>
      <c r="Q14" s="177"/>
      <c r="R14" s="10"/>
      <c r="S14" s="222" t="s">
        <v>52</v>
      </c>
      <c r="T14" s="20"/>
      <c r="U14" s="20"/>
      <c r="V14" s="20"/>
      <c r="W14" s="20"/>
      <c r="X14" s="20"/>
      <c r="Y14" s="20"/>
      <c r="Z14" s="20"/>
      <c r="AA14" s="20"/>
      <c r="AB14" s="20"/>
      <c r="AC14" s="20"/>
      <c r="AD14" s="20"/>
    </row>
    <row r="15" spans="1:30" ht="13.8" thickBot="1">
      <c r="A15" s="193"/>
      <c r="B15" s="168"/>
      <c r="C15" s="168"/>
      <c r="D15" s="168"/>
      <c r="E15" s="168"/>
      <c r="F15" s="168"/>
      <c r="G15" s="168"/>
      <c r="H15" s="168"/>
      <c r="I15" s="168"/>
      <c r="J15" s="168"/>
      <c r="K15" s="168"/>
      <c r="L15" s="168"/>
      <c r="M15" s="168"/>
      <c r="N15" s="168"/>
      <c r="O15" s="168"/>
      <c r="P15" s="168"/>
      <c r="Q15" s="168"/>
      <c r="R15" s="168"/>
      <c r="S15" s="201"/>
      <c r="T15" s="20"/>
      <c r="U15" s="20"/>
      <c r="V15" s="20"/>
      <c r="W15" s="20"/>
      <c r="X15" s="20"/>
      <c r="Y15" s="20"/>
      <c r="Z15" s="20"/>
      <c r="AA15" s="20"/>
      <c r="AB15" s="20"/>
      <c r="AC15" s="20"/>
      <c r="AD15" s="20"/>
    </row>
    <row r="16" spans="1:30" ht="13.8" thickBot="1">
      <c r="A16" s="186" t="s">
        <v>239</v>
      </c>
      <c r="B16" s="189"/>
      <c r="C16" s="189"/>
      <c r="D16" s="189"/>
      <c r="E16" s="189"/>
      <c r="F16" s="189"/>
      <c r="G16" s="189"/>
      <c r="H16" s="190"/>
      <c r="I16" s="168"/>
      <c r="J16" s="168"/>
      <c r="K16" s="168"/>
      <c r="L16" s="168"/>
      <c r="M16" s="168"/>
      <c r="N16" s="168"/>
      <c r="O16" s="168"/>
      <c r="P16" s="168"/>
      <c r="Q16" s="168"/>
      <c r="R16" s="168"/>
      <c r="S16" s="201"/>
      <c r="T16" s="20"/>
      <c r="U16" s="20"/>
      <c r="V16" s="20"/>
      <c r="W16" s="20"/>
      <c r="X16" s="20"/>
      <c r="Y16" s="20"/>
      <c r="Z16" s="20"/>
      <c r="AA16" s="20"/>
      <c r="AB16" s="20"/>
      <c r="AC16" s="20"/>
      <c r="AD16" s="20"/>
    </row>
    <row r="17" spans="1:30">
      <c r="A17" s="193"/>
      <c r="B17" s="168"/>
      <c r="C17" s="168"/>
      <c r="D17" s="168"/>
      <c r="E17" s="168"/>
      <c r="F17" s="168"/>
      <c r="G17" s="168"/>
      <c r="H17" s="168"/>
      <c r="I17" s="168"/>
      <c r="J17" s="168"/>
      <c r="K17" s="168"/>
      <c r="L17" s="168"/>
      <c r="M17" s="168"/>
      <c r="N17" s="168"/>
      <c r="O17" s="168"/>
      <c r="P17" s="168"/>
      <c r="Q17" s="168"/>
      <c r="R17" s="168"/>
      <c r="S17" s="201"/>
      <c r="T17" s="20"/>
      <c r="U17" s="20"/>
      <c r="V17" s="20"/>
      <c r="W17" s="20"/>
      <c r="X17" s="20"/>
      <c r="Y17" s="20"/>
      <c r="Z17" s="20"/>
      <c r="AA17" s="20"/>
      <c r="AB17" s="20"/>
      <c r="AC17" s="20"/>
      <c r="AD17" s="20"/>
    </row>
    <row r="18" spans="1:30" ht="13.5" customHeight="1">
      <c r="A18" s="246">
        <v>1</v>
      </c>
      <c r="B18" s="170" t="s">
        <v>240</v>
      </c>
      <c r="C18" s="169"/>
      <c r="D18" s="169"/>
      <c r="E18" s="169"/>
      <c r="F18" s="169"/>
      <c r="G18" s="169"/>
      <c r="H18" s="169"/>
      <c r="I18" s="168"/>
      <c r="J18" s="168"/>
      <c r="K18" s="168"/>
      <c r="L18" s="168"/>
      <c r="M18" s="168"/>
      <c r="N18" s="168"/>
      <c r="O18" s="312">
        <f>IF(Ztd!N52&gt;4,IF(HTDMD!P37&lt;&gt;0,HTDMD!P37,Ztd!L49),Ztd!L49)</f>
        <v>0</v>
      </c>
      <c r="P18" s="312"/>
      <c r="Q18" s="168"/>
      <c r="R18" s="206" t="s">
        <v>52</v>
      </c>
      <c r="S18" s="201"/>
      <c r="T18" s="20"/>
      <c r="U18" s="20"/>
      <c r="V18" s="20"/>
      <c r="W18" s="20"/>
      <c r="X18" s="20"/>
      <c r="Y18" s="20"/>
      <c r="Z18" s="20"/>
      <c r="AA18" s="20"/>
      <c r="AB18" s="20"/>
      <c r="AC18" s="20"/>
      <c r="AD18" s="20"/>
    </row>
    <row r="19" spans="1:30">
      <c r="A19" s="194"/>
      <c r="B19" s="170" t="s">
        <v>241</v>
      </c>
      <c r="C19" s="169"/>
      <c r="D19" s="169"/>
      <c r="E19" s="169"/>
      <c r="F19" s="169"/>
      <c r="G19" s="169"/>
      <c r="H19" s="169"/>
      <c r="I19" s="168"/>
      <c r="J19" s="168"/>
      <c r="K19" s="168"/>
      <c r="L19" s="168"/>
      <c r="M19" s="168"/>
      <c r="N19" s="168"/>
      <c r="O19" s="168"/>
      <c r="P19" s="168"/>
      <c r="Q19" s="168"/>
      <c r="R19" s="168"/>
      <c r="S19" s="201"/>
      <c r="T19" s="20"/>
      <c r="U19" s="20"/>
      <c r="V19" s="20"/>
      <c r="W19" s="20"/>
      <c r="X19" s="20"/>
      <c r="Y19" s="20"/>
      <c r="Z19" s="20"/>
      <c r="AA19" s="20"/>
      <c r="AB19" s="20"/>
      <c r="AC19" s="20"/>
      <c r="AD19" s="20"/>
    </row>
    <row r="20" spans="1:30">
      <c r="A20" s="193"/>
      <c r="B20" s="184" t="s">
        <v>242</v>
      </c>
      <c r="C20" s="168"/>
      <c r="D20" s="168"/>
      <c r="E20" s="168"/>
      <c r="F20" s="168"/>
      <c r="G20" s="168"/>
      <c r="H20" s="168"/>
      <c r="I20" s="168"/>
      <c r="J20" s="177"/>
      <c r="K20" s="177"/>
      <c r="L20" s="177"/>
      <c r="M20" s="177"/>
      <c r="N20" s="177"/>
      <c r="O20" s="177"/>
      <c r="P20" s="177"/>
      <c r="Q20" s="177"/>
      <c r="R20" s="177"/>
      <c r="S20" s="201"/>
      <c r="T20" s="20"/>
      <c r="U20" s="20"/>
      <c r="V20" s="20"/>
      <c r="W20" s="20"/>
      <c r="X20" s="20"/>
      <c r="Y20" s="20"/>
      <c r="Z20" s="20"/>
      <c r="AA20" s="20"/>
      <c r="AB20" s="20"/>
      <c r="AC20" s="20"/>
      <c r="AD20" s="20"/>
    </row>
    <row r="21" spans="1:30">
      <c r="A21" s="196"/>
      <c r="B21" s="239" t="s">
        <v>243</v>
      </c>
      <c r="C21" s="170"/>
      <c r="D21" s="170"/>
      <c r="E21" s="170"/>
      <c r="F21" s="170"/>
      <c r="G21" s="170"/>
      <c r="H21" s="170"/>
      <c r="I21" s="170"/>
      <c r="J21" s="170"/>
      <c r="K21" s="170"/>
      <c r="L21" s="170"/>
      <c r="M21" s="170"/>
      <c r="N21" s="170"/>
      <c r="O21" s="170"/>
      <c r="P21" s="229"/>
      <c r="Q21" s="229"/>
      <c r="R21" s="170"/>
      <c r="S21" s="201"/>
      <c r="T21" s="20"/>
      <c r="U21" s="20"/>
      <c r="V21" s="20"/>
      <c r="W21" s="20"/>
      <c r="X21" s="20"/>
      <c r="Y21" s="20"/>
      <c r="Z21" s="20"/>
      <c r="AA21" s="20"/>
      <c r="AB21" s="20"/>
      <c r="AC21" s="20"/>
      <c r="AD21" s="20"/>
    </row>
    <row r="22" spans="1:30">
      <c r="A22" s="196"/>
      <c r="B22" s="239"/>
      <c r="C22" s="170"/>
      <c r="D22" s="170"/>
      <c r="E22" s="170"/>
      <c r="F22" s="170"/>
      <c r="G22" s="170"/>
      <c r="H22" s="170"/>
      <c r="I22" s="170"/>
      <c r="J22" s="170"/>
      <c r="K22" s="170"/>
      <c r="L22" s="170"/>
      <c r="M22" s="170"/>
      <c r="N22" s="170"/>
      <c r="O22" s="170"/>
      <c r="P22" s="229"/>
      <c r="Q22" s="229"/>
      <c r="R22" s="170"/>
      <c r="S22" s="201"/>
      <c r="T22" s="20"/>
      <c r="U22" s="20"/>
      <c r="V22" s="20"/>
      <c r="W22" s="20"/>
      <c r="X22" s="20"/>
      <c r="Y22" s="20"/>
      <c r="Z22" s="20"/>
      <c r="AA22" s="20"/>
      <c r="AB22" s="20"/>
      <c r="AC22" s="20"/>
      <c r="AD22" s="20"/>
    </row>
    <row r="23" spans="1:30">
      <c r="A23" s="196">
        <v>2</v>
      </c>
      <c r="B23" s="170" t="s">
        <v>244</v>
      </c>
      <c r="C23" s="170"/>
      <c r="D23" s="170"/>
      <c r="E23" s="170"/>
      <c r="F23" s="170"/>
      <c r="G23" s="170"/>
      <c r="H23" s="170"/>
      <c r="I23" s="170"/>
      <c r="J23" s="170"/>
      <c r="K23" s="170"/>
      <c r="L23" s="170"/>
      <c r="M23" s="170"/>
      <c r="N23" s="170"/>
      <c r="O23" s="168"/>
      <c r="P23" s="168"/>
      <c r="Q23" s="168"/>
      <c r="R23" s="168"/>
      <c r="S23" s="201"/>
      <c r="T23" s="20"/>
      <c r="U23" s="20"/>
      <c r="V23" s="20"/>
      <c r="W23" s="20"/>
      <c r="X23" s="20"/>
      <c r="Y23" s="20"/>
      <c r="Z23" s="20"/>
      <c r="AA23" s="20"/>
      <c r="AB23" s="20"/>
      <c r="AC23" s="20"/>
      <c r="AD23" s="20"/>
    </row>
    <row r="24" spans="1:30">
      <c r="A24" s="196"/>
      <c r="B24" s="170"/>
      <c r="C24" s="170"/>
      <c r="D24" s="170"/>
      <c r="E24" s="170"/>
      <c r="F24" s="170"/>
      <c r="G24" s="170"/>
      <c r="H24" s="170"/>
      <c r="I24" s="170"/>
      <c r="J24" s="170"/>
      <c r="K24" s="170"/>
      <c r="L24" s="170"/>
      <c r="M24" s="170"/>
      <c r="N24" s="170"/>
      <c r="O24" s="170"/>
      <c r="P24" s="229"/>
      <c r="Q24" s="229"/>
      <c r="R24" s="170"/>
      <c r="S24" s="201"/>
      <c r="T24" s="20"/>
      <c r="U24" s="20"/>
      <c r="V24" s="20"/>
      <c r="W24" s="20"/>
      <c r="X24" s="20"/>
      <c r="Y24" s="20"/>
      <c r="Z24" s="20"/>
      <c r="AA24" s="20"/>
      <c r="AB24" s="20"/>
      <c r="AC24" s="20"/>
      <c r="AD24" s="20"/>
    </row>
    <row r="25" spans="1:30">
      <c r="A25" s="196"/>
      <c r="B25" s="170" t="s">
        <v>105</v>
      </c>
      <c r="C25" s="170" t="s">
        <v>181</v>
      </c>
      <c r="D25" s="170"/>
      <c r="E25" s="170"/>
      <c r="F25" s="170"/>
      <c r="G25" s="170"/>
      <c r="H25" s="170"/>
      <c r="I25" s="170"/>
      <c r="J25" s="170"/>
      <c r="K25" s="170"/>
      <c r="L25" s="170"/>
      <c r="M25" s="170"/>
      <c r="N25" s="170"/>
      <c r="O25" s="312">
        <f>E!L61</f>
        <v>0</v>
      </c>
      <c r="P25" s="312"/>
      <c r="Q25" s="168"/>
      <c r="R25" s="206" t="s">
        <v>52</v>
      </c>
      <c r="S25" s="201"/>
      <c r="T25" s="20"/>
      <c r="U25" s="20"/>
      <c r="V25" s="20"/>
      <c r="W25" s="20"/>
      <c r="X25" s="20"/>
      <c r="Y25" s="20"/>
      <c r="Z25" s="20"/>
      <c r="AA25" s="20"/>
      <c r="AB25" s="20"/>
      <c r="AC25" s="20"/>
      <c r="AD25" s="20"/>
    </row>
    <row r="26" spans="1:30">
      <c r="A26" s="196"/>
      <c r="B26" s="171"/>
      <c r="C26" s="170"/>
      <c r="D26" s="170"/>
      <c r="E26" s="170"/>
      <c r="F26" s="170"/>
      <c r="G26" s="170"/>
      <c r="H26" s="170"/>
      <c r="I26" s="170"/>
      <c r="J26" s="170"/>
      <c r="K26" s="170"/>
      <c r="L26" s="170"/>
      <c r="M26" s="170"/>
      <c r="N26" s="170"/>
      <c r="O26" s="168"/>
      <c r="P26" s="168"/>
      <c r="Q26" s="168"/>
      <c r="R26" s="206"/>
      <c r="S26" s="201"/>
      <c r="T26" s="88" t="s">
        <v>322</v>
      </c>
      <c r="U26" s="20"/>
      <c r="V26" s="20"/>
      <c r="W26" s="20"/>
      <c r="X26" s="20"/>
      <c r="Y26" s="20"/>
      <c r="Z26" s="20"/>
      <c r="AA26" s="20"/>
      <c r="AB26" s="20"/>
      <c r="AC26" s="20"/>
      <c r="AD26" s="20"/>
    </row>
    <row r="27" spans="1:30">
      <c r="A27" s="196"/>
      <c r="B27" s="170" t="s">
        <v>107</v>
      </c>
      <c r="C27" s="170" t="s">
        <v>245</v>
      </c>
      <c r="D27" s="170"/>
      <c r="E27" s="170"/>
      <c r="F27" s="170"/>
      <c r="G27" s="170"/>
      <c r="H27" s="170"/>
      <c r="I27" s="170"/>
      <c r="J27" s="170"/>
      <c r="K27" s="170"/>
      <c r="L27" s="170"/>
      <c r="M27" s="170"/>
      <c r="N27" s="170"/>
      <c r="O27" s="312">
        <f>IF(Ztd!N52&gt;4,HTDMD!P48,R14)</f>
        <v>0</v>
      </c>
      <c r="P27" s="312"/>
      <c r="Q27" s="168"/>
      <c r="R27" s="206" t="s">
        <v>52</v>
      </c>
      <c r="S27" s="201"/>
      <c r="T27" s="20"/>
      <c r="U27" s="414"/>
      <c r="V27" s="414"/>
      <c r="W27" s="28" t="s">
        <v>323</v>
      </c>
      <c r="X27" s="20"/>
      <c r="Y27" s="20"/>
      <c r="Z27" s="20"/>
      <c r="AA27" s="20"/>
      <c r="AB27" s="20"/>
      <c r="AC27" s="20"/>
      <c r="AD27" s="20"/>
    </row>
    <row r="28" spans="1:30">
      <c r="A28" s="196"/>
      <c r="B28" s="171"/>
      <c r="C28" s="170"/>
      <c r="D28" s="170"/>
      <c r="E28" s="170"/>
      <c r="F28" s="170"/>
      <c r="G28" s="170"/>
      <c r="H28" s="170"/>
      <c r="I28" s="170"/>
      <c r="J28" s="170"/>
      <c r="K28" s="170"/>
      <c r="L28" s="170"/>
      <c r="M28" s="170"/>
      <c r="N28" s="170"/>
      <c r="O28" s="170"/>
      <c r="P28" s="229"/>
      <c r="Q28" s="229"/>
      <c r="R28" s="170"/>
      <c r="S28" s="201"/>
      <c r="T28" s="20"/>
      <c r="U28" s="414"/>
      <c r="V28" s="414"/>
      <c r="W28" s="28" t="s">
        <v>324</v>
      </c>
      <c r="X28" s="20"/>
      <c r="Y28" s="20"/>
      <c r="Z28" s="20"/>
      <c r="AA28" s="20"/>
      <c r="AB28" s="20"/>
      <c r="AC28" s="20"/>
      <c r="AD28" s="20"/>
    </row>
    <row r="29" spans="1:30">
      <c r="A29" s="196"/>
      <c r="B29" s="170" t="s">
        <v>109</v>
      </c>
      <c r="C29" s="170" t="s">
        <v>246</v>
      </c>
      <c r="D29" s="170"/>
      <c r="E29" s="170"/>
      <c r="F29" s="170"/>
      <c r="G29" s="170"/>
      <c r="H29" s="170"/>
      <c r="I29" s="170"/>
      <c r="J29" s="170"/>
      <c r="K29" s="170"/>
      <c r="L29" s="170"/>
      <c r="M29" s="170"/>
      <c r="N29" s="170"/>
      <c r="O29" s="403">
        <f>IF(HTDMD!P28&lt;&gt;0,E!L58,IF(R14&lt;&gt;0,O25*O27,IF(O27=0,E!L58,O25*O27)))</f>
        <v>0</v>
      </c>
      <c r="P29" s="403"/>
      <c r="Q29" s="170"/>
      <c r="R29" s="170"/>
      <c r="S29" s="201"/>
      <c r="T29" s="20"/>
      <c r="U29" s="414"/>
      <c r="V29" s="414"/>
      <c r="W29" s="28" t="s">
        <v>325</v>
      </c>
      <c r="X29" s="20"/>
      <c r="Y29" s="20"/>
      <c r="Z29" s="20"/>
      <c r="AA29" s="20"/>
      <c r="AB29" s="20"/>
      <c r="AC29" s="20"/>
      <c r="AD29" s="20"/>
    </row>
    <row r="30" spans="1:30">
      <c r="A30" s="196"/>
      <c r="B30" s="170"/>
      <c r="C30" s="184"/>
      <c r="D30" s="170"/>
      <c r="E30" s="170"/>
      <c r="F30" s="170"/>
      <c r="G30" s="170"/>
      <c r="H30" s="170"/>
      <c r="I30" s="170"/>
      <c r="J30" s="170"/>
      <c r="K30" s="170"/>
      <c r="L30" s="170"/>
      <c r="M30" s="170"/>
      <c r="N30" s="170"/>
      <c r="O30" s="170"/>
      <c r="P30" s="229"/>
      <c r="Q30" s="229"/>
      <c r="R30" s="170"/>
      <c r="S30" s="201"/>
      <c r="T30" s="20"/>
      <c r="U30" s="414"/>
      <c r="V30" s="414"/>
      <c r="W30" s="28" t="s">
        <v>326</v>
      </c>
      <c r="X30" s="20"/>
      <c r="Y30" s="20"/>
      <c r="Z30" s="20"/>
      <c r="AA30" s="20"/>
      <c r="AB30" s="20"/>
      <c r="AC30" s="20"/>
      <c r="AD30" s="20"/>
    </row>
    <row r="31" spans="1:30">
      <c r="A31" s="196">
        <v>3</v>
      </c>
      <c r="B31" s="170" t="s">
        <v>247</v>
      </c>
      <c r="C31" s="170"/>
      <c r="D31" s="170"/>
      <c r="E31" s="170"/>
      <c r="F31" s="170"/>
      <c r="G31" s="170"/>
      <c r="H31" s="170"/>
      <c r="I31" s="170"/>
      <c r="J31" s="170"/>
      <c r="K31" s="170"/>
      <c r="L31" s="170"/>
      <c r="M31" s="170"/>
      <c r="N31" s="170"/>
      <c r="O31" s="312">
        <f>IFERROR((ROUND(IF(Ztd!N52&gt;4,O18/O29,Ztd!L49/HTAE!O29),2)),0)</f>
        <v>0</v>
      </c>
      <c r="P31" s="312"/>
      <c r="Q31" s="170"/>
      <c r="R31" s="170"/>
      <c r="S31" s="201"/>
      <c r="T31" s="20"/>
      <c r="U31" s="414"/>
      <c r="V31" s="414"/>
      <c r="W31" s="28" t="s">
        <v>327</v>
      </c>
      <c r="X31" s="20"/>
      <c r="Y31" s="20"/>
      <c r="Z31" s="20"/>
      <c r="AA31" s="20"/>
      <c r="AB31" s="20"/>
      <c r="AC31" s="20"/>
      <c r="AD31" s="20"/>
    </row>
    <row r="32" spans="1:30">
      <c r="A32" s="196"/>
      <c r="B32" s="171"/>
      <c r="C32" s="170"/>
      <c r="D32" s="170"/>
      <c r="E32" s="170"/>
      <c r="F32" s="170"/>
      <c r="G32" s="170"/>
      <c r="H32" s="170"/>
      <c r="I32" s="170"/>
      <c r="J32" s="170"/>
      <c r="K32" s="170"/>
      <c r="L32" s="170"/>
      <c r="M32" s="170"/>
      <c r="N32" s="170"/>
      <c r="O32" s="170"/>
      <c r="P32" s="229"/>
      <c r="Q32" s="229"/>
      <c r="R32" s="170"/>
      <c r="S32" s="201"/>
      <c r="T32" s="20"/>
      <c r="U32" s="414"/>
      <c r="V32" s="414"/>
      <c r="W32" s="28" t="s">
        <v>328</v>
      </c>
      <c r="X32" s="20"/>
      <c r="Y32" s="20"/>
      <c r="Z32" s="20"/>
      <c r="AA32" s="20"/>
      <c r="AB32" s="20"/>
      <c r="AC32" s="20"/>
      <c r="AD32" s="20"/>
    </row>
    <row r="33" spans="1:30">
      <c r="A33" s="196">
        <v>4</v>
      </c>
      <c r="B33" s="170" t="s">
        <v>248</v>
      </c>
      <c r="C33" s="170"/>
      <c r="D33" s="170"/>
      <c r="E33" s="170"/>
      <c r="F33" s="170"/>
      <c r="G33" s="170"/>
      <c r="H33" s="170"/>
      <c r="I33" s="170"/>
      <c r="J33" s="170"/>
      <c r="K33" s="170"/>
      <c r="L33" s="170"/>
      <c r="M33" s="170"/>
      <c r="N33" s="170"/>
      <c r="O33" s="312">
        <f>O31+SUM(U27:V38)</f>
        <v>0</v>
      </c>
      <c r="P33" s="312"/>
      <c r="Q33" s="170"/>
      <c r="R33" s="170"/>
      <c r="S33" s="201"/>
      <c r="T33" s="20"/>
      <c r="U33" s="414"/>
      <c r="V33" s="414"/>
      <c r="W33" s="28" t="s">
        <v>329</v>
      </c>
      <c r="X33" s="20"/>
      <c r="Y33" s="20"/>
      <c r="Z33" s="20"/>
      <c r="AA33" s="20"/>
      <c r="AB33" s="20"/>
      <c r="AC33" s="20"/>
      <c r="AD33" s="20"/>
    </row>
    <row r="34" spans="1:30">
      <c r="A34" s="196"/>
      <c r="B34" s="171"/>
      <c r="C34" s="170"/>
      <c r="D34" s="170"/>
      <c r="E34" s="170"/>
      <c r="F34" s="170"/>
      <c r="G34" s="170"/>
      <c r="H34" s="170"/>
      <c r="I34" s="170"/>
      <c r="J34" s="170"/>
      <c r="K34" s="170"/>
      <c r="L34" s="170"/>
      <c r="M34" s="170"/>
      <c r="N34" s="170"/>
      <c r="O34" s="170"/>
      <c r="P34" s="170"/>
      <c r="Q34" s="170"/>
      <c r="R34" s="170"/>
      <c r="S34" s="201"/>
      <c r="T34" s="20"/>
      <c r="U34" s="414"/>
      <c r="V34" s="414"/>
      <c r="W34" s="28" t="s">
        <v>330</v>
      </c>
      <c r="X34" s="20"/>
      <c r="Y34" s="20"/>
      <c r="Z34" s="20"/>
      <c r="AA34" s="20"/>
      <c r="AB34" s="20"/>
      <c r="AC34" s="20"/>
      <c r="AD34" s="20"/>
    </row>
    <row r="35" spans="1:30">
      <c r="A35" s="196">
        <v>5</v>
      </c>
      <c r="B35" s="170" t="s">
        <v>249</v>
      </c>
      <c r="C35" s="170"/>
      <c r="D35" s="170"/>
      <c r="E35" s="170"/>
      <c r="F35" s="170"/>
      <c r="G35" s="170"/>
      <c r="H35" s="170"/>
      <c r="I35" s="229" t="s">
        <v>251</v>
      </c>
      <c r="J35" s="10"/>
      <c r="K35" s="170"/>
      <c r="L35" s="249" t="s">
        <v>252</v>
      </c>
      <c r="M35" s="249"/>
      <c r="N35" s="8"/>
      <c r="O35" s="170"/>
      <c r="P35" s="249" t="s">
        <v>250</v>
      </c>
      <c r="Q35" s="229"/>
      <c r="R35" s="10"/>
      <c r="S35" s="201"/>
      <c r="T35" s="20"/>
      <c r="U35" s="414"/>
      <c r="V35" s="414"/>
      <c r="W35" s="28" t="s">
        <v>331</v>
      </c>
      <c r="X35" s="20"/>
      <c r="Y35" s="20"/>
      <c r="Z35" s="20"/>
      <c r="AA35" s="20"/>
      <c r="AB35" s="20"/>
      <c r="AC35" s="20"/>
      <c r="AD35" s="20"/>
    </row>
    <row r="36" spans="1:30">
      <c r="A36" s="241"/>
      <c r="B36" s="184"/>
      <c r="C36" s="170"/>
      <c r="D36" s="170"/>
      <c r="E36" s="170"/>
      <c r="F36" s="170"/>
      <c r="G36" s="170"/>
      <c r="H36" s="170"/>
      <c r="I36" s="170"/>
      <c r="J36" s="170"/>
      <c r="K36" s="170"/>
      <c r="L36" s="170"/>
      <c r="M36" s="170"/>
      <c r="N36" s="170"/>
      <c r="O36" s="170"/>
      <c r="P36" s="170"/>
      <c r="Q36" s="170"/>
      <c r="R36" s="170"/>
      <c r="S36" s="201"/>
      <c r="T36" s="20"/>
      <c r="U36" s="414"/>
      <c r="V36" s="414"/>
      <c r="W36" s="28" t="s">
        <v>332</v>
      </c>
      <c r="X36" s="20"/>
      <c r="Y36" s="20"/>
      <c r="Z36" s="20"/>
      <c r="AA36" s="20"/>
      <c r="AB36" s="20"/>
      <c r="AC36" s="20"/>
      <c r="AD36" s="20"/>
    </row>
    <row r="37" spans="1:30">
      <c r="A37" s="196">
        <v>6</v>
      </c>
      <c r="B37" s="170" t="s">
        <v>253</v>
      </c>
      <c r="C37" s="170"/>
      <c r="D37" s="170"/>
      <c r="E37" s="170"/>
      <c r="F37" s="170"/>
      <c r="G37" s="170"/>
      <c r="H37" s="170"/>
      <c r="I37" s="170"/>
      <c r="J37" s="170"/>
      <c r="K37" s="170"/>
      <c r="L37" s="170"/>
      <c r="M37" s="170"/>
      <c r="N37" s="170"/>
      <c r="O37" s="312">
        <f>ROUND(R35*O25,2)</f>
        <v>0</v>
      </c>
      <c r="P37" s="312"/>
      <c r="Q37" s="168"/>
      <c r="R37" s="206" t="s">
        <v>52</v>
      </c>
      <c r="S37" s="201"/>
      <c r="T37" s="20"/>
      <c r="U37" s="414"/>
      <c r="V37" s="414"/>
      <c r="W37" s="28" t="s">
        <v>333</v>
      </c>
      <c r="X37" s="20"/>
      <c r="Y37" s="20"/>
      <c r="Z37" s="20"/>
      <c r="AA37" s="20"/>
      <c r="AB37" s="20"/>
      <c r="AC37" s="20"/>
      <c r="AD37" s="20"/>
    </row>
    <row r="38" spans="1:30">
      <c r="A38" s="196"/>
      <c r="B38" s="170"/>
      <c r="C38" s="170"/>
      <c r="D38" s="170"/>
      <c r="E38" s="170"/>
      <c r="F38" s="170"/>
      <c r="G38" s="170"/>
      <c r="H38" s="170"/>
      <c r="I38" s="170"/>
      <c r="J38" s="170"/>
      <c r="K38" s="170"/>
      <c r="L38" s="170"/>
      <c r="M38" s="170"/>
      <c r="N38" s="170"/>
      <c r="O38" s="170"/>
      <c r="P38" s="170"/>
      <c r="Q38" s="170"/>
      <c r="R38" s="170"/>
      <c r="S38" s="201"/>
      <c r="T38" s="20"/>
      <c r="U38" s="414"/>
      <c r="V38" s="414"/>
      <c r="W38" s="28" t="s">
        <v>334</v>
      </c>
      <c r="X38" s="20"/>
      <c r="Y38" s="20"/>
      <c r="Z38" s="20"/>
      <c r="AA38" s="20"/>
      <c r="AB38" s="20"/>
      <c r="AC38" s="20"/>
      <c r="AD38" s="20"/>
    </row>
    <row r="39" spans="1:30">
      <c r="A39" s="196">
        <v>7</v>
      </c>
      <c r="B39" s="171" t="s">
        <v>254</v>
      </c>
      <c r="C39" s="170"/>
      <c r="D39" s="170"/>
      <c r="E39" s="170"/>
      <c r="F39" s="405" t="s">
        <v>335</v>
      </c>
      <c r="G39" s="405"/>
      <c r="H39" s="8"/>
      <c r="I39" s="170"/>
      <c r="J39" s="170"/>
      <c r="K39" s="170"/>
      <c r="L39" s="170"/>
      <c r="M39" s="170"/>
      <c r="N39" s="170"/>
      <c r="O39" s="362">
        <f>ROUND(IF(H39="a",U41,IF(H39="B",U43,U45)),1)</f>
        <v>0</v>
      </c>
      <c r="P39" s="362"/>
      <c r="Q39" s="168"/>
      <c r="R39" s="206" t="s">
        <v>184</v>
      </c>
      <c r="S39" s="201"/>
      <c r="T39" s="20"/>
      <c r="U39" s="20"/>
      <c r="V39" s="20"/>
      <c r="W39" s="20"/>
      <c r="X39" s="20"/>
      <c r="Y39" s="20"/>
      <c r="Z39" s="20"/>
      <c r="AA39" s="20"/>
      <c r="AB39" s="20"/>
      <c r="AC39" s="20"/>
      <c r="AD39" s="20"/>
    </row>
    <row r="40" spans="1:30">
      <c r="A40" s="196"/>
      <c r="B40" s="170"/>
      <c r="C40" s="170"/>
      <c r="D40" s="170"/>
      <c r="E40" s="170"/>
      <c r="F40" s="170"/>
      <c r="G40" s="170"/>
      <c r="H40" s="170"/>
      <c r="I40" s="170"/>
      <c r="J40" s="170"/>
      <c r="K40" s="170"/>
      <c r="L40" s="170"/>
      <c r="M40" s="170"/>
      <c r="N40" s="170"/>
      <c r="O40" s="168"/>
      <c r="P40" s="168"/>
      <c r="Q40" s="168"/>
      <c r="R40" s="206"/>
      <c r="S40" s="201"/>
      <c r="T40" s="20"/>
      <c r="U40" s="20"/>
      <c r="V40" s="20"/>
      <c r="W40" s="20"/>
      <c r="X40" s="20"/>
      <c r="Y40" s="20"/>
      <c r="Z40" s="20"/>
      <c r="AA40" s="20"/>
      <c r="AB40" s="20"/>
      <c r="AC40" s="20"/>
      <c r="AD40" s="20"/>
    </row>
    <row r="41" spans="1:30">
      <c r="A41" s="196"/>
      <c r="B41" s="170" t="s">
        <v>105</v>
      </c>
      <c r="C41" s="170" t="s">
        <v>255</v>
      </c>
      <c r="D41" s="170"/>
      <c r="E41" s="170"/>
      <c r="F41" s="170"/>
      <c r="G41" s="170"/>
      <c r="H41" s="170"/>
      <c r="I41" s="170"/>
      <c r="J41" s="170"/>
      <c r="K41" s="170"/>
      <c r="L41" s="170"/>
      <c r="M41" s="170"/>
      <c r="N41" s="170"/>
      <c r="O41" s="402"/>
      <c r="P41" s="402"/>
      <c r="Q41" s="168"/>
      <c r="R41" s="206"/>
      <c r="S41" s="201"/>
      <c r="T41" s="20"/>
      <c r="U41" s="152">
        <f>4*O37^2</f>
        <v>0</v>
      </c>
      <c r="V41" s="20"/>
      <c r="W41" s="20"/>
      <c r="X41" s="20"/>
      <c r="Y41" s="20"/>
      <c r="Z41" s="20"/>
      <c r="AA41" s="20"/>
      <c r="AB41" s="20"/>
      <c r="AC41" s="20"/>
      <c r="AD41" s="20"/>
    </row>
    <row r="42" spans="1:30">
      <c r="A42" s="196"/>
      <c r="B42" s="171"/>
      <c r="C42" s="170"/>
      <c r="D42" s="170"/>
      <c r="E42" s="170"/>
      <c r="F42" s="170"/>
      <c r="G42" s="170"/>
      <c r="H42" s="170"/>
      <c r="I42" s="170"/>
      <c r="J42" s="170"/>
      <c r="K42" s="170"/>
      <c r="L42" s="170"/>
      <c r="M42" s="170"/>
      <c r="N42" s="170"/>
      <c r="O42" s="170"/>
      <c r="P42" s="229"/>
      <c r="Q42" s="229"/>
      <c r="R42" s="170"/>
      <c r="S42" s="201"/>
      <c r="T42" s="20"/>
      <c r="U42" s="25"/>
      <c r="V42" s="20"/>
      <c r="W42" s="20"/>
      <c r="X42" s="20"/>
      <c r="Y42" s="20"/>
      <c r="Z42" s="20"/>
      <c r="AA42" s="20"/>
      <c r="AB42" s="20"/>
      <c r="AC42" s="20"/>
      <c r="AD42" s="20"/>
    </row>
    <row r="43" spans="1:30">
      <c r="A43" s="241"/>
      <c r="B43" s="170" t="s">
        <v>107</v>
      </c>
      <c r="C43" s="170" t="s">
        <v>256</v>
      </c>
      <c r="D43" s="170"/>
      <c r="E43" s="170"/>
      <c r="F43" s="170"/>
      <c r="G43" s="170"/>
      <c r="H43" s="170"/>
      <c r="I43" s="170"/>
      <c r="J43" s="170"/>
      <c r="K43" s="170"/>
      <c r="L43" s="170"/>
      <c r="M43" s="170"/>
      <c r="N43" s="170"/>
      <c r="O43" s="402"/>
      <c r="P43" s="402"/>
      <c r="Q43" s="168"/>
      <c r="R43" s="206"/>
      <c r="S43" s="201"/>
      <c r="T43" s="20"/>
      <c r="U43" s="25">
        <f>(4*O37^2)+(2*O37*Datum!N89)</f>
        <v>0</v>
      </c>
      <c r="V43" s="20"/>
      <c r="W43" s="20"/>
      <c r="X43" s="20"/>
      <c r="Y43" s="20"/>
      <c r="Z43" s="20"/>
      <c r="AA43" s="20"/>
      <c r="AB43" s="20"/>
      <c r="AC43" s="20"/>
      <c r="AD43" s="20"/>
    </row>
    <row r="44" spans="1:30">
      <c r="A44" s="196"/>
      <c r="B44" s="171"/>
      <c r="C44" s="170"/>
      <c r="D44" s="170"/>
      <c r="E44" s="170"/>
      <c r="F44" s="170"/>
      <c r="G44" s="170"/>
      <c r="H44" s="170"/>
      <c r="I44" s="170"/>
      <c r="J44" s="170"/>
      <c r="K44" s="170"/>
      <c r="L44" s="170"/>
      <c r="M44" s="170"/>
      <c r="N44" s="170"/>
      <c r="O44" s="170"/>
      <c r="P44" s="170"/>
      <c r="Q44" s="170"/>
      <c r="R44" s="170"/>
      <c r="S44" s="201"/>
      <c r="T44" s="20"/>
      <c r="U44" s="25"/>
      <c r="V44" s="20"/>
      <c r="W44" s="20"/>
      <c r="X44" s="20"/>
      <c r="Y44" s="20"/>
      <c r="Z44" s="20"/>
      <c r="AA44" s="20"/>
      <c r="AB44" s="20"/>
      <c r="AC44" s="20"/>
      <c r="AD44" s="20"/>
    </row>
    <row r="45" spans="1:30">
      <c r="A45" s="196"/>
      <c r="B45" s="170" t="s">
        <v>109</v>
      </c>
      <c r="C45" s="206" t="s">
        <v>257</v>
      </c>
      <c r="D45" s="170"/>
      <c r="E45" s="170"/>
      <c r="F45" s="170"/>
      <c r="G45" s="170"/>
      <c r="H45" s="170"/>
      <c r="I45" s="170"/>
      <c r="J45" s="170"/>
      <c r="K45" s="170"/>
      <c r="L45" s="170"/>
      <c r="M45" s="170"/>
      <c r="N45" s="170"/>
      <c r="O45" s="402"/>
      <c r="P45" s="402"/>
      <c r="Q45" s="168"/>
      <c r="R45" s="206"/>
      <c r="S45" s="201"/>
      <c r="T45" s="20"/>
      <c r="U45" s="25">
        <f>2*O37*O27</f>
        <v>0</v>
      </c>
      <c r="V45" s="20"/>
      <c r="W45" s="20"/>
      <c r="X45" s="20"/>
      <c r="Y45" s="20"/>
      <c r="Z45" s="20"/>
      <c r="AA45" s="20"/>
      <c r="AB45" s="20"/>
      <c r="AC45" s="20"/>
      <c r="AD45" s="20"/>
    </row>
    <row r="46" spans="1:30">
      <c r="A46" s="196"/>
      <c r="B46" s="171"/>
      <c r="C46" s="170"/>
      <c r="D46" s="170"/>
      <c r="E46" s="170"/>
      <c r="F46" s="170"/>
      <c r="G46" s="170"/>
      <c r="H46" s="170"/>
      <c r="I46" s="170"/>
      <c r="J46" s="170"/>
      <c r="K46" s="170"/>
      <c r="L46" s="229"/>
      <c r="M46" s="229"/>
      <c r="N46" s="229"/>
      <c r="O46" s="170"/>
      <c r="P46" s="170"/>
      <c r="Q46" s="170"/>
      <c r="R46" s="170"/>
      <c r="S46" s="201"/>
      <c r="T46" s="20"/>
      <c r="U46" s="25"/>
      <c r="V46" s="20"/>
      <c r="W46" s="20"/>
      <c r="X46" s="20"/>
      <c r="Y46" s="20"/>
      <c r="Z46" s="20"/>
      <c r="AA46" s="20"/>
      <c r="AB46" s="20"/>
      <c r="AC46" s="20"/>
      <c r="AD46" s="20"/>
    </row>
    <row r="47" spans="1:30">
      <c r="A47" s="196">
        <v>8</v>
      </c>
      <c r="B47" s="170" t="s">
        <v>511</v>
      </c>
      <c r="C47" s="170"/>
      <c r="D47" s="170"/>
      <c r="E47" s="170"/>
      <c r="F47" s="170"/>
      <c r="G47" s="170"/>
      <c r="H47" s="170"/>
      <c r="I47" s="170"/>
      <c r="J47" s="170"/>
      <c r="K47" s="170"/>
      <c r="L47" s="170"/>
      <c r="M47" s="170"/>
      <c r="N47" s="170"/>
      <c r="O47" s="312">
        <f>IFERROR((ROUND(O18/O39,1)),0)</f>
        <v>0</v>
      </c>
      <c r="P47" s="312"/>
      <c r="Q47" s="229"/>
      <c r="R47" s="170"/>
      <c r="S47" s="201"/>
      <c r="T47" s="20"/>
      <c r="U47" s="25"/>
      <c r="V47" s="20"/>
      <c r="W47" s="20"/>
      <c r="X47" s="20"/>
      <c r="Y47" s="20"/>
      <c r="Z47" s="20"/>
      <c r="AA47" s="20"/>
      <c r="AB47" s="20"/>
      <c r="AC47" s="20"/>
      <c r="AD47" s="20"/>
    </row>
    <row r="48" spans="1:30">
      <c r="A48" s="196"/>
      <c r="B48" s="171"/>
      <c r="C48" s="170"/>
      <c r="D48" s="170"/>
      <c r="E48" s="170"/>
      <c r="F48" s="170"/>
      <c r="G48" s="170"/>
      <c r="H48" s="170"/>
      <c r="I48" s="170"/>
      <c r="J48" s="170"/>
      <c r="K48" s="170"/>
      <c r="L48" s="170"/>
      <c r="M48" s="170"/>
      <c r="N48" s="170"/>
      <c r="O48" s="170"/>
      <c r="P48" s="170"/>
      <c r="Q48" s="170"/>
      <c r="R48" s="170"/>
      <c r="S48" s="201"/>
      <c r="T48" s="20"/>
      <c r="U48" s="25"/>
      <c r="V48" s="20"/>
      <c r="W48" s="20"/>
      <c r="X48" s="20"/>
      <c r="Y48" s="20"/>
      <c r="Z48" s="20"/>
      <c r="AA48" s="20"/>
      <c r="AB48" s="20"/>
      <c r="AC48" s="20"/>
      <c r="AD48" s="20"/>
    </row>
    <row r="49" spans="1:30">
      <c r="A49" s="196"/>
      <c r="B49" s="170"/>
      <c r="C49" s="170"/>
      <c r="D49" s="170"/>
      <c r="E49" s="170"/>
      <c r="F49" s="170"/>
      <c r="G49" s="170"/>
      <c r="H49" s="170"/>
      <c r="I49" s="170"/>
      <c r="J49" s="229">
        <v>1</v>
      </c>
      <c r="K49" s="229"/>
      <c r="L49" s="229">
        <v>2</v>
      </c>
      <c r="M49" s="229"/>
      <c r="N49" s="229">
        <v>3</v>
      </c>
      <c r="O49" s="170"/>
      <c r="P49" s="229">
        <v>4</v>
      </c>
      <c r="Q49" s="229"/>
      <c r="R49" s="229">
        <v>5</v>
      </c>
      <c r="S49" s="201"/>
      <c r="T49" s="20"/>
      <c r="U49" s="25"/>
      <c r="V49" s="20"/>
      <c r="W49" s="20"/>
      <c r="X49" s="20"/>
      <c r="Y49" s="20"/>
      <c r="Z49" s="20"/>
      <c r="AA49" s="20"/>
      <c r="AB49" s="20"/>
      <c r="AC49" s="20"/>
      <c r="AD49" s="20"/>
    </row>
    <row r="50" spans="1:30">
      <c r="A50" s="196">
        <v>9</v>
      </c>
      <c r="B50" s="170" t="s">
        <v>258</v>
      </c>
      <c r="C50" s="170"/>
      <c r="D50" s="170"/>
      <c r="E50" s="170"/>
      <c r="F50" s="170"/>
      <c r="G50" s="170"/>
      <c r="H50" s="170"/>
      <c r="I50" s="170"/>
      <c r="J50" s="149">
        <f>IFERROR((ROUND(Ztd!J44/HTAE!O47,1)),0)</f>
        <v>0</v>
      </c>
      <c r="K50" s="170"/>
      <c r="L50" s="145">
        <f>IFERROR((ROUND(Ztd!L44/HTAE!O47,2)),0)</f>
        <v>0</v>
      </c>
      <c r="M50" s="229"/>
      <c r="N50" s="145">
        <f>IFERROR((ROUND(Ztd!N44/HTAE!O47,2)),0)</f>
        <v>0</v>
      </c>
      <c r="O50" s="170"/>
      <c r="P50" s="145">
        <f>IFERROR((ROUND(Ztd!P44/HTAE!O47,2)),0)</f>
        <v>0</v>
      </c>
      <c r="Q50" s="170"/>
      <c r="R50" s="145">
        <f>IFERROR((ROUND(Ztd!R44/HTAE!O47,2)),0)</f>
        <v>0</v>
      </c>
      <c r="S50" s="204"/>
      <c r="T50" s="42"/>
      <c r="U50" s="25"/>
      <c r="V50" s="20"/>
      <c r="W50" s="20"/>
      <c r="X50" s="20"/>
      <c r="Y50" s="20"/>
      <c r="Z50" s="20"/>
      <c r="AA50" s="20"/>
      <c r="AB50" s="20"/>
      <c r="AC50" s="20"/>
      <c r="AD50" s="20"/>
    </row>
    <row r="51" spans="1:30">
      <c r="A51" s="196"/>
      <c r="B51" s="170"/>
      <c r="C51" s="170"/>
      <c r="D51" s="170"/>
      <c r="E51" s="170"/>
      <c r="F51" s="170"/>
      <c r="G51" s="170"/>
      <c r="H51" s="170"/>
      <c r="I51" s="170"/>
      <c r="J51" s="170"/>
      <c r="K51" s="170"/>
      <c r="L51" s="170"/>
      <c r="M51" s="229"/>
      <c r="N51" s="170"/>
      <c r="O51" s="170"/>
      <c r="P51" s="170"/>
      <c r="Q51" s="170"/>
      <c r="R51" s="170"/>
      <c r="S51" s="204"/>
      <c r="T51" s="42"/>
      <c r="U51" s="25"/>
      <c r="V51" s="20"/>
      <c r="W51" s="20"/>
      <c r="X51" s="20"/>
      <c r="Y51" s="20"/>
      <c r="Z51" s="20"/>
      <c r="AA51" s="20"/>
      <c r="AB51" s="20"/>
      <c r="AC51" s="20"/>
      <c r="AD51" s="20"/>
    </row>
    <row r="52" spans="1:30">
      <c r="A52" s="196">
        <v>10</v>
      </c>
      <c r="B52" s="170" t="s">
        <v>259</v>
      </c>
      <c r="C52" s="170"/>
      <c r="D52" s="170"/>
      <c r="E52" s="170"/>
      <c r="F52" s="170"/>
      <c r="G52" s="170"/>
      <c r="H52" s="170"/>
      <c r="I52" s="170"/>
      <c r="J52" s="170"/>
      <c r="K52" s="170"/>
      <c r="L52" s="170"/>
      <c r="M52" s="229"/>
      <c r="N52" s="170"/>
      <c r="O52" s="170"/>
      <c r="P52" s="170"/>
      <c r="Q52" s="170"/>
      <c r="R52" s="170"/>
      <c r="S52" s="204"/>
      <c r="T52" s="42"/>
      <c r="U52" s="25"/>
      <c r="V52" s="20"/>
      <c r="W52" s="20"/>
      <c r="X52" s="20"/>
      <c r="Y52" s="20"/>
      <c r="Z52" s="20"/>
      <c r="AA52" s="20"/>
      <c r="AB52" s="20"/>
      <c r="AC52" s="20"/>
      <c r="AD52" s="20"/>
    </row>
    <row r="53" spans="1:30">
      <c r="A53" s="196"/>
      <c r="B53" s="170" t="s">
        <v>260</v>
      </c>
      <c r="C53" s="170"/>
      <c r="D53" s="170"/>
      <c r="E53" s="170"/>
      <c r="F53" s="170"/>
      <c r="G53" s="170"/>
      <c r="H53" s="170"/>
      <c r="I53" s="170"/>
      <c r="J53" s="10"/>
      <c r="K53" s="170"/>
      <c r="L53" s="10"/>
      <c r="M53" s="229"/>
      <c r="N53" s="10"/>
      <c r="O53" s="170"/>
      <c r="P53" s="10"/>
      <c r="Q53" s="170"/>
      <c r="R53" s="10"/>
      <c r="S53" s="204"/>
      <c r="T53" s="42"/>
      <c r="U53" s="25"/>
      <c r="V53" s="20"/>
      <c r="W53" s="20"/>
      <c r="X53" s="20"/>
      <c r="Y53" s="20"/>
      <c r="Z53" s="20"/>
      <c r="AA53" s="20"/>
      <c r="AB53" s="20"/>
      <c r="AC53" s="20"/>
      <c r="AD53" s="20"/>
    </row>
    <row r="54" spans="1:30">
      <c r="A54" s="195"/>
      <c r="B54" s="170" t="s">
        <v>261</v>
      </c>
      <c r="C54" s="170"/>
      <c r="D54" s="170"/>
      <c r="E54" s="170"/>
      <c r="F54" s="170"/>
      <c r="G54" s="170"/>
      <c r="H54" s="170"/>
      <c r="I54" s="170"/>
      <c r="J54" s="170"/>
      <c r="K54" s="170"/>
      <c r="L54" s="170"/>
      <c r="M54" s="229"/>
      <c r="N54" s="170"/>
      <c r="O54" s="170"/>
      <c r="P54" s="170"/>
      <c r="Q54" s="170"/>
      <c r="R54" s="170"/>
      <c r="S54" s="204"/>
      <c r="T54" s="42"/>
      <c r="U54" s="25"/>
      <c r="V54" s="20"/>
      <c r="W54" s="20"/>
      <c r="X54" s="20"/>
      <c r="Y54" s="20"/>
      <c r="Z54" s="20"/>
      <c r="AA54" s="20"/>
      <c r="AB54" s="20"/>
      <c r="AC54" s="20"/>
      <c r="AD54" s="20"/>
    </row>
    <row r="55" spans="1:30">
      <c r="A55" s="195"/>
      <c r="B55" s="170" t="s">
        <v>262</v>
      </c>
      <c r="C55" s="170"/>
      <c r="D55" s="170"/>
      <c r="E55" s="170"/>
      <c r="F55" s="170"/>
      <c r="G55" s="170"/>
      <c r="H55" s="170"/>
      <c r="I55" s="170"/>
      <c r="J55" s="170"/>
      <c r="K55" s="170"/>
      <c r="L55" s="170"/>
      <c r="M55" s="229"/>
      <c r="N55" s="170"/>
      <c r="O55" s="170"/>
      <c r="P55" s="170"/>
      <c r="Q55" s="170"/>
      <c r="R55" s="170"/>
      <c r="S55" s="204"/>
      <c r="T55" s="42"/>
      <c r="U55" s="25"/>
      <c r="V55" s="20"/>
      <c r="W55" s="20"/>
      <c r="X55" s="20"/>
      <c r="Y55" s="20"/>
      <c r="Z55" s="20"/>
      <c r="AA55" s="20"/>
      <c r="AB55" s="20"/>
      <c r="AC55" s="20"/>
      <c r="AD55" s="20"/>
    </row>
    <row r="56" spans="1:30">
      <c r="A56" s="195"/>
      <c r="B56" s="170"/>
      <c r="C56" s="170"/>
      <c r="D56" s="170"/>
      <c r="E56" s="170"/>
      <c r="F56" s="170"/>
      <c r="G56" s="170"/>
      <c r="H56" s="170"/>
      <c r="I56" s="170"/>
      <c r="J56" s="170"/>
      <c r="K56" s="170"/>
      <c r="L56" s="170"/>
      <c r="M56" s="229"/>
      <c r="N56" s="170"/>
      <c r="O56" s="170"/>
      <c r="P56" s="170"/>
      <c r="Q56" s="170"/>
      <c r="R56" s="170"/>
      <c r="S56" s="204"/>
      <c r="T56" s="42"/>
      <c r="U56" s="25"/>
      <c r="V56" s="20"/>
      <c r="W56" s="20"/>
      <c r="X56" s="20"/>
      <c r="Y56" s="20"/>
      <c r="Z56" s="20"/>
      <c r="AA56" s="20"/>
      <c r="AB56" s="20"/>
      <c r="AC56" s="20"/>
      <c r="AD56" s="20"/>
    </row>
    <row r="57" spans="1:30">
      <c r="A57" s="196">
        <v>11</v>
      </c>
      <c r="B57" s="170" t="s">
        <v>263</v>
      </c>
      <c r="C57" s="170"/>
      <c r="D57" s="170"/>
      <c r="E57" s="170"/>
      <c r="F57" s="170"/>
      <c r="G57" s="170"/>
      <c r="H57" s="170"/>
      <c r="I57" s="170"/>
      <c r="J57" s="5">
        <f>IF(HTDMD!P37=0,Ztd!J23*HTAE2!J53*Ztd!J29,Ztd!J23*HTAE!J53*Ztd!J29/2)</f>
        <v>0</v>
      </c>
      <c r="K57" s="170"/>
      <c r="L57" s="5">
        <f>IF(HTDMD!R37=0,Ztd!L23*HTAE2!L53*Ztd!L29,Ztd!L23*HTAE!L53*Ztd!L29/2)</f>
        <v>0</v>
      </c>
      <c r="M57" s="229"/>
      <c r="N57" s="5">
        <f>IF(HTDMD!T37=0,Ztd!N23*HTAE2!N53*Ztd!N29,Ztd!N23*HTAE!N53*Ztd!N29/2)</f>
        <v>0</v>
      </c>
      <c r="O57" s="170"/>
      <c r="P57" s="5">
        <f>IF(HTDMD!V37=0,Ztd!P23*HTAE2!P53*Ztd!P29,Ztd!P23*HTAE!P53*Ztd!P29/2)</f>
        <v>0</v>
      </c>
      <c r="Q57" s="170"/>
      <c r="R57" s="5">
        <f>IF(HTDMD!X37=0,Ztd!R23*HTAE2!R53*Ztd!R29,Ztd!R23*HTAE!R53*Ztd!R29/2)</f>
        <v>0</v>
      </c>
      <c r="S57" s="204"/>
      <c r="T57" s="42"/>
      <c r="U57" s="25"/>
      <c r="V57" s="20"/>
      <c r="W57" s="20"/>
      <c r="X57" s="20"/>
      <c r="Y57" s="20"/>
      <c r="Z57" s="20"/>
      <c r="AA57" s="20"/>
      <c r="AB57" s="20"/>
      <c r="AC57" s="20"/>
      <c r="AD57" s="20"/>
    </row>
    <row r="58" spans="1:30">
      <c r="A58" s="196"/>
      <c r="B58" s="170"/>
      <c r="C58" s="170"/>
      <c r="D58" s="170"/>
      <c r="E58" s="170"/>
      <c r="F58" s="170"/>
      <c r="G58" s="170"/>
      <c r="H58" s="170"/>
      <c r="I58" s="170"/>
      <c r="J58" s="170"/>
      <c r="K58" s="170"/>
      <c r="L58" s="170"/>
      <c r="M58" s="170"/>
      <c r="N58" s="170"/>
      <c r="O58" s="170"/>
      <c r="P58" s="170"/>
      <c r="Q58" s="170"/>
      <c r="R58" s="170"/>
      <c r="S58" s="204"/>
      <c r="T58" s="42"/>
      <c r="U58" s="25"/>
      <c r="V58" s="20"/>
      <c r="W58" s="20"/>
      <c r="X58" s="20"/>
      <c r="Y58" s="20"/>
      <c r="Z58" s="20"/>
      <c r="AA58" s="20"/>
      <c r="AB58" s="20"/>
      <c r="AC58" s="20"/>
      <c r="AD58" s="20"/>
    </row>
    <row r="59" spans="1:30">
      <c r="A59" s="196">
        <v>12</v>
      </c>
      <c r="B59" s="170" t="s">
        <v>264</v>
      </c>
      <c r="C59" s="170"/>
      <c r="D59" s="170"/>
      <c r="E59" s="170"/>
      <c r="F59" s="170"/>
      <c r="G59" s="170"/>
      <c r="H59" s="170"/>
      <c r="I59" s="170"/>
      <c r="J59" s="170"/>
      <c r="K59" s="170"/>
      <c r="L59" s="170"/>
      <c r="M59" s="170"/>
      <c r="N59" s="170"/>
      <c r="O59" s="312">
        <f>J57+L57+N57+P57+R57</f>
        <v>0</v>
      </c>
      <c r="P59" s="312"/>
      <c r="Q59" s="168"/>
      <c r="R59" s="206" t="s">
        <v>184</v>
      </c>
      <c r="S59" s="204"/>
      <c r="T59" s="42"/>
      <c r="U59" s="25"/>
      <c r="V59" s="20"/>
      <c r="W59" s="20"/>
      <c r="X59" s="20"/>
      <c r="Y59" s="20"/>
      <c r="Z59" s="20"/>
      <c r="AA59" s="20"/>
      <c r="AB59" s="20"/>
      <c r="AC59" s="20"/>
      <c r="AD59" s="20"/>
    </row>
    <row r="60" spans="1:30">
      <c r="A60" s="196"/>
      <c r="B60" s="170"/>
      <c r="C60" s="170"/>
      <c r="D60" s="170"/>
      <c r="E60" s="170"/>
      <c r="F60" s="170"/>
      <c r="G60" s="170"/>
      <c r="H60" s="170"/>
      <c r="I60" s="170"/>
      <c r="J60" s="170"/>
      <c r="K60" s="170"/>
      <c r="L60" s="170"/>
      <c r="M60" s="170"/>
      <c r="N60" s="170"/>
      <c r="O60" s="170"/>
      <c r="P60" s="170"/>
      <c r="Q60" s="170"/>
      <c r="R60" s="170"/>
      <c r="S60" s="204"/>
      <c r="T60" s="153"/>
      <c r="U60" s="150"/>
      <c r="V60" s="20"/>
      <c r="W60" s="20"/>
      <c r="X60" s="20"/>
      <c r="Y60" s="20"/>
      <c r="Z60" s="20"/>
      <c r="AA60" s="20"/>
      <c r="AB60" s="20"/>
      <c r="AC60" s="20"/>
      <c r="AD60" s="20"/>
    </row>
    <row r="61" spans="1:30">
      <c r="A61" s="196">
        <v>13</v>
      </c>
      <c r="B61" s="170" t="s">
        <v>265</v>
      </c>
      <c r="C61" s="170"/>
      <c r="D61" s="170"/>
      <c r="E61" s="170"/>
      <c r="F61" s="170"/>
      <c r="G61" s="405" t="s">
        <v>335</v>
      </c>
      <c r="H61" s="405"/>
      <c r="I61" s="8"/>
      <c r="J61" s="170"/>
      <c r="K61" s="170"/>
      <c r="L61" s="170"/>
      <c r="M61" s="170"/>
      <c r="N61" s="170"/>
      <c r="O61" s="312">
        <f>IFERROR((ROUND(IF(I61="a",U63,IF(I61="B",U65,U67)),1)),0)</f>
        <v>0</v>
      </c>
      <c r="P61" s="312"/>
      <c r="Q61" s="168"/>
      <c r="R61" s="206" t="s">
        <v>52</v>
      </c>
      <c r="S61" s="204"/>
      <c r="T61" s="153"/>
      <c r="U61" s="159"/>
      <c r="V61" s="160"/>
      <c r="W61" s="20"/>
      <c r="X61" s="20"/>
      <c r="Y61" s="20"/>
      <c r="Z61" s="20"/>
      <c r="AA61" s="20"/>
      <c r="AB61" s="20"/>
      <c r="AC61" s="20"/>
      <c r="AD61" s="20"/>
    </row>
    <row r="62" spans="1:30">
      <c r="A62" s="195"/>
      <c r="B62" s="170"/>
      <c r="C62" s="170"/>
      <c r="D62" s="170"/>
      <c r="E62" s="170"/>
      <c r="F62" s="170"/>
      <c r="G62" s="170"/>
      <c r="H62" s="167"/>
      <c r="I62" s="170"/>
      <c r="J62" s="170"/>
      <c r="K62" s="170"/>
      <c r="L62" s="170"/>
      <c r="M62" s="170"/>
      <c r="N62" s="170"/>
      <c r="O62" s="170"/>
      <c r="P62" s="170"/>
      <c r="Q62" s="170"/>
      <c r="R62" s="170"/>
      <c r="S62" s="204"/>
      <c r="T62" s="153"/>
      <c r="U62" s="159"/>
      <c r="V62" s="160"/>
      <c r="W62" s="20"/>
      <c r="X62" s="20"/>
      <c r="Y62" s="20"/>
      <c r="Z62" s="20"/>
      <c r="AA62" s="20"/>
      <c r="AB62" s="20"/>
      <c r="AC62" s="20"/>
      <c r="AD62" s="20"/>
    </row>
    <row r="63" spans="1:30" ht="12.75" customHeight="1">
      <c r="A63" s="235"/>
      <c r="B63" s="170" t="s">
        <v>105</v>
      </c>
      <c r="C63" s="170" t="s">
        <v>266</v>
      </c>
      <c r="D63" s="170"/>
      <c r="E63" s="170"/>
      <c r="F63" s="170"/>
      <c r="G63" s="217" t="s">
        <v>267</v>
      </c>
      <c r="H63" s="177" t="s">
        <v>268</v>
      </c>
      <c r="I63" s="250" t="s">
        <v>269</v>
      </c>
      <c r="J63" s="170"/>
      <c r="K63" s="170"/>
      <c r="L63" s="170"/>
      <c r="M63" s="170"/>
      <c r="N63" s="170"/>
      <c r="O63" s="402"/>
      <c r="P63" s="402"/>
      <c r="Q63" s="168"/>
      <c r="R63" s="206"/>
      <c r="S63" s="204"/>
      <c r="T63" s="153"/>
      <c r="U63" s="159">
        <f>(SQRT(O59))/2</f>
        <v>0</v>
      </c>
      <c r="V63" s="160"/>
      <c r="W63" s="20"/>
      <c r="X63" s="20"/>
      <c r="Y63" s="20"/>
      <c r="Z63" s="20"/>
      <c r="AA63" s="20"/>
      <c r="AB63" s="20"/>
      <c r="AC63" s="20"/>
      <c r="AD63" s="20"/>
    </row>
    <row r="64" spans="1:30">
      <c r="A64" s="195"/>
      <c r="B64" s="171"/>
      <c r="C64" s="170"/>
      <c r="D64" s="170"/>
      <c r="E64" s="170"/>
      <c r="F64" s="170"/>
      <c r="G64" s="170"/>
      <c r="H64" s="170"/>
      <c r="I64" s="170"/>
      <c r="J64" s="170"/>
      <c r="K64" s="170"/>
      <c r="L64" s="170"/>
      <c r="M64" s="170"/>
      <c r="N64" s="170"/>
      <c r="O64" s="170"/>
      <c r="P64" s="170"/>
      <c r="Q64" s="170"/>
      <c r="R64" s="170"/>
      <c r="S64" s="204"/>
      <c r="T64" s="153"/>
      <c r="U64" s="159"/>
      <c r="V64" s="160"/>
      <c r="W64" s="20"/>
      <c r="X64" s="20"/>
      <c r="Y64" s="20"/>
      <c r="Z64" s="20"/>
      <c r="AA64" s="20"/>
      <c r="AB64" s="20"/>
      <c r="AC64" s="20"/>
      <c r="AD64" s="20"/>
    </row>
    <row r="65" spans="1:30">
      <c r="A65" s="195"/>
      <c r="B65" s="170" t="s">
        <v>107</v>
      </c>
      <c r="C65" s="170" t="s">
        <v>270</v>
      </c>
      <c r="D65" s="170"/>
      <c r="E65" s="170"/>
      <c r="F65" s="170"/>
      <c r="G65" s="170"/>
      <c r="H65" s="170"/>
      <c r="I65" s="167"/>
      <c r="J65" s="167"/>
      <c r="K65" s="170"/>
      <c r="L65" s="170"/>
      <c r="M65" s="170"/>
      <c r="N65" s="170"/>
      <c r="O65" s="402"/>
      <c r="P65" s="402"/>
      <c r="Q65" s="168"/>
      <c r="R65" s="206"/>
      <c r="S65" s="204"/>
      <c r="T65" s="153"/>
      <c r="U65" s="159">
        <f>(SQRT(Datum!N89^2+(4*HTAE!O59))-Datum!N89)/4</f>
        <v>0</v>
      </c>
      <c r="V65" s="160"/>
      <c r="W65" s="20"/>
      <c r="X65" s="20"/>
      <c r="Y65" s="20"/>
      <c r="Z65" s="20"/>
      <c r="AA65" s="20"/>
      <c r="AB65" s="20"/>
      <c r="AC65" s="20"/>
      <c r="AD65" s="20"/>
    </row>
    <row r="66" spans="1:30">
      <c r="A66" s="195"/>
      <c r="B66" s="171"/>
      <c r="C66" s="170"/>
      <c r="D66" s="170"/>
      <c r="E66" s="170"/>
      <c r="F66" s="170"/>
      <c r="G66" s="170"/>
      <c r="H66" s="217" t="s">
        <v>274</v>
      </c>
      <c r="I66" s="170" t="s">
        <v>272</v>
      </c>
      <c r="J66" s="170" t="s">
        <v>273</v>
      </c>
      <c r="K66" s="170" t="s">
        <v>84</v>
      </c>
      <c r="L66" s="170" t="s">
        <v>275</v>
      </c>
      <c r="M66" s="170"/>
      <c r="N66" s="170"/>
      <c r="O66" s="170"/>
      <c r="P66" s="170"/>
      <c r="Q66" s="170"/>
      <c r="R66" s="170"/>
      <c r="S66" s="204"/>
      <c r="T66" s="153"/>
      <c r="U66" s="159"/>
      <c r="V66" s="160"/>
      <c r="W66" s="20"/>
      <c r="X66" s="20"/>
      <c r="Y66" s="20"/>
      <c r="Z66" s="20"/>
      <c r="AA66" s="20"/>
      <c r="AB66" s="20"/>
      <c r="AC66" s="20"/>
      <c r="AD66" s="20"/>
    </row>
    <row r="67" spans="1:30">
      <c r="A67" s="195"/>
      <c r="B67" s="170" t="s">
        <v>109</v>
      </c>
      <c r="C67" s="206" t="s">
        <v>271</v>
      </c>
      <c r="D67" s="170"/>
      <c r="E67" s="170"/>
      <c r="F67" s="170"/>
      <c r="G67" s="170"/>
      <c r="H67" s="170"/>
      <c r="I67" s="170"/>
      <c r="J67" s="170"/>
      <c r="K67" s="170"/>
      <c r="L67" s="170"/>
      <c r="M67" s="170"/>
      <c r="N67" s="170"/>
      <c r="O67" s="402"/>
      <c r="P67" s="402"/>
      <c r="Q67" s="168"/>
      <c r="R67" s="206"/>
      <c r="S67" s="204"/>
      <c r="T67" s="153"/>
      <c r="U67" s="159" t="e">
        <f>O59/(2*O27)</f>
        <v>#DIV/0!</v>
      </c>
      <c r="V67" s="160"/>
      <c r="W67" s="20"/>
      <c r="X67" s="20"/>
      <c r="Y67" s="20"/>
      <c r="Z67" s="20"/>
      <c r="AA67" s="20"/>
      <c r="AB67" s="20"/>
      <c r="AC67" s="20"/>
      <c r="AD67" s="20"/>
    </row>
    <row r="68" spans="1:30">
      <c r="A68" s="195"/>
      <c r="B68" s="170"/>
      <c r="C68" s="170"/>
      <c r="D68" s="170"/>
      <c r="E68" s="170"/>
      <c r="F68" s="170"/>
      <c r="G68" s="229" t="s">
        <v>277</v>
      </c>
      <c r="H68" s="170" t="s">
        <v>276</v>
      </c>
      <c r="I68" s="168"/>
      <c r="J68" s="170"/>
      <c r="K68" s="170"/>
      <c r="L68" s="170"/>
      <c r="M68" s="170"/>
      <c r="N68" s="170"/>
      <c r="O68" s="170"/>
      <c r="P68" s="170"/>
      <c r="Q68" s="170"/>
      <c r="R68" s="170"/>
      <c r="S68" s="204"/>
      <c r="T68" s="153"/>
      <c r="U68" s="159"/>
      <c r="V68" s="160"/>
      <c r="W68" s="20"/>
      <c r="X68" s="20"/>
      <c r="Y68" s="20"/>
      <c r="Z68" s="20"/>
      <c r="AA68" s="20"/>
      <c r="AB68" s="20"/>
      <c r="AC68" s="20"/>
      <c r="AD68" s="20"/>
    </row>
    <row r="69" spans="1:30">
      <c r="A69" s="195"/>
      <c r="B69" s="170"/>
      <c r="C69" s="170"/>
      <c r="D69" s="170"/>
      <c r="E69" s="170"/>
      <c r="F69" s="170"/>
      <c r="G69" s="170"/>
      <c r="H69" s="170"/>
      <c r="I69" s="170"/>
      <c r="J69" s="170"/>
      <c r="K69" s="170"/>
      <c r="L69" s="170"/>
      <c r="M69" s="170"/>
      <c r="N69" s="170"/>
      <c r="O69" s="170"/>
      <c r="P69" s="170"/>
      <c r="Q69" s="170"/>
      <c r="R69" s="170"/>
      <c r="S69" s="204"/>
      <c r="T69" s="155"/>
      <c r="U69" s="159"/>
      <c r="V69" s="160"/>
      <c r="W69" s="156"/>
      <c r="X69" s="20"/>
      <c r="Y69" s="20"/>
      <c r="Z69" s="20"/>
      <c r="AA69" s="20"/>
      <c r="AB69" s="20"/>
      <c r="AC69" s="20"/>
      <c r="AD69" s="20"/>
    </row>
    <row r="70" spans="1:30">
      <c r="A70" s="196">
        <v>14</v>
      </c>
      <c r="B70" s="171" t="s">
        <v>278</v>
      </c>
      <c r="C70" s="170"/>
      <c r="D70" s="170"/>
      <c r="E70" s="170"/>
      <c r="F70" s="170"/>
      <c r="G70" s="170"/>
      <c r="H70" s="170"/>
      <c r="I70" s="170"/>
      <c r="J70" s="170"/>
      <c r="K70" s="170"/>
      <c r="L70" s="170"/>
      <c r="M70" s="170"/>
      <c r="N70" s="170"/>
      <c r="O70" s="170"/>
      <c r="P70" s="170"/>
      <c r="Q70" s="170"/>
      <c r="R70" s="170"/>
      <c r="S70" s="204"/>
      <c r="T70" s="155"/>
      <c r="U70" s="159"/>
      <c r="V70" s="160"/>
      <c r="W70" s="156"/>
      <c r="X70" s="20"/>
      <c r="Y70" s="20"/>
      <c r="Z70" s="20"/>
      <c r="AA70" s="20"/>
      <c r="AB70" s="20"/>
      <c r="AC70" s="20"/>
      <c r="AD70" s="20"/>
    </row>
    <row r="71" spans="1:30">
      <c r="A71" s="195"/>
      <c r="B71" s="170"/>
      <c r="C71" s="170"/>
      <c r="D71" s="170"/>
      <c r="E71" s="170"/>
      <c r="F71" s="170"/>
      <c r="G71" s="170"/>
      <c r="H71" s="170"/>
      <c r="I71" s="170"/>
      <c r="J71" s="170"/>
      <c r="K71" s="170"/>
      <c r="L71" s="170"/>
      <c r="M71" s="170"/>
      <c r="N71" s="170"/>
      <c r="O71" s="170"/>
      <c r="P71" s="170"/>
      <c r="Q71" s="170"/>
      <c r="R71" s="170"/>
      <c r="S71" s="204"/>
      <c r="T71" s="155"/>
      <c r="U71" s="159"/>
      <c r="V71" s="160"/>
      <c r="W71" s="156"/>
      <c r="X71" s="20"/>
      <c r="Y71" s="20"/>
      <c r="Z71" s="20"/>
      <c r="AA71" s="20"/>
      <c r="AB71" s="20"/>
      <c r="AC71" s="20"/>
      <c r="AD71" s="20"/>
    </row>
    <row r="72" spans="1:30">
      <c r="A72" s="195"/>
      <c r="B72" s="171" t="s">
        <v>105</v>
      </c>
      <c r="C72" s="170" t="s">
        <v>191</v>
      </c>
      <c r="D72" s="170"/>
      <c r="E72" s="170"/>
      <c r="F72" s="170"/>
      <c r="G72" s="170"/>
      <c r="H72" s="170" t="s">
        <v>336</v>
      </c>
      <c r="I72" s="251"/>
      <c r="J72" s="170"/>
      <c r="K72" s="170"/>
      <c r="L72" s="170" t="s">
        <v>191</v>
      </c>
      <c r="M72" s="170"/>
      <c r="N72" s="170"/>
      <c r="O72" s="413">
        <f>IF(I72=0,0,IF(I72="i",U74,U76))</f>
        <v>0</v>
      </c>
      <c r="P72" s="413"/>
      <c r="Q72" s="170"/>
      <c r="R72" s="170" t="s">
        <v>52</v>
      </c>
      <c r="S72" s="204"/>
      <c r="T72" s="155"/>
      <c r="U72" s="159"/>
      <c r="V72" s="160"/>
      <c r="W72" s="156"/>
      <c r="X72" s="20"/>
      <c r="Y72" s="20"/>
      <c r="Z72" s="20"/>
      <c r="AA72" s="20"/>
      <c r="AB72" s="20"/>
      <c r="AC72" s="20"/>
      <c r="AD72" s="20"/>
    </row>
    <row r="73" spans="1:30">
      <c r="A73" s="195"/>
      <c r="B73" s="170"/>
      <c r="C73" s="170"/>
      <c r="D73" s="170"/>
      <c r="E73" s="170"/>
      <c r="F73" s="170"/>
      <c r="G73" s="170"/>
      <c r="H73" s="170"/>
      <c r="I73" s="170"/>
      <c r="J73" s="170"/>
      <c r="K73" s="170"/>
      <c r="L73" s="170"/>
      <c r="M73" s="170"/>
      <c r="N73" s="170"/>
      <c r="O73" s="170"/>
      <c r="P73" s="170"/>
      <c r="Q73" s="170"/>
      <c r="R73" s="170"/>
      <c r="S73" s="204"/>
      <c r="T73" s="157"/>
      <c r="U73" s="160"/>
      <c r="V73" s="160"/>
      <c r="W73" s="156"/>
      <c r="X73" s="20"/>
      <c r="Y73" s="20"/>
      <c r="Z73" s="20"/>
      <c r="AA73" s="20"/>
      <c r="AB73" s="20"/>
      <c r="AC73" s="20"/>
      <c r="AD73" s="20"/>
    </row>
    <row r="74" spans="1:30">
      <c r="A74" s="195"/>
      <c r="B74" s="249" t="s">
        <v>279</v>
      </c>
      <c r="C74" s="170" t="s">
        <v>266</v>
      </c>
      <c r="D74" s="170"/>
      <c r="E74" s="170"/>
      <c r="F74" s="170"/>
      <c r="G74" s="170"/>
      <c r="H74" s="170" t="s">
        <v>280</v>
      </c>
      <c r="I74" s="170"/>
      <c r="J74" s="170"/>
      <c r="K74" s="170"/>
      <c r="L74" s="170"/>
      <c r="M74" s="170"/>
      <c r="N74" s="170"/>
      <c r="O74" s="399"/>
      <c r="P74" s="399"/>
      <c r="Q74" s="170"/>
      <c r="R74" s="170"/>
      <c r="S74" s="204"/>
      <c r="T74" s="157"/>
      <c r="U74" s="160">
        <f>2*O61</f>
        <v>0</v>
      </c>
      <c r="V74" s="160"/>
      <c r="W74" s="156"/>
      <c r="X74" s="20"/>
      <c r="Y74" s="20"/>
      <c r="Z74" s="20"/>
      <c r="AA74" s="20"/>
      <c r="AB74" s="20"/>
      <c r="AC74" s="20"/>
      <c r="AD74" s="20"/>
    </row>
    <row r="75" spans="1:30">
      <c r="A75" s="195"/>
      <c r="B75" s="170"/>
      <c r="C75" s="184"/>
      <c r="D75" s="170"/>
      <c r="E75" s="170"/>
      <c r="F75" s="170"/>
      <c r="G75" s="170"/>
      <c r="H75" s="170"/>
      <c r="I75" s="170"/>
      <c r="J75" s="170"/>
      <c r="K75" s="170"/>
      <c r="L75" s="170"/>
      <c r="M75" s="170"/>
      <c r="N75" s="170"/>
      <c r="O75" s="170"/>
      <c r="P75" s="170"/>
      <c r="Q75" s="170"/>
      <c r="R75" s="170"/>
      <c r="S75" s="204"/>
      <c r="T75" s="157"/>
      <c r="U75" s="160"/>
      <c r="V75" s="160"/>
      <c r="W75" s="156"/>
      <c r="X75" s="20"/>
      <c r="Y75" s="20"/>
      <c r="Z75" s="20"/>
      <c r="AA75" s="20"/>
      <c r="AB75" s="20"/>
      <c r="AC75" s="20"/>
      <c r="AD75" s="20"/>
    </row>
    <row r="76" spans="1:30">
      <c r="A76" s="195"/>
      <c r="B76" s="249" t="s">
        <v>281</v>
      </c>
      <c r="C76" s="170" t="s">
        <v>282</v>
      </c>
      <c r="D76" s="170"/>
      <c r="E76" s="170"/>
      <c r="F76" s="170"/>
      <c r="G76" s="170"/>
      <c r="H76" s="170" t="s">
        <v>284</v>
      </c>
      <c r="I76" s="170"/>
      <c r="J76" s="170"/>
      <c r="K76" s="170"/>
      <c r="L76" s="170"/>
      <c r="M76" s="170"/>
      <c r="N76" s="170"/>
      <c r="O76" s="399"/>
      <c r="P76" s="399"/>
      <c r="Q76" s="170"/>
      <c r="R76" s="170"/>
      <c r="S76" s="204"/>
      <c r="T76" s="157"/>
      <c r="U76" s="160">
        <f>(2*O61)+Datum!N89</f>
        <v>0</v>
      </c>
      <c r="V76" s="160"/>
      <c r="W76" s="156"/>
      <c r="X76" s="20"/>
      <c r="Y76" s="20"/>
      <c r="Z76" s="20"/>
      <c r="AA76" s="20"/>
      <c r="AB76" s="20"/>
      <c r="AC76" s="20"/>
      <c r="AD76" s="20"/>
    </row>
    <row r="77" spans="1:30">
      <c r="A77" s="195"/>
      <c r="B77" s="171"/>
      <c r="C77" s="170" t="s">
        <v>283</v>
      </c>
      <c r="D77" s="170"/>
      <c r="E77" s="170"/>
      <c r="F77" s="170"/>
      <c r="G77" s="170"/>
      <c r="H77" s="170"/>
      <c r="I77" s="170"/>
      <c r="J77" s="170"/>
      <c r="K77" s="170"/>
      <c r="L77" s="170"/>
      <c r="M77" s="170"/>
      <c r="N77" s="170"/>
      <c r="O77" s="170"/>
      <c r="P77" s="170"/>
      <c r="Q77" s="170"/>
      <c r="R77" s="170"/>
      <c r="S77" s="204"/>
      <c r="T77" s="157"/>
      <c r="U77" s="160"/>
      <c r="V77" s="160"/>
      <c r="W77" s="156"/>
      <c r="X77" s="20"/>
      <c r="Y77" s="20"/>
      <c r="Z77" s="20"/>
      <c r="AA77" s="20"/>
      <c r="AB77" s="20"/>
      <c r="AC77" s="20"/>
      <c r="AD77" s="20"/>
    </row>
    <row r="78" spans="1:30">
      <c r="A78" s="195"/>
      <c r="B78" s="170"/>
      <c r="C78" s="184"/>
      <c r="D78" s="170"/>
      <c r="E78" s="170"/>
      <c r="F78" s="170"/>
      <c r="G78" s="170"/>
      <c r="H78" s="170"/>
      <c r="I78" s="170"/>
      <c r="J78" s="170"/>
      <c r="K78" s="170"/>
      <c r="L78" s="170"/>
      <c r="M78" s="170"/>
      <c r="N78" s="170"/>
      <c r="O78" s="170"/>
      <c r="P78" s="170"/>
      <c r="Q78" s="170"/>
      <c r="R78" s="170"/>
      <c r="S78" s="204"/>
      <c r="T78" s="157"/>
      <c r="U78" s="160"/>
      <c r="V78" s="160"/>
      <c r="W78" s="156"/>
      <c r="X78" s="20"/>
      <c r="Y78" s="20"/>
      <c r="Z78" s="20"/>
      <c r="AA78" s="20"/>
      <c r="AB78" s="20"/>
      <c r="AC78" s="20"/>
      <c r="AD78" s="20"/>
    </row>
    <row r="79" spans="1:30">
      <c r="A79" s="195"/>
      <c r="B79" s="249" t="s">
        <v>285</v>
      </c>
      <c r="C79" s="170" t="s">
        <v>271</v>
      </c>
      <c r="D79" s="170"/>
      <c r="E79" s="170"/>
      <c r="F79" s="170"/>
      <c r="G79" s="170" t="s">
        <v>286</v>
      </c>
      <c r="H79" s="170"/>
      <c r="I79" s="170"/>
      <c r="J79" s="170"/>
      <c r="K79" s="170"/>
      <c r="L79" s="170"/>
      <c r="M79" s="170"/>
      <c r="N79" s="170"/>
      <c r="O79" s="312">
        <f>ROUND(IF(I80="c",U85,IF(I80="B",U83,U81)),1)</f>
        <v>0</v>
      </c>
      <c r="P79" s="312"/>
      <c r="Q79" s="170"/>
      <c r="R79" s="170" t="s">
        <v>52</v>
      </c>
      <c r="S79" s="204"/>
      <c r="T79" s="157"/>
      <c r="U79" s="160"/>
      <c r="V79" s="160"/>
      <c r="W79" s="156"/>
      <c r="X79" s="20"/>
      <c r="Y79" s="20"/>
      <c r="Z79" s="20"/>
      <c r="AA79" s="20"/>
      <c r="AB79" s="20"/>
      <c r="AC79" s="20"/>
      <c r="AD79" s="20"/>
    </row>
    <row r="80" spans="1:30">
      <c r="A80" s="235"/>
      <c r="B80" s="184"/>
      <c r="C80" s="170"/>
      <c r="D80" s="170"/>
      <c r="E80" s="170"/>
      <c r="F80" s="170"/>
      <c r="G80" s="405" t="s">
        <v>335</v>
      </c>
      <c r="H80" s="405"/>
      <c r="I80" s="10"/>
      <c r="J80" s="170"/>
      <c r="K80" s="170"/>
      <c r="L80" s="170"/>
      <c r="M80" s="170"/>
      <c r="N80" s="170"/>
      <c r="O80" s="170"/>
      <c r="P80" s="170"/>
      <c r="Q80" s="170"/>
      <c r="R80" s="170"/>
      <c r="S80" s="204"/>
      <c r="T80" s="157"/>
      <c r="U80" s="160"/>
      <c r="V80" s="160"/>
      <c r="W80" s="156"/>
      <c r="X80" s="20"/>
      <c r="Y80" s="20"/>
      <c r="Z80" s="20"/>
      <c r="AA80" s="20"/>
      <c r="AB80" s="20"/>
      <c r="AC80" s="20"/>
      <c r="AD80" s="20"/>
    </row>
    <row r="81" spans="1:30">
      <c r="A81" s="195"/>
      <c r="B81" s="170"/>
      <c r="C81" s="249" t="s">
        <v>287</v>
      </c>
      <c r="D81" s="170" t="s">
        <v>288</v>
      </c>
      <c r="E81" s="170"/>
      <c r="F81" s="170"/>
      <c r="G81" s="170"/>
      <c r="H81" s="170" t="s">
        <v>289</v>
      </c>
      <c r="I81" s="170"/>
      <c r="J81" s="170"/>
      <c r="K81" s="170"/>
      <c r="L81" s="170"/>
      <c r="M81" s="170"/>
      <c r="N81" s="170"/>
      <c r="O81" s="170"/>
      <c r="P81" s="170"/>
      <c r="Q81" s="170"/>
      <c r="R81" s="170"/>
      <c r="S81" s="204"/>
      <c r="T81" s="157"/>
      <c r="U81" s="160">
        <f>O27</f>
        <v>0</v>
      </c>
      <c r="V81" s="160"/>
      <c r="W81" s="156"/>
      <c r="X81" s="20"/>
      <c r="Y81" s="20"/>
      <c r="Z81" s="20"/>
      <c r="AA81" s="20"/>
      <c r="AB81" s="20"/>
      <c r="AC81" s="20"/>
      <c r="AD81" s="20"/>
    </row>
    <row r="82" spans="1:30">
      <c r="A82" s="195"/>
      <c r="B82" s="170"/>
      <c r="C82" s="249"/>
      <c r="D82" s="170"/>
      <c r="E82" s="170"/>
      <c r="F82" s="170"/>
      <c r="G82" s="170"/>
      <c r="H82" s="170"/>
      <c r="I82" s="170"/>
      <c r="J82" s="170"/>
      <c r="K82" s="170"/>
      <c r="L82" s="170"/>
      <c r="M82" s="170"/>
      <c r="N82" s="170"/>
      <c r="O82" s="170"/>
      <c r="P82" s="170"/>
      <c r="Q82" s="170"/>
      <c r="R82" s="170"/>
      <c r="S82" s="204"/>
      <c r="T82" s="157"/>
      <c r="U82" s="160"/>
      <c r="V82" s="160"/>
      <c r="W82" s="156"/>
      <c r="X82" s="20"/>
      <c r="Y82" s="20"/>
      <c r="Z82" s="20"/>
      <c r="AA82" s="20"/>
      <c r="AB82" s="20"/>
      <c r="AC82" s="20"/>
      <c r="AD82" s="20"/>
    </row>
    <row r="83" spans="1:30">
      <c r="A83" s="195"/>
      <c r="B83" s="170"/>
      <c r="C83" s="249" t="s">
        <v>294</v>
      </c>
      <c r="D83" s="170" t="s">
        <v>292</v>
      </c>
      <c r="E83" s="170"/>
      <c r="F83" s="170"/>
      <c r="G83" s="170"/>
      <c r="H83" s="170" t="s">
        <v>290</v>
      </c>
      <c r="I83" s="170"/>
      <c r="J83" s="170"/>
      <c r="K83" s="170"/>
      <c r="L83" s="170"/>
      <c r="M83" s="170"/>
      <c r="N83" s="170"/>
      <c r="O83" s="170"/>
      <c r="P83" s="170"/>
      <c r="Q83" s="170"/>
      <c r="R83" s="170"/>
      <c r="S83" s="204"/>
      <c r="T83" s="157"/>
      <c r="U83" s="160">
        <f>O27+O61</f>
        <v>0</v>
      </c>
      <c r="V83" s="160"/>
      <c r="W83" s="156"/>
      <c r="X83" s="20"/>
      <c r="Y83" s="20"/>
      <c r="Z83" s="20"/>
      <c r="AA83" s="20"/>
      <c r="AB83" s="20"/>
      <c r="AC83" s="20"/>
      <c r="AD83" s="20"/>
    </row>
    <row r="84" spans="1:30">
      <c r="A84" s="195"/>
      <c r="B84" s="171"/>
      <c r="C84" s="249"/>
      <c r="D84" s="170"/>
      <c r="E84" s="170"/>
      <c r="F84" s="170"/>
      <c r="G84" s="170"/>
      <c r="H84" s="170"/>
      <c r="I84" s="170"/>
      <c r="J84" s="170"/>
      <c r="K84" s="170"/>
      <c r="L84" s="170"/>
      <c r="M84" s="170"/>
      <c r="N84" s="170"/>
      <c r="O84" s="170"/>
      <c r="P84" s="170"/>
      <c r="Q84" s="170"/>
      <c r="R84" s="170"/>
      <c r="S84" s="204"/>
      <c r="T84" s="157"/>
      <c r="U84" s="160"/>
      <c r="V84" s="160"/>
      <c r="W84" s="156"/>
      <c r="X84" s="20"/>
      <c r="Y84" s="20"/>
      <c r="Z84" s="20"/>
      <c r="AA84" s="20"/>
      <c r="AB84" s="20"/>
      <c r="AC84" s="20"/>
      <c r="AD84" s="20"/>
    </row>
    <row r="85" spans="1:30">
      <c r="A85" s="195"/>
      <c r="B85" s="170"/>
      <c r="C85" s="249" t="s">
        <v>295</v>
      </c>
      <c r="D85" s="170" t="s">
        <v>293</v>
      </c>
      <c r="E85" s="170"/>
      <c r="F85" s="170"/>
      <c r="G85" s="170"/>
      <c r="H85" s="170" t="s">
        <v>291</v>
      </c>
      <c r="I85" s="170"/>
      <c r="J85" s="170"/>
      <c r="K85" s="170"/>
      <c r="L85" s="170"/>
      <c r="M85" s="170"/>
      <c r="N85" s="170"/>
      <c r="O85" s="170"/>
      <c r="P85" s="170"/>
      <c r="Q85" s="170"/>
      <c r="R85" s="170"/>
      <c r="S85" s="204"/>
      <c r="T85" s="157"/>
      <c r="U85" s="160">
        <f>(2*O61)+O27</f>
        <v>0</v>
      </c>
      <c r="V85" s="160"/>
      <c r="W85" s="156"/>
      <c r="X85" s="20"/>
      <c r="Y85" s="20"/>
      <c r="Z85" s="20"/>
      <c r="AA85" s="20"/>
      <c r="AB85" s="20"/>
      <c r="AC85" s="20"/>
      <c r="AD85" s="20"/>
    </row>
    <row r="86" spans="1:30">
      <c r="A86" s="195"/>
      <c r="B86" s="170"/>
      <c r="C86" s="170"/>
      <c r="D86" s="170"/>
      <c r="E86" s="170"/>
      <c r="F86" s="170"/>
      <c r="G86" s="170"/>
      <c r="H86" s="170"/>
      <c r="I86" s="170"/>
      <c r="J86" s="170"/>
      <c r="K86" s="170"/>
      <c r="L86" s="170"/>
      <c r="M86" s="170"/>
      <c r="N86" s="170"/>
      <c r="O86" s="170"/>
      <c r="P86" s="170"/>
      <c r="Q86" s="170"/>
      <c r="R86" s="170"/>
      <c r="S86" s="204"/>
      <c r="T86" s="157"/>
      <c r="U86" s="160"/>
      <c r="V86" s="160"/>
      <c r="W86" s="156"/>
      <c r="X86" s="20"/>
      <c r="Y86" s="20"/>
      <c r="Z86" s="20"/>
      <c r="AA86" s="20"/>
      <c r="AB86" s="20"/>
      <c r="AC86" s="20"/>
      <c r="AD86" s="20"/>
    </row>
    <row r="87" spans="1:30">
      <c r="A87" s="195"/>
      <c r="B87" s="171" t="s">
        <v>107</v>
      </c>
      <c r="C87" s="170" t="s">
        <v>296</v>
      </c>
      <c r="D87" s="170"/>
      <c r="E87" s="170"/>
      <c r="F87" s="170"/>
      <c r="G87" s="170"/>
      <c r="H87" s="170"/>
      <c r="I87" s="170"/>
      <c r="J87" s="170"/>
      <c r="K87" s="170"/>
      <c r="L87" s="170" t="s">
        <v>297</v>
      </c>
      <c r="M87" s="170"/>
      <c r="N87" s="170"/>
      <c r="O87" s="312">
        <f>2*O61</f>
        <v>0</v>
      </c>
      <c r="P87" s="312"/>
      <c r="Q87" s="170"/>
      <c r="R87" s="170" t="s">
        <v>52</v>
      </c>
      <c r="S87" s="204"/>
      <c r="T87" s="157"/>
      <c r="U87" s="160"/>
      <c r="V87" s="160"/>
      <c r="W87" s="156"/>
      <c r="X87" s="20"/>
      <c r="Y87" s="20"/>
      <c r="Z87" s="20"/>
      <c r="AA87" s="20"/>
      <c r="AB87" s="20"/>
      <c r="AC87" s="20"/>
      <c r="AD87" s="20"/>
    </row>
    <row r="88" spans="1:30">
      <c r="A88" s="195"/>
      <c r="B88" s="170"/>
      <c r="C88" s="170"/>
      <c r="D88" s="170"/>
      <c r="E88" s="170"/>
      <c r="F88" s="170"/>
      <c r="G88" s="170"/>
      <c r="H88" s="170"/>
      <c r="I88" s="170"/>
      <c r="J88" s="170"/>
      <c r="K88" s="170"/>
      <c r="L88" s="170"/>
      <c r="M88" s="170"/>
      <c r="N88" s="170"/>
      <c r="O88" s="170"/>
      <c r="P88" s="170"/>
      <c r="Q88" s="170"/>
      <c r="R88" s="170"/>
      <c r="S88" s="204"/>
      <c r="T88" s="157"/>
      <c r="U88" s="160"/>
      <c r="V88" s="160"/>
      <c r="W88" s="156"/>
      <c r="X88" s="20"/>
      <c r="Y88" s="20"/>
      <c r="Z88" s="20"/>
      <c r="AA88" s="20"/>
      <c r="AB88" s="20"/>
      <c r="AC88" s="20"/>
      <c r="AD88" s="20"/>
    </row>
    <row r="89" spans="1:30">
      <c r="A89" s="196">
        <v>15</v>
      </c>
      <c r="B89" s="170" t="s">
        <v>298</v>
      </c>
      <c r="C89" s="170"/>
      <c r="D89" s="170"/>
      <c r="E89" s="170"/>
      <c r="F89" s="170"/>
      <c r="G89" s="170"/>
      <c r="H89" s="170"/>
      <c r="I89" s="170"/>
      <c r="J89" s="170" t="s">
        <v>299</v>
      </c>
      <c r="K89" s="170"/>
      <c r="L89" s="170"/>
      <c r="M89" s="170"/>
      <c r="N89" s="170"/>
      <c r="O89" s="8"/>
      <c r="P89" s="170"/>
      <c r="Q89" s="170"/>
      <c r="R89" s="170"/>
      <c r="S89" s="204"/>
      <c r="T89" s="157"/>
      <c r="U89" s="160"/>
      <c r="V89" s="160"/>
      <c r="W89" s="156"/>
      <c r="X89" s="20"/>
      <c r="Y89" s="20"/>
      <c r="Z89" s="20"/>
      <c r="AA89" s="20"/>
      <c r="AB89" s="20"/>
      <c r="AC89" s="20"/>
      <c r="AD89" s="20"/>
    </row>
    <row r="90" spans="1:30">
      <c r="A90" s="195"/>
      <c r="B90" s="171"/>
      <c r="C90" s="171"/>
      <c r="D90" s="170"/>
      <c r="E90" s="170"/>
      <c r="F90" s="170"/>
      <c r="G90" s="170"/>
      <c r="H90" s="170"/>
      <c r="I90" s="170"/>
      <c r="J90" s="170"/>
      <c r="K90" s="170"/>
      <c r="L90" s="170"/>
      <c r="M90" s="170"/>
      <c r="N90" s="170"/>
      <c r="O90" s="170"/>
      <c r="P90" s="170"/>
      <c r="Q90" s="170"/>
      <c r="R90" s="170"/>
      <c r="S90" s="204"/>
      <c r="T90" s="157"/>
      <c r="U90" s="160"/>
      <c r="V90" s="160"/>
      <c r="W90" s="156"/>
      <c r="X90" s="20"/>
      <c r="Y90" s="20"/>
      <c r="Z90" s="20"/>
      <c r="AA90" s="20"/>
      <c r="AB90" s="20"/>
      <c r="AC90" s="20"/>
      <c r="AD90" s="20"/>
    </row>
    <row r="91" spans="1:30">
      <c r="A91" s="196">
        <v>16</v>
      </c>
      <c r="B91" s="170" t="s">
        <v>300</v>
      </c>
      <c r="C91" s="170"/>
      <c r="D91" s="170"/>
      <c r="E91" s="170"/>
      <c r="F91" s="170"/>
      <c r="G91" s="170"/>
      <c r="H91" s="170"/>
      <c r="I91" s="170"/>
      <c r="J91" s="170" t="s">
        <v>299</v>
      </c>
      <c r="K91" s="170"/>
      <c r="L91" s="170"/>
      <c r="M91" s="170"/>
      <c r="N91" s="170"/>
      <c r="O91" s="10"/>
      <c r="P91" s="170"/>
      <c r="Q91" s="170"/>
      <c r="R91" s="170"/>
      <c r="S91" s="204"/>
      <c r="T91" s="157"/>
      <c r="U91" s="156"/>
      <c r="V91" s="156"/>
      <c r="W91" s="156"/>
      <c r="X91" s="20"/>
      <c r="Y91" s="20"/>
      <c r="Z91" s="20"/>
      <c r="AA91" s="20"/>
      <c r="AB91" s="20"/>
      <c r="AC91" s="20"/>
      <c r="AD91" s="20"/>
    </row>
    <row r="92" spans="1:30">
      <c r="A92" s="235"/>
      <c r="B92" s="170" t="s">
        <v>301</v>
      </c>
      <c r="C92" s="170"/>
      <c r="D92" s="170"/>
      <c r="E92" s="170"/>
      <c r="F92" s="170"/>
      <c r="G92" s="170"/>
      <c r="H92" s="170"/>
      <c r="I92" s="170"/>
      <c r="J92" s="170"/>
      <c r="K92" s="170"/>
      <c r="L92" s="170"/>
      <c r="M92" s="170"/>
      <c r="N92" s="170"/>
      <c r="O92" s="170"/>
      <c r="P92" s="170"/>
      <c r="Q92" s="170"/>
      <c r="R92" s="170"/>
      <c r="S92" s="204"/>
      <c r="T92" s="157"/>
      <c r="U92" s="156"/>
      <c r="V92" s="156"/>
      <c r="W92" s="156"/>
      <c r="X92" s="20"/>
      <c r="Y92" s="20"/>
      <c r="Z92" s="20"/>
      <c r="AA92" s="20"/>
      <c r="AB92" s="20"/>
      <c r="AC92" s="20"/>
      <c r="AD92" s="20"/>
    </row>
    <row r="93" spans="1:30">
      <c r="A93" s="195"/>
      <c r="B93" s="170"/>
      <c r="C93" s="170"/>
      <c r="D93" s="170"/>
      <c r="E93" s="170"/>
      <c r="F93" s="170"/>
      <c r="G93" s="170"/>
      <c r="H93" s="170"/>
      <c r="I93" s="170"/>
      <c r="J93" s="170"/>
      <c r="K93" s="170"/>
      <c r="L93" s="170"/>
      <c r="M93" s="170"/>
      <c r="N93" s="170"/>
      <c r="O93" s="170"/>
      <c r="P93" s="170"/>
      <c r="Q93" s="170"/>
      <c r="R93" s="170"/>
      <c r="S93" s="204"/>
      <c r="T93" s="157"/>
      <c r="U93" s="156"/>
      <c r="V93" s="156"/>
      <c r="W93" s="156"/>
      <c r="X93" s="20"/>
      <c r="Y93" s="20"/>
      <c r="Z93" s="20"/>
      <c r="AA93" s="20"/>
      <c r="AB93" s="20"/>
      <c r="AC93" s="20"/>
      <c r="AD93" s="20"/>
    </row>
    <row r="94" spans="1:30">
      <c r="A94" s="196">
        <v>17</v>
      </c>
      <c r="B94" s="170" t="s">
        <v>470</v>
      </c>
      <c r="C94" s="170"/>
      <c r="D94" s="170"/>
      <c r="E94" s="170"/>
      <c r="F94" s="170"/>
      <c r="G94" s="170"/>
      <c r="H94" s="170"/>
      <c r="I94" s="170"/>
      <c r="J94" s="170"/>
      <c r="K94" s="170"/>
      <c r="L94" s="170"/>
      <c r="M94" s="170"/>
      <c r="N94" s="170"/>
      <c r="O94" s="407"/>
      <c r="P94" s="407"/>
      <c r="Q94" s="170"/>
      <c r="R94" s="170"/>
      <c r="S94" s="204"/>
      <c r="T94" s="157"/>
      <c r="U94" s="156"/>
      <c r="V94" s="156"/>
      <c r="W94" s="156"/>
      <c r="X94" s="20"/>
      <c r="Y94" s="20"/>
      <c r="Z94" s="20"/>
      <c r="AA94" s="20"/>
      <c r="AB94" s="20"/>
      <c r="AC94" s="20"/>
      <c r="AD94" s="20"/>
    </row>
    <row r="95" spans="1:30">
      <c r="A95" s="195"/>
      <c r="B95" s="171" t="s">
        <v>468</v>
      </c>
      <c r="C95" s="170"/>
      <c r="D95" s="170"/>
      <c r="E95" s="170"/>
      <c r="F95" s="170"/>
      <c r="G95" s="170"/>
      <c r="H95" s="170"/>
      <c r="I95" s="170"/>
      <c r="J95" s="170"/>
      <c r="K95" s="170"/>
      <c r="L95" s="170"/>
      <c r="M95" s="170"/>
      <c r="N95" s="170"/>
      <c r="O95" s="170"/>
      <c r="P95" s="170"/>
      <c r="Q95" s="170"/>
      <c r="R95" s="170"/>
      <c r="S95" s="204"/>
      <c r="T95" s="157"/>
      <c r="U95" s="156"/>
      <c r="V95" s="156"/>
      <c r="W95" s="156"/>
      <c r="X95" s="20"/>
      <c r="Y95" s="20"/>
      <c r="Z95" s="20"/>
      <c r="AA95" s="20"/>
      <c r="AB95" s="20"/>
      <c r="AC95" s="20"/>
      <c r="AD95" s="20"/>
    </row>
    <row r="96" spans="1:30">
      <c r="A96" s="195"/>
      <c r="B96" s="170"/>
      <c r="C96" s="170"/>
      <c r="D96" s="170"/>
      <c r="E96" s="170"/>
      <c r="F96" s="170"/>
      <c r="G96" s="170"/>
      <c r="H96" s="170"/>
      <c r="I96" s="170"/>
      <c r="J96" s="170"/>
      <c r="K96" s="170"/>
      <c r="L96" s="170"/>
      <c r="M96" s="170"/>
      <c r="N96" s="170"/>
      <c r="O96" s="170"/>
      <c r="P96" s="170"/>
      <c r="Q96" s="170"/>
      <c r="R96" s="170"/>
      <c r="S96" s="204"/>
      <c r="T96" s="157"/>
      <c r="U96" s="156"/>
      <c r="V96" s="156"/>
      <c r="W96" s="156"/>
      <c r="X96" s="20"/>
      <c r="Y96" s="20"/>
      <c r="Z96" s="20"/>
      <c r="AA96" s="20"/>
      <c r="AB96" s="20"/>
      <c r="AC96" s="20"/>
      <c r="AD96" s="20"/>
    </row>
    <row r="97" spans="1:30">
      <c r="A97" s="196">
        <v>18</v>
      </c>
      <c r="B97" s="171" t="s">
        <v>471</v>
      </c>
      <c r="C97" s="170"/>
      <c r="D97" s="170"/>
      <c r="E97" s="170"/>
      <c r="F97" s="170"/>
      <c r="G97" s="170"/>
      <c r="H97" s="170"/>
      <c r="I97" s="170"/>
      <c r="J97" s="170"/>
      <c r="K97" s="170"/>
      <c r="L97" s="170"/>
      <c r="M97" s="170"/>
      <c r="N97" s="170"/>
      <c r="O97" s="407"/>
      <c r="P97" s="407"/>
      <c r="Q97" s="170"/>
      <c r="R97" s="170"/>
      <c r="S97" s="204"/>
      <c r="T97" s="158" t="s">
        <v>337</v>
      </c>
      <c r="U97" s="156"/>
      <c r="V97" s="156"/>
      <c r="W97" s="156"/>
      <c r="X97" s="20"/>
      <c r="Y97" s="20"/>
      <c r="Z97" s="20"/>
      <c r="AA97" s="20"/>
      <c r="AB97" s="20"/>
      <c r="AC97" s="20"/>
      <c r="AD97" s="20"/>
    </row>
    <row r="98" spans="1:30">
      <c r="A98" s="195"/>
      <c r="B98" s="170" t="s">
        <v>469</v>
      </c>
      <c r="C98" s="170"/>
      <c r="D98" s="170"/>
      <c r="E98" s="170"/>
      <c r="F98" s="170"/>
      <c r="G98" s="170"/>
      <c r="H98" s="170"/>
      <c r="I98" s="170"/>
      <c r="J98" s="170"/>
      <c r="K98" s="170"/>
      <c r="L98" s="170"/>
      <c r="M98" s="170"/>
      <c r="N98" s="170"/>
      <c r="O98" s="170"/>
      <c r="P98" s="170"/>
      <c r="Q98" s="170"/>
      <c r="R98" s="170"/>
      <c r="S98" s="204"/>
      <c r="T98" s="157"/>
      <c r="U98" s="156"/>
      <c r="V98" s="156"/>
      <c r="W98" s="156"/>
      <c r="X98" s="20"/>
      <c r="Y98" s="20"/>
      <c r="Z98" s="20"/>
      <c r="AA98" s="20"/>
      <c r="AB98" s="20"/>
      <c r="AC98" s="20"/>
      <c r="AD98" s="20"/>
    </row>
    <row r="99" spans="1:30" ht="13.8" thickBot="1">
      <c r="A99" s="242"/>
      <c r="B99" s="243"/>
      <c r="C99" s="243"/>
      <c r="D99" s="243"/>
      <c r="E99" s="243"/>
      <c r="F99" s="243"/>
      <c r="G99" s="243"/>
      <c r="H99" s="243"/>
      <c r="I99" s="243"/>
      <c r="J99" s="243"/>
      <c r="K99" s="243"/>
      <c r="L99" s="243"/>
      <c r="M99" s="243"/>
      <c r="N99" s="243"/>
      <c r="O99" s="243"/>
      <c r="P99" s="243"/>
      <c r="Q99" s="243"/>
      <c r="R99" s="243"/>
      <c r="S99" s="245"/>
      <c r="T99" s="157"/>
      <c r="U99" s="156"/>
      <c r="V99" s="156"/>
      <c r="W99" s="156"/>
      <c r="X99" s="20"/>
      <c r="Y99" s="20"/>
      <c r="Z99" s="20"/>
      <c r="AA99" s="20"/>
      <c r="AB99" s="20"/>
      <c r="AC99" s="20"/>
      <c r="AD99" s="20"/>
    </row>
    <row r="100" spans="1:30" ht="13.8" thickTop="1">
      <c r="A100" s="42"/>
      <c r="B100" s="42"/>
      <c r="C100" s="42"/>
      <c r="D100" s="42"/>
      <c r="E100" s="42"/>
      <c r="F100" s="42"/>
      <c r="G100" s="42"/>
      <c r="H100" s="42"/>
      <c r="I100" s="42"/>
      <c r="J100" s="42"/>
      <c r="K100" s="42"/>
      <c r="L100" s="42"/>
      <c r="M100" s="42"/>
      <c r="N100" s="42"/>
      <c r="O100" s="42"/>
      <c r="P100" s="42"/>
      <c r="Q100" s="42"/>
      <c r="R100" s="42"/>
      <c r="S100" s="42"/>
      <c r="T100" s="157"/>
      <c r="U100" s="156"/>
      <c r="V100" s="156"/>
      <c r="W100" s="156"/>
      <c r="X100" s="20"/>
      <c r="Y100" s="20"/>
      <c r="Z100" s="20"/>
      <c r="AA100" s="20"/>
      <c r="AB100" s="20"/>
      <c r="AC100" s="20"/>
      <c r="AD100" s="20"/>
    </row>
    <row r="101" spans="1:30">
      <c r="A101" s="42"/>
      <c r="B101" s="84"/>
      <c r="C101" s="42"/>
      <c r="D101" s="42"/>
      <c r="E101" s="42"/>
      <c r="F101" s="42"/>
      <c r="G101" s="42"/>
      <c r="H101" s="42"/>
      <c r="I101" s="42"/>
      <c r="J101" s="42"/>
      <c r="K101" s="42"/>
      <c r="L101" s="42"/>
      <c r="M101" s="42"/>
      <c r="N101" s="42"/>
      <c r="O101" s="42"/>
      <c r="P101" s="42"/>
      <c r="Q101" s="42"/>
      <c r="R101" s="42"/>
      <c r="S101" s="42"/>
      <c r="T101" s="42"/>
      <c r="U101" s="20"/>
      <c r="V101" s="20"/>
      <c r="W101" s="20"/>
      <c r="X101" s="20"/>
      <c r="Y101" s="20"/>
      <c r="Z101" s="20"/>
      <c r="AA101" s="20"/>
      <c r="AB101" s="20"/>
      <c r="AC101" s="20"/>
      <c r="AD101" s="20"/>
    </row>
    <row r="102" spans="1:30">
      <c r="A102" s="42"/>
      <c r="B102" s="42"/>
      <c r="C102" s="42"/>
      <c r="D102" s="42"/>
      <c r="E102" s="42"/>
      <c r="F102" s="42"/>
      <c r="G102" s="42"/>
      <c r="H102" s="42"/>
      <c r="I102" s="42"/>
      <c r="J102" s="42"/>
      <c r="K102" s="42"/>
      <c r="L102" s="42"/>
      <c r="M102" s="42"/>
      <c r="N102" s="42"/>
      <c r="O102" s="42"/>
      <c r="P102" s="42"/>
      <c r="Q102" s="42"/>
      <c r="R102" s="42"/>
      <c r="S102" s="42"/>
      <c r="T102" s="42"/>
      <c r="U102" s="20"/>
      <c r="V102" s="20"/>
      <c r="W102" s="20"/>
      <c r="X102" s="20"/>
      <c r="Y102" s="20"/>
      <c r="Z102" s="20"/>
      <c r="AA102" s="20"/>
      <c r="AB102" s="20"/>
      <c r="AC102" s="20"/>
      <c r="AD102" s="20"/>
    </row>
    <row r="103" spans="1:30">
      <c r="A103" s="42"/>
      <c r="B103" s="42"/>
      <c r="C103" s="42"/>
      <c r="D103" s="42"/>
      <c r="E103" s="42"/>
      <c r="F103" s="42"/>
      <c r="G103" s="42"/>
      <c r="H103" s="42"/>
      <c r="I103" s="42"/>
      <c r="J103" s="42"/>
      <c r="K103" s="42"/>
      <c r="L103" s="42"/>
      <c r="M103" s="42"/>
      <c r="N103" s="42"/>
      <c r="O103" s="42"/>
      <c r="P103" s="42"/>
      <c r="Q103" s="42"/>
      <c r="R103" s="42"/>
      <c r="S103" s="42"/>
      <c r="T103" s="42"/>
      <c r="U103" s="20"/>
      <c r="V103" s="20"/>
      <c r="W103" s="20"/>
      <c r="X103" s="20"/>
      <c r="Y103" s="20"/>
      <c r="Z103" s="20"/>
      <c r="AA103" s="20"/>
      <c r="AB103" s="20"/>
      <c r="AC103" s="20"/>
      <c r="AD103" s="20"/>
    </row>
    <row r="104" spans="1:30">
      <c r="A104" s="42"/>
      <c r="B104" s="42"/>
      <c r="C104" s="42"/>
      <c r="D104" s="42"/>
      <c r="E104" s="42"/>
      <c r="F104" s="42"/>
      <c r="G104" s="42"/>
      <c r="H104" s="42"/>
      <c r="I104" s="42"/>
      <c r="J104" s="42"/>
      <c r="K104" s="42"/>
      <c r="L104" s="42"/>
      <c r="M104" s="42"/>
      <c r="N104" s="42"/>
      <c r="O104" s="42"/>
      <c r="P104" s="42"/>
      <c r="Q104" s="42"/>
      <c r="R104" s="42"/>
      <c r="S104" s="42"/>
      <c r="T104" s="42"/>
      <c r="U104" s="20"/>
      <c r="V104" s="20"/>
      <c r="W104" s="20"/>
      <c r="X104" s="20"/>
      <c r="Y104" s="20"/>
      <c r="Z104" s="20"/>
      <c r="AA104" s="20"/>
      <c r="AB104" s="20"/>
      <c r="AC104" s="20"/>
      <c r="AD104" s="20"/>
    </row>
    <row r="105" spans="1:30">
      <c r="A105" s="42"/>
      <c r="B105" s="42"/>
      <c r="C105" s="42"/>
      <c r="D105" s="42"/>
      <c r="E105" s="42"/>
      <c r="F105" s="42"/>
      <c r="G105" s="42"/>
      <c r="H105" s="42"/>
      <c r="I105" s="42"/>
      <c r="J105" s="42"/>
      <c r="K105" s="42"/>
      <c r="L105" s="42"/>
      <c r="M105" s="42"/>
      <c r="N105" s="42"/>
      <c r="O105" s="42"/>
      <c r="P105" s="42"/>
      <c r="Q105" s="42"/>
      <c r="R105" s="42"/>
      <c r="S105" s="42"/>
      <c r="T105" s="42"/>
      <c r="U105" s="20"/>
      <c r="V105" s="20"/>
      <c r="W105" s="20"/>
      <c r="X105" s="20"/>
      <c r="Y105" s="20"/>
      <c r="Z105" s="20"/>
      <c r="AA105" s="20"/>
      <c r="AB105" s="20"/>
      <c r="AC105" s="20"/>
      <c r="AD105" s="20"/>
    </row>
    <row r="106" spans="1:30">
      <c r="A106" s="42"/>
      <c r="B106" s="42"/>
      <c r="C106" s="42"/>
      <c r="D106" s="42"/>
      <c r="E106" s="42"/>
      <c r="F106" s="42"/>
      <c r="G106" s="42"/>
      <c r="H106" s="42"/>
      <c r="I106" s="42"/>
      <c r="J106" s="42"/>
      <c r="K106" s="42"/>
      <c r="L106" s="42"/>
      <c r="M106" s="42"/>
      <c r="N106" s="42"/>
      <c r="O106" s="42"/>
      <c r="P106" s="42"/>
      <c r="Q106" s="42"/>
      <c r="R106" s="42"/>
      <c r="S106" s="42"/>
      <c r="T106" s="42"/>
      <c r="U106" s="20"/>
      <c r="V106" s="20"/>
      <c r="W106" s="20"/>
      <c r="X106" s="20"/>
      <c r="Y106" s="20"/>
      <c r="Z106" s="20"/>
      <c r="AA106" s="20"/>
      <c r="AB106" s="20"/>
      <c r="AC106" s="20"/>
      <c r="AD106" s="20"/>
    </row>
    <row r="107" spans="1:30">
      <c r="A107" s="42"/>
      <c r="B107" s="42"/>
      <c r="C107" s="42"/>
      <c r="D107" s="42"/>
      <c r="E107" s="42"/>
      <c r="F107" s="42"/>
      <c r="G107" s="42"/>
      <c r="H107" s="42"/>
      <c r="I107" s="42"/>
      <c r="J107" s="42"/>
      <c r="K107" s="42"/>
      <c r="L107" s="42"/>
      <c r="M107" s="42"/>
      <c r="N107" s="42"/>
      <c r="O107" s="42"/>
      <c r="P107" s="42"/>
      <c r="Q107" s="42"/>
      <c r="R107" s="42"/>
      <c r="S107" s="42"/>
      <c r="T107" s="42"/>
      <c r="U107" s="20"/>
      <c r="V107" s="20"/>
      <c r="W107" s="20"/>
      <c r="X107" s="20"/>
      <c r="Y107" s="20"/>
      <c r="Z107" s="20"/>
      <c r="AA107" s="20"/>
      <c r="AB107" s="20"/>
      <c r="AC107" s="20"/>
      <c r="AD107" s="20"/>
    </row>
    <row r="108" spans="1:30">
      <c r="A108" s="42"/>
      <c r="B108" s="42"/>
      <c r="C108" s="42"/>
      <c r="D108" s="42"/>
      <c r="E108" s="42"/>
      <c r="F108" s="42"/>
      <c r="G108" s="42"/>
      <c r="H108" s="42"/>
      <c r="I108" s="42"/>
      <c r="J108" s="42"/>
      <c r="K108" s="42"/>
      <c r="L108" s="42"/>
      <c r="M108" s="42"/>
      <c r="N108" s="42"/>
      <c r="O108" s="42"/>
      <c r="P108" s="42"/>
      <c r="Q108" s="42"/>
      <c r="R108" s="42"/>
      <c r="S108" s="42"/>
      <c r="T108" s="42"/>
      <c r="U108" s="20"/>
      <c r="V108" s="20"/>
      <c r="W108" s="20"/>
      <c r="X108" s="20"/>
      <c r="Y108" s="20"/>
      <c r="Z108" s="20"/>
      <c r="AA108" s="20"/>
      <c r="AB108" s="20"/>
      <c r="AC108" s="20"/>
      <c r="AD108" s="20"/>
    </row>
    <row r="109" spans="1:30">
      <c r="A109" s="42"/>
      <c r="B109" s="42"/>
      <c r="C109" s="42"/>
      <c r="D109" s="42"/>
      <c r="E109" s="42"/>
      <c r="F109" s="42"/>
      <c r="G109" s="42"/>
      <c r="H109" s="42"/>
      <c r="I109" s="42"/>
      <c r="J109" s="42"/>
      <c r="K109" s="42"/>
      <c r="L109" s="42"/>
      <c r="M109" s="42"/>
      <c r="N109" s="42"/>
      <c r="O109" s="42"/>
      <c r="P109" s="42"/>
      <c r="Q109" s="42"/>
      <c r="R109" s="42"/>
      <c r="S109" s="42"/>
      <c r="T109" s="42"/>
      <c r="U109" s="20"/>
      <c r="V109" s="20"/>
      <c r="W109" s="20"/>
      <c r="X109" s="20"/>
      <c r="Y109" s="20"/>
      <c r="Z109" s="20"/>
      <c r="AA109" s="20"/>
      <c r="AB109" s="20"/>
      <c r="AC109" s="20"/>
      <c r="AD109" s="20"/>
    </row>
    <row r="110" spans="1:30">
      <c r="A110" s="42"/>
      <c r="B110" s="42"/>
      <c r="C110" s="42"/>
      <c r="D110" s="42"/>
      <c r="E110" s="42"/>
      <c r="F110" s="42"/>
      <c r="G110" s="42"/>
      <c r="H110" s="42"/>
      <c r="I110" s="42"/>
      <c r="J110" s="42"/>
      <c r="K110" s="42"/>
      <c r="L110" s="42"/>
      <c r="M110" s="42"/>
      <c r="N110" s="42"/>
      <c r="O110" s="42"/>
      <c r="P110" s="42"/>
      <c r="Q110" s="42"/>
      <c r="R110" s="42"/>
      <c r="S110" s="42"/>
      <c r="T110" s="42"/>
      <c r="U110" s="20"/>
      <c r="V110" s="20"/>
      <c r="W110" s="20"/>
      <c r="X110" s="20"/>
      <c r="Y110" s="20"/>
      <c r="Z110" s="20"/>
      <c r="AA110" s="20"/>
      <c r="AB110" s="20"/>
      <c r="AC110" s="20"/>
      <c r="AD110" s="20"/>
    </row>
    <row r="111" spans="1:30">
      <c r="A111" s="42"/>
      <c r="B111" s="42"/>
      <c r="C111" s="42"/>
      <c r="D111" s="42"/>
      <c r="E111" s="42"/>
      <c r="F111" s="42"/>
      <c r="G111" s="42"/>
      <c r="H111" s="42"/>
      <c r="I111" s="42"/>
      <c r="J111" s="42"/>
      <c r="K111" s="42"/>
      <c r="L111" s="42"/>
      <c r="M111" s="42"/>
      <c r="N111" s="42"/>
      <c r="O111" s="42"/>
      <c r="P111" s="42"/>
      <c r="Q111" s="42"/>
      <c r="R111" s="42"/>
      <c r="S111" s="42"/>
      <c r="T111" s="42"/>
      <c r="U111" s="20"/>
      <c r="V111" s="20"/>
      <c r="W111" s="20"/>
      <c r="X111" s="20"/>
      <c r="Y111" s="20"/>
      <c r="Z111" s="20"/>
      <c r="AA111" s="20"/>
      <c r="AB111" s="20"/>
      <c r="AC111" s="20"/>
      <c r="AD111" s="20"/>
    </row>
    <row r="112" spans="1:30">
      <c r="A112" s="42"/>
      <c r="B112" s="42"/>
      <c r="C112" s="42"/>
      <c r="D112" s="42"/>
      <c r="E112" s="42"/>
      <c r="F112" s="42"/>
      <c r="G112" s="42"/>
      <c r="H112" s="42"/>
      <c r="I112" s="42"/>
      <c r="J112" s="42"/>
      <c r="K112" s="42"/>
      <c r="L112" s="42"/>
      <c r="M112" s="42"/>
      <c r="N112" s="42"/>
      <c r="O112" s="42"/>
      <c r="P112" s="42"/>
      <c r="Q112" s="42"/>
      <c r="R112" s="42"/>
      <c r="S112" s="42"/>
      <c r="T112" s="42"/>
      <c r="U112" s="20"/>
      <c r="V112" s="20"/>
      <c r="W112" s="20"/>
      <c r="X112" s="20"/>
      <c r="Y112" s="20"/>
      <c r="Z112" s="20"/>
      <c r="AA112" s="20"/>
      <c r="AB112" s="20"/>
      <c r="AC112" s="20"/>
      <c r="AD112" s="20"/>
    </row>
    <row r="113" spans="1:30">
      <c r="A113" s="20"/>
      <c r="B113" s="20"/>
      <c r="C113" s="20"/>
      <c r="D113" s="20"/>
      <c r="E113" s="20"/>
      <c r="F113" s="20"/>
      <c r="G113" s="20"/>
      <c r="H113" s="20"/>
      <c r="I113" s="20"/>
      <c r="J113" s="20"/>
      <c r="K113" s="20"/>
      <c r="L113" s="20"/>
      <c r="M113" s="20"/>
      <c r="N113" s="20"/>
      <c r="O113" s="20"/>
      <c r="P113" s="20"/>
      <c r="Q113" s="20"/>
      <c r="R113" s="20"/>
      <c r="S113" s="20"/>
      <c r="T113" s="20"/>
      <c r="U113" s="20"/>
      <c r="V113" s="20"/>
      <c r="W113" s="20"/>
      <c r="X113" s="20"/>
      <c r="Y113" s="20"/>
      <c r="Z113" s="20"/>
      <c r="AA113" s="20"/>
      <c r="AB113" s="20"/>
      <c r="AC113" s="20"/>
      <c r="AD113" s="20"/>
    </row>
    <row r="114" spans="1:30">
      <c r="A114" s="20"/>
      <c r="B114" s="20"/>
      <c r="C114" s="20"/>
      <c r="D114" s="20"/>
      <c r="E114" s="20"/>
      <c r="F114" s="20"/>
      <c r="G114" s="20"/>
      <c r="H114" s="20"/>
      <c r="I114" s="20"/>
      <c r="J114" s="20"/>
      <c r="K114" s="20"/>
      <c r="L114" s="20"/>
      <c r="M114" s="20"/>
      <c r="N114" s="20"/>
      <c r="O114" s="20"/>
      <c r="P114" s="20"/>
      <c r="Q114" s="20"/>
      <c r="R114" s="20"/>
      <c r="S114" s="20"/>
      <c r="T114" s="20"/>
      <c r="U114" s="20"/>
      <c r="V114" s="20"/>
      <c r="W114" s="20"/>
      <c r="X114" s="20"/>
      <c r="Y114" s="20"/>
      <c r="Z114" s="20"/>
      <c r="AA114" s="20"/>
      <c r="AB114" s="20"/>
      <c r="AC114" s="20"/>
      <c r="AD114" s="20"/>
    </row>
    <row r="115" spans="1:30">
      <c r="A115" s="20"/>
      <c r="B115" s="20"/>
      <c r="C115" s="20"/>
      <c r="D115" s="20"/>
      <c r="E115" s="20"/>
      <c r="F115" s="20"/>
      <c r="G115" s="20"/>
      <c r="H115" s="20"/>
      <c r="I115" s="20"/>
      <c r="J115" s="20"/>
      <c r="K115" s="20"/>
      <c r="L115" s="20"/>
      <c r="M115" s="20"/>
      <c r="N115" s="20"/>
      <c r="O115" s="20"/>
      <c r="P115" s="20"/>
      <c r="Q115" s="20"/>
      <c r="R115" s="20"/>
      <c r="S115" s="20"/>
      <c r="T115" s="20"/>
      <c r="U115" s="20"/>
      <c r="V115" s="20"/>
      <c r="W115" s="20"/>
      <c r="X115" s="20"/>
      <c r="Y115" s="20"/>
      <c r="Z115" s="20"/>
      <c r="AA115" s="20"/>
      <c r="AB115" s="20"/>
      <c r="AC115" s="20"/>
      <c r="AD115" s="20"/>
    </row>
    <row r="116" spans="1:30">
      <c r="A116" s="20"/>
      <c r="B116" s="20"/>
      <c r="C116" s="20"/>
      <c r="D116" s="20"/>
      <c r="E116" s="20"/>
      <c r="F116" s="20"/>
      <c r="G116" s="20"/>
      <c r="H116" s="20"/>
      <c r="I116" s="20"/>
      <c r="J116" s="20"/>
      <c r="K116" s="20"/>
      <c r="L116" s="20"/>
      <c r="M116" s="20"/>
      <c r="N116" s="20"/>
      <c r="O116" s="20"/>
      <c r="P116" s="20"/>
      <c r="Q116" s="20"/>
      <c r="R116" s="20"/>
      <c r="S116" s="20"/>
      <c r="T116" s="20"/>
      <c r="U116" s="20"/>
      <c r="V116" s="20"/>
      <c r="W116" s="20"/>
      <c r="X116" s="20"/>
      <c r="Y116" s="20"/>
      <c r="Z116" s="20"/>
      <c r="AA116" s="20"/>
      <c r="AB116" s="20"/>
      <c r="AC116" s="20"/>
      <c r="AD116" s="20"/>
    </row>
    <row r="117" spans="1:30">
      <c r="A117" s="20"/>
      <c r="B117" s="20"/>
      <c r="C117" s="20"/>
      <c r="D117" s="20"/>
      <c r="E117" s="20"/>
      <c r="F117" s="20"/>
      <c r="G117" s="20"/>
      <c r="H117" s="20"/>
      <c r="I117" s="20"/>
      <c r="J117" s="20"/>
      <c r="K117" s="20"/>
      <c r="L117" s="20"/>
      <c r="M117" s="20"/>
      <c r="N117" s="20"/>
      <c r="O117" s="20"/>
      <c r="P117" s="20"/>
      <c r="Q117" s="20"/>
      <c r="R117" s="20"/>
      <c r="S117" s="20"/>
      <c r="T117" s="20"/>
      <c r="U117" s="20"/>
      <c r="V117" s="20"/>
      <c r="W117" s="20"/>
      <c r="X117" s="20"/>
      <c r="Y117" s="20"/>
      <c r="Z117" s="20"/>
      <c r="AA117" s="20"/>
      <c r="AB117" s="20"/>
      <c r="AC117" s="20"/>
      <c r="AD117" s="20"/>
    </row>
    <row r="118" spans="1:30">
      <c r="A118" s="20"/>
      <c r="B118" s="20"/>
      <c r="C118" s="20"/>
      <c r="D118" s="20"/>
      <c r="E118" s="20"/>
      <c r="F118" s="20"/>
      <c r="G118" s="20"/>
      <c r="H118" s="20"/>
      <c r="I118" s="20"/>
      <c r="J118" s="20"/>
      <c r="K118" s="20"/>
      <c r="L118" s="20"/>
      <c r="M118" s="20"/>
      <c r="N118" s="20"/>
      <c r="O118" s="20"/>
      <c r="P118" s="20"/>
      <c r="Q118" s="20"/>
      <c r="R118" s="20"/>
      <c r="S118" s="20"/>
      <c r="T118" s="20"/>
      <c r="U118" s="20"/>
      <c r="V118" s="20"/>
      <c r="W118" s="20"/>
      <c r="X118" s="20"/>
      <c r="Y118" s="20"/>
      <c r="Z118" s="20"/>
      <c r="AA118" s="20"/>
      <c r="AB118" s="20"/>
      <c r="AC118" s="20"/>
      <c r="AD118" s="20"/>
    </row>
    <row r="119" spans="1:30">
      <c r="A119" s="20"/>
      <c r="B119" s="20"/>
      <c r="C119" s="20"/>
      <c r="D119" s="20"/>
      <c r="E119" s="20"/>
      <c r="F119" s="20"/>
      <c r="G119" s="20"/>
      <c r="H119" s="20"/>
      <c r="I119" s="20"/>
      <c r="J119" s="20"/>
      <c r="K119" s="20"/>
      <c r="L119" s="20"/>
      <c r="M119" s="20"/>
      <c r="N119" s="20"/>
      <c r="O119" s="20"/>
      <c r="P119" s="20"/>
      <c r="Q119" s="20"/>
      <c r="R119" s="20"/>
      <c r="S119" s="20"/>
      <c r="T119" s="20"/>
      <c r="U119" s="20"/>
      <c r="V119" s="20"/>
      <c r="W119" s="20"/>
      <c r="X119" s="20"/>
      <c r="Y119" s="20"/>
      <c r="Z119" s="20"/>
      <c r="AA119" s="20"/>
      <c r="AB119" s="20"/>
      <c r="AC119" s="20"/>
      <c r="AD119" s="20"/>
    </row>
    <row r="120" spans="1:30">
      <c r="A120" s="20"/>
      <c r="B120" s="20"/>
      <c r="C120" s="20"/>
      <c r="D120" s="20"/>
      <c r="E120" s="20"/>
      <c r="F120" s="20"/>
      <c r="G120" s="20"/>
      <c r="H120" s="20"/>
      <c r="I120" s="20"/>
      <c r="J120" s="20"/>
      <c r="K120" s="20"/>
      <c r="L120" s="20"/>
      <c r="M120" s="20"/>
      <c r="N120" s="20"/>
      <c r="O120" s="20"/>
      <c r="P120" s="20"/>
      <c r="Q120" s="20"/>
      <c r="R120" s="20"/>
      <c r="S120" s="20"/>
      <c r="T120" s="20"/>
      <c r="U120" s="20"/>
      <c r="V120" s="20"/>
      <c r="W120" s="20"/>
      <c r="X120" s="20"/>
      <c r="Y120" s="20"/>
      <c r="Z120" s="20"/>
      <c r="AA120" s="20"/>
      <c r="AB120" s="20"/>
      <c r="AC120" s="20"/>
      <c r="AD120" s="20"/>
    </row>
    <row r="121" spans="1:30">
      <c r="A121" s="20"/>
      <c r="B121" s="20"/>
      <c r="C121" s="20"/>
      <c r="D121" s="20"/>
      <c r="E121" s="20"/>
      <c r="F121" s="20"/>
      <c r="G121" s="20"/>
      <c r="H121" s="20"/>
      <c r="I121" s="20"/>
      <c r="J121" s="20"/>
      <c r="K121" s="20"/>
      <c r="L121" s="20"/>
      <c r="M121" s="20"/>
      <c r="N121" s="20"/>
      <c r="O121" s="20"/>
      <c r="P121" s="20"/>
      <c r="Q121" s="20"/>
      <c r="R121" s="20"/>
      <c r="S121" s="20"/>
      <c r="T121" s="20"/>
      <c r="U121" s="20"/>
      <c r="V121" s="20"/>
      <c r="W121" s="20"/>
      <c r="X121" s="20"/>
      <c r="Y121" s="20"/>
      <c r="Z121" s="20"/>
      <c r="AA121" s="20"/>
      <c r="AB121" s="20"/>
      <c r="AC121" s="20"/>
      <c r="AD121" s="20"/>
    </row>
    <row r="122" spans="1:30">
      <c r="A122" s="20"/>
      <c r="B122" s="20"/>
      <c r="C122" s="20"/>
      <c r="D122" s="20"/>
      <c r="E122" s="20"/>
      <c r="F122" s="20"/>
      <c r="G122" s="20"/>
      <c r="H122" s="20"/>
      <c r="I122" s="20"/>
      <c r="J122" s="20"/>
      <c r="K122" s="20"/>
      <c r="L122" s="20"/>
      <c r="M122" s="20"/>
      <c r="N122" s="20"/>
      <c r="O122" s="20"/>
      <c r="P122" s="20"/>
      <c r="Q122" s="20"/>
      <c r="R122" s="20"/>
      <c r="S122" s="20"/>
      <c r="T122" s="20"/>
      <c r="U122" s="20"/>
      <c r="V122" s="20"/>
      <c r="W122" s="20"/>
      <c r="X122" s="20"/>
      <c r="Y122" s="20"/>
      <c r="Z122" s="20"/>
      <c r="AA122" s="20"/>
      <c r="AB122" s="20"/>
      <c r="AC122" s="20"/>
      <c r="AD122" s="20"/>
    </row>
    <row r="123" spans="1:30">
      <c r="A123" s="20"/>
      <c r="B123" s="20"/>
      <c r="C123" s="20"/>
      <c r="D123" s="20"/>
      <c r="E123" s="20"/>
      <c r="F123" s="20"/>
      <c r="G123" s="20"/>
      <c r="H123" s="20"/>
      <c r="I123" s="20"/>
      <c r="J123" s="20"/>
      <c r="K123" s="20"/>
      <c r="L123" s="20"/>
      <c r="M123" s="20"/>
      <c r="N123" s="20"/>
      <c r="O123" s="20"/>
      <c r="P123" s="20"/>
      <c r="Q123" s="20"/>
      <c r="R123" s="20"/>
      <c r="S123" s="20"/>
      <c r="T123" s="20"/>
      <c r="U123" s="20"/>
      <c r="V123" s="20"/>
      <c r="W123" s="20"/>
      <c r="X123" s="20"/>
      <c r="Y123" s="20"/>
      <c r="Z123" s="20"/>
      <c r="AA123" s="20"/>
      <c r="AB123" s="20"/>
      <c r="AC123" s="20"/>
      <c r="AD123" s="20"/>
    </row>
    <row r="124" spans="1:30">
      <c r="A124" s="20"/>
      <c r="B124" s="20"/>
      <c r="C124" s="20"/>
      <c r="D124" s="20"/>
      <c r="E124" s="20"/>
      <c r="F124" s="20"/>
      <c r="G124" s="20"/>
      <c r="H124" s="20"/>
      <c r="I124" s="20"/>
      <c r="J124" s="20"/>
      <c r="K124" s="20"/>
      <c r="L124" s="20"/>
      <c r="M124" s="20"/>
      <c r="N124" s="20"/>
      <c r="O124" s="20"/>
      <c r="P124" s="20"/>
      <c r="Q124" s="20"/>
      <c r="R124" s="20"/>
      <c r="S124" s="20"/>
      <c r="T124" s="20"/>
      <c r="U124" s="20"/>
      <c r="V124" s="20"/>
      <c r="W124" s="20"/>
      <c r="X124" s="20"/>
      <c r="Y124" s="20"/>
      <c r="Z124" s="20"/>
      <c r="AA124" s="20"/>
      <c r="AB124" s="20"/>
      <c r="AC124" s="20"/>
      <c r="AD124" s="20"/>
    </row>
    <row r="125" spans="1:30">
      <c r="A125" s="20"/>
      <c r="B125" s="20"/>
      <c r="C125" s="20"/>
      <c r="D125" s="20"/>
      <c r="E125" s="20"/>
      <c r="F125" s="20"/>
      <c r="G125" s="20"/>
      <c r="H125" s="20"/>
      <c r="I125" s="20"/>
      <c r="J125" s="20"/>
      <c r="K125" s="20"/>
      <c r="L125" s="20"/>
      <c r="M125" s="20"/>
      <c r="N125" s="20"/>
      <c r="O125" s="20"/>
      <c r="P125" s="20"/>
      <c r="Q125" s="20"/>
      <c r="R125" s="20"/>
      <c r="S125" s="20"/>
      <c r="T125" s="20"/>
      <c r="U125" s="20"/>
      <c r="V125" s="20"/>
      <c r="W125" s="20"/>
      <c r="X125" s="20"/>
      <c r="Y125" s="20"/>
      <c r="Z125" s="20"/>
      <c r="AA125" s="20"/>
      <c r="AB125" s="20"/>
      <c r="AC125" s="20"/>
      <c r="AD125" s="20"/>
    </row>
    <row r="126" spans="1:30">
      <c r="A126" s="20"/>
      <c r="B126" s="20"/>
      <c r="C126" s="20"/>
      <c r="D126" s="20"/>
      <c r="E126" s="20"/>
      <c r="F126" s="20"/>
      <c r="G126" s="20"/>
      <c r="H126" s="20"/>
      <c r="I126" s="20"/>
      <c r="J126" s="20"/>
      <c r="K126" s="20"/>
      <c r="L126" s="20"/>
      <c r="M126" s="20"/>
      <c r="N126" s="20"/>
      <c r="O126" s="20"/>
      <c r="P126" s="20"/>
      <c r="Q126" s="20"/>
      <c r="R126" s="20"/>
      <c r="S126" s="20"/>
      <c r="T126" s="20"/>
      <c r="U126" s="20"/>
      <c r="V126" s="20"/>
      <c r="W126" s="20"/>
      <c r="X126" s="20"/>
      <c r="Y126" s="20"/>
      <c r="Z126" s="20"/>
      <c r="AA126" s="20"/>
      <c r="AB126" s="20"/>
      <c r="AC126" s="20"/>
      <c r="AD126" s="20"/>
    </row>
    <row r="127" spans="1:30">
      <c r="A127" s="20"/>
      <c r="B127" s="20"/>
      <c r="C127" s="20"/>
      <c r="D127" s="20"/>
      <c r="E127" s="20"/>
      <c r="F127" s="20"/>
      <c r="G127" s="20"/>
      <c r="H127" s="20"/>
      <c r="I127" s="20"/>
      <c r="J127" s="20"/>
      <c r="K127" s="20"/>
      <c r="L127" s="20"/>
      <c r="M127" s="20"/>
      <c r="N127" s="20"/>
      <c r="O127" s="20"/>
      <c r="P127" s="20"/>
      <c r="Q127" s="20"/>
      <c r="R127" s="20"/>
      <c r="S127" s="20"/>
      <c r="T127" s="20"/>
      <c r="U127" s="20"/>
      <c r="V127" s="20"/>
      <c r="W127" s="20"/>
      <c r="X127" s="20"/>
      <c r="Y127" s="20"/>
      <c r="Z127" s="20"/>
      <c r="AA127" s="20"/>
      <c r="AB127" s="20"/>
      <c r="AC127" s="20"/>
      <c r="AD127" s="20"/>
    </row>
    <row r="128" spans="1:30">
      <c r="A128" s="20"/>
      <c r="B128" s="20"/>
      <c r="C128" s="20"/>
      <c r="D128" s="20"/>
      <c r="E128" s="20"/>
      <c r="F128" s="20"/>
      <c r="G128" s="20"/>
      <c r="H128" s="20"/>
      <c r="I128" s="20"/>
      <c r="J128" s="20"/>
      <c r="K128" s="20"/>
      <c r="L128" s="20"/>
      <c r="M128" s="20"/>
      <c r="N128" s="20"/>
      <c r="O128" s="20"/>
      <c r="P128" s="20"/>
      <c r="Q128" s="20"/>
      <c r="R128" s="20"/>
      <c r="S128" s="20"/>
      <c r="T128" s="20"/>
      <c r="U128" s="20"/>
      <c r="V128" s="20"/>
      <c r="W128" s="20"/>
      <c r="X128" s="20"/>
      <c r="Y128" s="20"/>
      <c r="Z128" s="20"/>
      <c r="AA128" s="20"/>
      <c r="AB128" s="20"/>
      <c r="AC128" s="20"/>
      <c r="AD128" s="20"/>
    </row>
    <row r="129" spans="1:30">
      <c r="A129" s="20"/>
      <c r="B129" s="20"/>
      <c r="C129" s="20"/>
      <c r="D129" s="20"/>
      <c r="E129" s="20"/>
      <c r="F129" s="20"/>
      <c r="G129" s="20"/>
      <c r="H129" s="20"/>
      <c r="I129" s="20"/>
      <c r="J129" s="20"/>
      <c r="K129" s="20"/>
      <c r="L129" s="20"/>
      <c r="M129" s="20"/>
      <c r="N129" s="20"/>
      <c r="O129" s="20"/>
      <c r="P129" s="20"/>
      <c r="Q129" s="20"/>
      <c r="R129" s="20"/>
      <c r="S129" s="20"/>
      <c r="T129" s="20"/>
      <c r="U129" s="20"/>
      <c r="V129" s="20"/>
      <c r="W129" s="20"/>
      <c r="X129" s="20"/>
      <c r="Y129" s="20"/>
      <c r="Z129" s="20"/>
      <c r="AA129" s="20"/>
      <c r="AB129" s="20"/>
      <c r="AC129" s="20"/>
      <c r="AD129" s="20"/>
    </row>
    <row r="130" spans="1:30">
      <c r="A130" s="20"/>
      <c r="B130" s="20"/>
      <c r="C130" s="20"/>
      <c r="D130" s="20"/>
      <c r="E130" s="20"/>
      <c r="F130" s="20"/>
      <c r="G130" s="20"/>
      <c r="H130" s="20"/>
      <c r="I130" s="20"/>
      <c r="J130" s="20"/>
      <c r="K130" s="20"/>
      <c r="L130" s="20"/>
      <c r="M130" s="20"/>
      <c r="N130" s="20"/>
      <c r="O130" s="20"/>
      <c r="P130" s="20"/>
      <c r="Q130" s="20"/>
      <c r="R130" s="20"/>
      <c r="S130" s="20"/>
      <c r="T130" s="20"/>
      <c r="U130" s="20"/>
      <c r="V130" s="20"/>
      <c r="W130" s="20"/>
      <c r="X130" s="20"/>
      <c r="Y130" s="20"/>
      <c r="Z130" s="20"/>
      <c r="AA130" s="20"/>
      <c r="AB130" s="20"/>
      <c r="AC130" s="20"/>
      <c r="AD130" s="20"/>
    </row>
    <row r="131" spans="1:30">
      <c r="A131" s="20"/>
      <c r="B131" s="20"/>
      <c r="C131" s="20"/>
      <c r="D131" s="20"/>
      <c r="E131" s="20"/>
      <c r="F131" s="20"/>
      <c r="G131" s="20"/>
      <c r="H131" s="20"/>
      <c r="I131" s="20"/>
      <c r="J131" s="20"/>
      <c r="K131" s="20"/>
      <c r="L131" s="20"/>
      <c r="M131" s="20"/>
      <c r="N131" s="20"/>
      <c r="O131" s="20"/>
      <c r="P131" s="20"/>
      <c r="Q131" s="20"/>
      <c r="R131" s="20"/>
      <c r="S131" s="20"/>
      <c r="T131" s="20"/>
      <c r="U131" s="20"/>
      <c r="V131" s="20"/>
      <c r="W131" s="20"/>
      <c r="X131" s="20"/>
      <c r="Y131" s="20"/>
      <c r="Z131" s="20"/>
      <c r="AA131" s="20"/>
      <c r="AB131" s="20"/>
      <c r="AC131" s="20"/>
      <c r="AD131" s="20"/>
    </row>
    <row r="132" spans="1:30">
      <c r="A132" s="20"/>
      <c r="B132" s="20"/>
      <c r="C132" s="20"/>
      <c r="D132" s="20"/>
      <c r="E132" s="20"/>
      <c r="F132" s="20"/>
      <c r="G132" s="20"/>
      <c r="H132" s="20"/>
      <c r="I132" s="20"/>
      <c r="J132" s="20"/>
      <c r="K132" s="20"/>
      <c r="L132" s="20"/>
      <c r="M132" s="20"/>
      <c r="N132" s="20"/>
      <c r="O132" s="20"/>
      <c r="P132" s="20"/>
      <c r="Q132" s="20"/>
      <c r="R132" s="20"/>
      <c r="S132" s="20"/>
      <c r="T132" s="20"/>
      <c r="U132" s="20"/>
      <c r="V132" s="20"/>
      <c r="W132" s="20"/>
      <c r="X132" s="20"/>
      <c r="Y132" s="20"/>
      <c r="Z132" s="20"/>
      <c r="AA132" s="20"/>
      <c r="AB132" s="20"/>
      <c r="AC132" s="20"/>
      <c r="AD132" s="20"/>
    </row>
    <row r="133" spans="1:30">
      <c r="A133" s="20"/>
      <c r="B133" s="20"/>
      <c r="C133" s="20"/>
      <c r="D133" s="20"/>
      <c r="E133" s="20"/>
      <c r="F133" s="20"/>
      <c r="G133" s="20"/>
      <c r="H133" s="20"/>
      <c r="I133" s="20"/>
      <c r="J133" s="20"/>
      <c r="K133" s="20"/>
      <c r="L133" s="20"/>
      <c r="M133" s="20"/>
      <c r="N133" s="20"/>
      <c r="O133" s="20"/>
      <c r="P133" s="20"/>
      <c r="Q133" s="20"/>
      <c r="R133" s="20"/>
      <c r="S133" s="20"/>
      <c r="T133" s="20"/>
      <c r="U133" s="20"/>
      <c r="V133" s="20"/>
      <c r="W133" s="20"/>
      <c r="X133" s="20"/>
      <c r="Y133" s="20"/>
      <c r="Z133" s="20"/>
      <c r="AA133" s="20"/>
      <c r="AB133" s="20"/>
      <c r="AC133" s="20"/>
      <c r="AD133" s="20"/>
    </row>
    <row r="134" spans="1:30">
      <c r="A134" s="20"/>
      <c r="B134" s="20"/>
      <c r="C134" s="20"/>
      <c r="D134" s="20"/>
      <c r="E134" s="20"/>
      <c r="F134" s="20"/>
      <c r="G134" s="20"/>
      <c r="H134" s="20"/>
      <c r="I134" s="20"/>
      <c r="J134" s="20"/>
      <c r="K134" s="20"/>
      <c r="L134" s="20"/>
      <c r="M134" s="20"/>
      <c r="N134" s="20"/>
      <c r="O134" s="20"/>
      <c r="P134" s="20"/>
      <c r="Q134" s="20"/>
      <c r="R134" s="20"/>
      <c r="S134" s="20"/>
      <c r="T134" s="20"/>
      <c r="U134" s="20"/>
      <c r="V134" s="20"/>
      <c r="W134" s="20"/>
      <c r="X134" s="20"/>
      <c r="Y134" s="20"/>
      <c r="Z134" s="20"/>
      <c r="AA134" s="20"/>
      <c r="AB134" s="20"/>
      <c r="AC134" s="20"/>
      <c r="AD134" s="20"/>
    </row>
    <row r="135" spans="1:30">
      <c r="A135" s="20"/>
      <c r="B135" s="20"/>
      <c r="C135" s="20"/>
      <c r="D135" s="20"/>
      <c r="E135" s="20"/>
      <c r="F135" s="20"/>
      <c r="G135" s="20"/>
      <c r="H135" s="20"/>
      <c r="I135" s="20"/>
      <c r="J135" s="20"/>
      <c r="K135" s="20"/>
      <c r="L135" s="20"/>
      <c r="M135" s="20"/>
      <c r="N135" s="20"/>
      <c r="O135" s="20"/>
      <c r="P135" s="20"/>
      <c r="Q135" s="20"/>
      <c r="R135" s="20"/>
      <c r="S135" s="20"/>
      <c r="T135" s="20"/>
      <c r="U135" s="20"/>
      <c r="V135" s="20"/>
      <c r="W135" s="20"/>
      <c r="X135" s="20"/>
      <c r="Y135" s="20"/>
      <c r="Z135" s="20"/>
      <c r="AA135" s="20"/>
      <c r="AB135" s="20"/>
      <c r="AC135" s="20"/>
      <c r="AD135" s="20"/>
    </row>
    <row r="136" spans="1:30">
      <c r="A136" s="20"/>
      <c r="B136" s="20"/>
      <c r="C136" s="20"/>
      <c r="D136" s="20"/>
      <c r="E136" s="20"/>
      <c r="F136" s="20"/>
      <c r="G136" s="20"/>
      <c r="H136" s="20"/>
      <c r="I136" s="20"/>
      <c r="J136" s="20"/>
      <c r="K136" s="20"/>
      <c r="L136" s="20"/>
      <c r="M136" s="20"/>
      <c r="N136" s="20"/>
      <c r="O136" s="20"/>
      <c r="P136" s="20"/>
      <c r="Q136" s="20"/>
      <c r="R136" s="20"/>
      <c r="S136" s="20"/>
      <c r="T136" s="20"/>
      <c r="U136" s="20"/>
      <c r="V136" s="20"/>
      <c r="W136" s="20"/>
      <c r="X136" s="20"/>
      <c r="Y136" s="20"/>
      <c r="Z136" s="20"/>
      <c r="AA136" s="20"/>
      <c r="AB136" s="20"/>
      <c r="AC136" s="20"/>
      <c r="AD136" s="20"/>
    </row>
    <row r="137" spans="1:30">
      <c r="A137" s="20"/>
      <c r="B137" s="20"/>
      <c r="C137" s="20"/>
      <c r="D137" s="20"/>
      <c r="E137" s="20"/>
      <c r="F137" s="20"/>
      <c r="G137" s="20"/>
      <c r="H137" s="20"/>
      <c r="I137" s="20"/>
      <c r="J137" s="20"/>
      <c r="K137" s="20"/>
      <c r="L137" s="20"/>
      <c r="M137" s="20"/>
      <c r="N137" s="20"/>
      <c r="O137" s="20"/>
      <c r="P137" s="20"/>
      <c r="Q137" s="20"/>
      <c r="R137" s="20"/>
      <c r="S137" s="20"/>
      <c r="T137" s="20"/>
      <c r="U137" s="20"/>
      <c r="V137" s="20"/>
      <c r="W137" s="20"/>
      <c r="X137" s="20"/>
      <c r="Y137" s="20"/>
      <c r="Z137" s="20"/>
      <c r="AA137" s="20"/>
      <c r="AB137" s="20"/>
      <c r="AC137" s="20"/>
      <c r="AD137" s="20"/>
    </row>
    <row r="138" spans="1:30">
      <c r="A138" s="20"/>
      <c r="B138" s="20"/>
      <c r="C138" s="20"/>
      <c r="D138" s="20"/>
      <c r="E138" s="20"/>
      <c r="F138" s="20"/>
      <c r="G138" s="20"/>
      <c r="H138" s="20"/>
      <c r="I138" s="20"/>
      <c r="J138" s="20"/>
      <c r="K138" s="20"/>
      <c r="L138" s="20"/>
      <c r="M138" s="20"/>
      <c r="N138" s="20"/>
      <c r="O138" s="20"/>
      <c r="P138" s="20"/>
      <c r="Q138" s="20"/>
      <c r="R138" s="20"/>
      <c r="S138" s="20"/>
      <c r="T138" s="20"/>
      <c r="U138" s="20"/>
      <c r="V138" s="20"/>
      <c r="W138" s="20"/>
      <c r="X138" s="20"/>
      <c r="Y138" s="20"/>
      <c r="Z138" s="20"/>
      <c r="AA138" s="20"/>
      <c r="AB138" s="20"/>
      <c r="AC138" s="20"/>
      <c r="AD138" s="20"/>
    </row>
    <row r="139" spans="1:30">
      <c r="A139" s="20"/>
      <c r="B139" s="20"/>
      <c r="C139" s="20"/>
      <c r="D139" s="20"/>
      <c r="E139" s="20"/>
      <c r="F139" s="20"/>
      <c r="G139" s="20"/>
      <c r="H139" s="20"/>
      <c r="I139" s="20"/>
      <c r="J139" s="20"/>
      <c r="K139" s="20"/>
      <c r="L139" s="20"/>
      <c r="M139" s="20"/>
      <c r="N139" s="20"/>
      <c r="O139" s="20"/>
      <c r="P139" s="20"/>
      <c r="Q139" s="20"/>
      <c r="R139" s="20"/>
      <c r="S139" s="20"/>
      <c r="T139" s="20"/>
      <c r="U139" s="20"/>
      <c r="V139" s="20"/>
      <c r="W139" s="20"/>
      <c r="X139" s="20"/>
      <c r="Y139" s="20"/>
      <c r="Z139" s="20"/>
      <c r="AA139" s="20"/>
      <c r="AB139" s="20"/>
      <c r="AC139" s="20"/>
      <c r="AD139" s="20"/>
    </row>
    <row r="140" spans="1:30">
      <c r="A140" s="20"/>
      <c r="B140" s="20"/>
      <c r="C140" s="20"/>
      <c r="D140" s="20"/>
      <c r="E140" s="20"/>
      <c r="F140" s="20"/>
      <c r="G140" s="20"/>
      <c r="H140" s="20"/>
      <c r="I140" s="20"/>
      <c r="J140" s="20"/>
      <c r="K140" s="20"/>
      <c r="L140" s="20"/>
      <c r="M140" s="20"/>
      <c r="N140" s="20"/>
      <c r="O140" s="20"/>
      <c r="P140" s="20"/>
      <c r="Q140" s="20"/>
      <c r="R140" s="20"/>
      <c r="S140" s="20"/>
      <c r="T140" s="20"/>
      <c r="U140" s="20"/>
      <c r="V140" s="20"/>
      <c r="W140" s="20"/>
      <c r="X140" s="20"/>
      <c r="Y140" s="20"/>
      <c r="Z140" s="20"/>
      <c r="AA140" s="20"/>
      <c r="AB140" s="20"/>
      <c r="AC140" s="20"/>
      <c r="AD140" s="20"/>
    </row>
    <row r="141" spans="1:30">
      <c r="A141" s="20"/>
      <c r="B141" s="20"/>
      <c r="C141" s="20"/>
      <c r="D141" s="20"/>
      <c r="E141" s="20"/>
      <c r="F141" s="20"/>
      <c r="G141" s="20"/>
      <c r="H141" s="20"/>
      <c r="I141" s="20"/>
      <c r="J141" s="20"/>
      <c r="K141" s="20"/>
      <c r="L141" s="20"/>
      <c r="M141" s="20"/>
      <c r="N141" s="20"/>
      <c r="O141" s="20"/>
      <c r="P141" s="20"/>
      <c r="Q141" s="20"/>
      <c r="R141" s="20"/>
      <c r="S141" s="20"/>
      <c r="T141" s="20"/>
      <c r="U141" s="20"/>
      <c r="V141" s="20"/>
      <c r="W141" s="20"/>
      <c r="X141" s="20"/>
      <c r="Y141" s="20"/>
      <c r="Z141" s="20"/>
      <c r="AA141" s="20"/>
      <c r="AB141" s="20"/>
      <c r="AC141" s="20"/>
      <c r="AD141" s="20"/>
    </row>
    <row r="142" spans="1:30">
      <c r="A142" s="20"/>
      <c r="B142" s="20"/>
      <c r="C142" s="20"/>
      <c r="D142" s="20"/>
      <c r="E142" s="20"/>
      <c r="F142" s="20"/>
      <c r="G142" s="20"/>
      <c r="H142" s="20"/>
      <c r="I142" s="20"/>
      <c r="J142" s="20"/>
      <c r="K142" s="20"/>
      <c r="L142" s="20"/>
      <c r="M142" s="20"/>
      <c r="N142" s="20"/>
      <c r="O142" s="20"/>
      <c r="P142" s="20"/>
      <c r="Q142" s="20"/>
      <c r="R142" s="20"/>
      <c r="S142" s="20"/>
      <c r="T142" s="20"/>
      <c r="U142" s="20"/>
      <c r="V142" s="20"/>
      <c r="W142" s="20"/>
      <c r="X142" s="20"/>
      <c r="Y142" s="20"/>
      <c r="Z142" s="20"/>
      <c r="AA142" s="20"/>
      <c r="AB142" s="20"/>
      <c r="AC142" s="20"/>
      <c r="AD142" s="20"/>
    </row>
    <row r="143" spans="1:30">
      <c r="A143" s="20"/>
      <c r="B143" s="20"/>
      <c r="C143" s="20"/>
      <c r="D143" s="20"/>
      <c r="E143" s="20"/>
      <c r="F143" s="20"/>
      <c r="G143" s="20"/>
      <c r="H143" s="20"/>
      <c r="I143" s="20"/>
      <c r="J143" s="20"/>
      <c r="K143" s="20"/>
      <c r="L143" s="20"/>
      <c r="M143" s="20"/>
      <c r="N143" s="20"/>
      <c r="O143" s="20"/>
      <c r="P143" s="20"/>
      <c r="Q143" s="20"/>
      <c r="R143" s="20"/>
      <c r="S143" s="20"/>
      <c r="T143" s="20"/>
      <c r="U143" s="20"/>
      <c r="V143" s="20"/>
      <c r="W143" s="20"/>
      <c r="X143" s="20"/>
      <c r="Y143" s="20"/>
      <c r="Z143" s="20"/>
      <c r="AA143" s="20"/>
      <c r="AB143" s="20"/>
      <c r="AC143" s="20"/>
      <c r="AD143" s="20"/>
    </row>
    <row r="144" spans="1:30">
      <c r="A144" s="20"/>
      <c r="B144" s="20"/>
      <c r="C144" s="20"/>
      <c r="D144" s="20"/>
      <c r="E144" s="20"/>
      <c r="F144" s="20"/>
      <c r="G144" s="20"/>
      <c r="H144" s="20"/>
      <c r="I144" s="20"/>
      <c r="J144" s="20"/>
      <c r="K144" s="20"/>
      <c r="L144" s="20"/>
      <c r="M144" s="20"/>
      <c r="N144" s="20"/>
      <c r="O144" s="20"/>
      <c r="P144" s="20"/>
      <c r="Q144" s="20"/>
      <c r="R144" s="20"/>
      <c r="S144" s="20"/>
      <c r="T144" s="20"/>
      <c r="U144" s="20"/>
      <c r="V144" s="20"/>
      <c r="W144" s="20"/>
      <c r="X144" s="20"/>
      <c r="Y144" s="20"/>
      <c r="Z144" s="20"/>
      <c r="AA144" s="20"/>
      <c r="AB144" s="20"/>
      <c r="AC144" s="20"/>
      <c r="AD144" s="20"/>
    </row>
    <row r="145" spans="1:30">
      <c r="A145" s="20"/>
      <c r="B145" s="20"/>
      <c r="C145" s="20"/>
      <c r="D145" s="20"/>
      <c r="E145" s="20"/>
      <c r="F145" s="20"/>
      <c r="G145" s="20"/>
      <c r="H145" s="20"/>
      <c r="I145" s="20"/>
      <c r="J145" s="20"/>
      <c r="K145" s="20"/>
      <c r="L145" s="20"/>
      <c r="M145" s="20"/>
      <c r="N145" s="20"/>
      <c r="O145" s="20"/>
      <c r="P145" s="20"/>
      <c r="Q145" s="20"/>
      <c r="R145" s="20"/>
      <c r="S145" s="20"/>
      <c r="T145" s="20"/>
      <c r="U145" s="20"/>
      <c r="V145" s="20"/>
      <c r="W145" s="20"/>
      <c r="X145" s="20"/>
      <c r="Y145" s="20"/>
      <c r="Z145" s="20"/>
      <c r="AA145" s="20"/>
      <c r="AB145" s="20"/>
      <c r="AC145" s="20"/>
      <c r="AD145" s="20"/>
    </row>
    <row r="146" spans="1:30">
      <c r="A146" s="20"/>
      <c r="B146" s="20"/>
      <c r="C146" s="20"/>
      <c r="D146" s="20"/>
      <c r="E146" s="20"/>
      <c r="F146" s="20"/>
      <c r="G146" s="20"/>
      <c r="H146" s="20"/>
      <c r="I146" s="20"/>
      <c r="J146" s="20"/>
      <c r="K146" s="20"/>
      <c r="L146" s="20"/>
      <c r="M146" s="20"/>
      <c r="N146" s="20"/>
      <c r="O146" s="20"/>
      <c r="P146" s="20"/>
      <c r="Q146" s="20"/>
      <c r="R146" s="20"/>
      <c r="S146" s="20"/>
      <c r="T146" s="20"/>
      <c r="U146" s="20"/>
      <c r="V146" s="20"/>
      <c r="W146" s="20"/>
      <c r="X146" s="20"/>
      <c r="Y146" s="20"/>
      <c r="Z146" s="20"/>
      <c r="AA146" s="20"/>
      <c r="AB146" s="20"/>
      <c r="AC146" s="20"/>
      <c r="AD146" s="20"/>
    </row>
    <row r="147" spans="1:30">
      <c r="A147" s="20"/>
      <c r="B147" s="20"/>
      <c r="C147" s="20"/>
      <c r="D147" s="20"/>
      <c r="E147" s="20"/>
      <c r="F147" s="20"/>
      <c r="G147" s="20"/>
      <c r="H147" s="20"/>
      <c r="I147" s="20"/>
      <c r="J147" s="20"/>
      <c r="K147" s="20"/>
      <c r="L147" s="20"/>
      <c r="M147" s="20"/>
      <c r="N147" s="20"/>
      <c r="O147" s="20"/>
      <c r="P147" s="20"/>
      <c r="Q147" s="20"/>
      <c r="R147" s="20"/>
      <c r="S147" s="20"/>
      <c r="T147" s="20"/>
      <c r="U147" s="20"/>
      <c r="V147" s="20"/>
      <c r="W147" s="20"/>
      <c r="X147" s="20"/>
      <c r="Y147" s="20"/>
      <c r="Z147" s="20"/>
      <c r="AA147" s="20"/>
      <c r="AB147" s="20"/>
      <c r="AC147" s="20"/>
      <c r="AD147" s="20"/>
    </row>
    <row r="148" spans="1:30">
      <c r="A148" s="20"/>
      <c r="B148" s="20"/>
      <c r="C148" s="20"/>
      <c r="D148" s="20"/>
      <c r="E148" s="20"/>
      <c r="F148" s="20"/>
      <c r="G148" s="20"/>
      <c r="H148" s="20"/>
      <c r="I148" s="20"/>
      <c r="J148" s="20"/>
      <c r="K148" s="20"/>
      <c r="L148" s="20"/>
      <c r="M148" s="20"/>
      <c r="N148" s="20"/>
      <c r="O148" s="20"/>
      <c r="P148" s="20"/>
      <c r="Q148" s="20"/>
      <c r="R148" s="20"/>
      <c r="S148" s="20"/>
      <c r="T148" s="20"/>
      <c r="U148" s="20"/>
      <c r="V148" s="20"/>
      <c r="W148" s="20"/>
      <c r="X148" s="20"/>
      <c r="Y148" s="20"/>
      <c r="Z148" s="20"/>
      <c r="AA148" s="20"/>
      <c r="AB148" s="20"/>
      <c r="AC148" s="20"/>
      <c r="AD148" s="20"/>
    </row>
    <row r="149" spans="1:30">
      <c r="A149" s="20"/>
      <c r="B149" s="20"/>
      <c r="C149" s="20"/>
      <c r="D149" s="20"/>
      <c r="E149" s="20"/>
      <c r="F149" s="20"/>
      <c r="G149" s="20"/>
      <c r="H149" s="20"/>
      <c r="I149" s="20"/>
      <c r="J149" s="20"/>
      <c r="K149" s="20"/>
      <c r="L149" s="20"/>
      <c r="M149" s="20"/>
      <c r="N149" s="20"/>
      <c r="O149" s="20"/>
      <c r="P149" s="20"/>
      <c r="Q149" s="20"/>
      <c r="R149" s="20"/>
      <c r="S149" s="20"/>
      <c r="T149" s="20"/>
      <c r="U149" s="20"/>
      <c r="V149" s="20"/>
      <c r="W149" s="20"/>
      <c r="X149" s="20"/>
      <c r="Y149" s="20"/>
      <c r="Z149" s="20"/>
      <c r="AA149" s="20"/>
      <c r="AB149" s="20"/>
      <c r="AC149" s="20"/>
      <c r="AD149" s="20"/>
    </row>
    <row r="150" spans="1:30">
      <c r="A150" s="20"/>
      <c r="B150" s="20"/>
      <c r="C150" s="20"/>
      <c r="D150" s="20"/>
      <c r="E150" s="20"/>
      <c r="F150" s="20"/>
      <c r="G150" s="20"/>
      <c r="H150" s="20"/>
      <c r="I150" s="20"/>
      <c r="J150" s="20"/>
      <c r="K150" s="20"/>
      <c r="L150" s="20"/>
      <c r="M150" s="20"/>
      <c r="N150" s="20"/>
      <c r="O150" s="20"/>
      <c r="P150" s="20"/>
      <c r="Q150" s="20"/>
      <c r="R150" s="20"/>
      <c r="S150" s="20"/>
      <c r="T150" s="20"/>
      <c r="U150" s="20"/>
      <c r="V150" s="20"/>
      <c r="W150" s="20"/>
      <c r="X150" s="20"/>
      <c r="Y150" s="20"/>
      <c r="Z150" s="20"/>
      <c r="AA150" s="20"/>
      <c r="AB150" s="20"/>
      <c r="AC150" s="20"/>
      <c r="AD150" s="20"/>
    </row>
    <row r="151" spans="1:30">
      <c r="A151" s="20"/>
      <c r="B151" s="20"/>
      <c r="C151" s="20"/>
      <c r="D151" s="20"/>
      <c r="E151" s="20"/>
      <c r="F151" s="20"/>
      <c r="G151" s="20"/>
      <c r="H151" s="20"/>
      <c r="I151" s="20"/>
      <c r="J151" s="20"/>
      <c r="K151" s="20"/>
      <c r="L151" s="20"/>
      <c r="M151" s="20"/>
      <c r="N151" s="20"/>
      <c r="O151" s="20"/>
      <c r="P151" s="20"/>
      <c r="Q151" s="20"/>
      <c r="R151" s="20"/>
      <c r="S151" s="20"/>
      <c r="T151" s="20"/>
      <c r="U151" s="20"/>
      <c r="V151" s="20"/>
      <c r="W151" s="20"/>
      <c r="X151" s="20"/>
      <c r="Y151" s="20"/>
      <c r="Z151" s="20"/>
      <c r="AA151" s="20"/>
      <c r="AB151" s="20"/>
      <c r="AC151" s="20"/>
      <c r="AD151" s="20"/>
    </row>
    <row r="152" spans="1:30">
      <c r="A152" s="20"/>
      <c r="B152" s="20"/>
      <c r="C152" s="20"/>
      <c r="D152" s="20"/>
      <c r="E152" s="20"/>
      <c r="F152" s="20"/>
      <c r="G152" s="20"/>
      <c r="H152" s="20"/>
      <c r="I152" s="20"/>
      <c r="J152" s="20"/>
      <c r="K152" s="20"/>
      <c r="L152" s="20"/>
      <c r="M152" s="20"/>
      <c r="N152" s="20"/>
      <c r="O152" s="20"/>
      <c r="P152" s="20"/>
      <c r="Q152" s="20"/>
      <c r="R152" s="20"/>
      <c r="S152" s="20"/>
      <c r="T152" s="20"/>
      <c r="U152" s="20"/>
      <c r="V152" s="20"/>
      <c r="W152" s="20"/>
      <c r="X152" s="20"/>
      <c r="Y152" s="20"/>
      <c r="Z152" s="20"/>
      <c r="AA152" s="20"/>
      <c r="AB152" s="20"/>
      <c r="AC152" s="20"/>
      <c r="AD152" s="20"/>
    </row>
    <row r="153" spans="1:30">
      <c r="A153" s="20"/>
      <c r="B153" s="20"/>
      <c r="C153" s="20"/>
      <c r="D153" s="20"/>
      <c r="E153" s="20"/>
      <c r="F153" s="20"/>
      <c r="G153" s="20"/>
      <c r="H153" s="20"/>
      <c r="I153" s="20"/>
      <c r="J153" s="20"/>
      <c r="K153" s="20"/>
      <c r="L153" s="20"/>
      <c r="M153" s="20"/>
      <c r="N153" s="20"/>
      <c r="O153" s="20"/>
      <c r="P153" s="20"/>
      <c r="Q153" s="20"/>
      <c r="R153" s="20"/>
      <c r="S153" s="20"/>
      <c r="T153" s="20"/>
      <c r="U153" s="20"/>
      <c r="V153" s="20"/>
      <c r="W153" s="20"/>
      <c r="X153" s="20"/>
      <c r="Y153" s="20"/>
      <c r="Z153" s="20"/>
      <c r="AA153" s="20"/>
      <c r="AB153" s="20"/>
      <c r="AC153" s="20"/>
      <c r="AD153" s="20"/>
    </row>
    <row r="154" spans="1:30">
      <c r="A154" s="20"/>
      <c r="B154" s="20"/>
      <c r="C154" s="20"/>
      <c r="D154" s="20"/>
      <c r="E154" s="20"/>
      <c r="F154" s="20"/>
      <c r="G154" s="20"/>
      <c r="H154" s="20"/>
      <c r="I154" s="20"/>
      <c r="J154" s="20"/>
      <c r="K154" s="20"/>
      <c r="L154" s="20"/>
      <c r="M154" s="20"/>
      <c r="N154" s="20"/>
      <c r="O154" s="20"/>
      <c r="P154" s="20"/>
      <c r="Q154" s="20"/>
      <c r="R154" s="20"/>
      <c r="S154" s="20"/>
      <c r="T154" s="20"/>
      <c r="U154" s="20"/>
      <c r="V154" s="20"/>
      <c r="W154" s="20"/>
      <c r="X154" s="20"/>
      <c r="Y154" s="20"/>
      <c r="Z154" s="20"/>
      <c r="AA154" s="20"/>
      <c r="AB154" s="20"/>
      <c r="AC154" s="20"/>
      <c r="AD154" s="20"/>
    </row>
    <row r="155" spans="1:30">
      <c r="A155" s="20"/>
      <c r="B155" s="20"/>
      <c r="C155" s="20"/>
      <c r="D155" s="20"/>
      <c r="E155" s="20"/>
      <c r="F155" s="20"/>
      <c r="G155" s="20"/>
      <c r="H155" s="20"/>
      <c r="I155" s="20"/>
      <c r="J155" s="20"/>
      <c r="K155" s="20"/>
      <c r="L155" s="20"/>
      <c r="M155" s="20"/>
      <c r="N155" s="20"/>
      <c r="O155" s="20"/>
      <c r="P155" s="20"/>
      <c r="Q155" s="20"/>
      <c r="R155" s="20"/>
      <c r="S155" s="20"/>
      <c r="T155" s="20"/>
      <c r="U155" s="20"/>
      <c r="V155" s="20"/>
      <c r="W155" s="20"/>
      <c r="X155" s="20"/>
      <c r="Y155" s="20"/>
      <c r="Z155" s="20"/>
      <c r="AA155" s="20"/>
      <c r="AB155" s="20"/>
      <c r="AC155" s="20"/>
      <c r="AD155" s="20"/>
    </row>
    <row r="156" spans="1:30">
      <c r="A156" s="20"/>
      <c r="B156" s="20"/>
      <c r="C156" s="20"/>
      <c r="D156" s="20"/>
      <c r="E156" s="20"/>
      <c r="F156" s="20"/>
      <c r="G156" s="20"/>
      <c r="H156" s="20"/>
      <c r="I156" s="20"/>
      <c r="J156" s="20"/>
      <c r="K156" s="20"/>
      <c r="L156" s="20"/>
      <c r="M156" s="20"/>
      <c r="N156" s="20"/>
      <c r="O156" s="20"/>
      <c r="P156" s="20"/>
      <c r="Q156" s="20"/>
      <c r="R156" s="20"/>
      <c r="S156" s="20"/>
      <c r="T156" s="20"/>
      <c r="U156" s="20"/>
      <c r="V156" s="20"/>
      <c r="W156" s="20"/>
      <c r="X156" s="20"/>
      <c r="Y156" s="20"/>
      <c r="Z156" s="20"/>
      <c r="AA156" s="20"/>
      <c r="AB156" s="20"/>
      <c r="AC156" s="20"/>
      <c r="AD156" s="20"/>
    </row>
    <row r="157" spans="1:30">
      <c r="A157" s="20"/>
      <c r="B157" s="20"/>
      <c r="C157" s="20"/>
      <c r="D157" s="20"/>
      <c r="E157" s="20"/>
      <c r="F157" s="20"/>
      <c r="G157" s="20"/>
      <c r="H157" s="20"/>
      <c r="I157" s="20"/>
      <c r="J157" s="20"/>
      <c r="K157" s="20"/>
      <c r="L157" s="20"/>
      <c r="M157" s="20"/>
      <c r="N157" s="20"/>
      <c r="O157" s="20"/>
      <c r="P157" s="20"/>
      <c r="Q157" s="20"/>
      <c r="R157" s="20"/>
      <c r="S157" s="20"/>
      <c r="T157" s="20"/>
      <c r="U157" s="20"/>
      <c r="V157" s="20"/>
      <c r="W157" s="20"/>
      <c r="X157" s="20"/>
      <c r="Y157" s="20"/>
      <c r="Z157" s="20"/>
      <c r="AA157" s="20"/>
      <c r="AB157" s="20"/>
      <c r="AC157" s="20"/>
      <c r="AD157" s="20"/>
    </row>
    <row r="158" spans="1:30">
      <c r="A158" s="20"/>
      <c r="B158" s="20"/>
      <c r="C158" s="20"/>
      <c r="D158" s="20"/>
      <c r="E158" s="20"/>
      <c r="F158" s="20"/>
      <c r="G158" s="20"/>
      <c r="H158" s="20"/>
      <c r="I158" s="20"/>
      <c r="J158" s="20"/>
      <c r="K158" s="20"/>
      <c r="L158" s="20"/>
      <c r="M158" s="20"/>
      <c r="N158" s="20"/>
      <c r="O158" s="20"/>
      <c r="P158" s="20"/>
      <c r="Q158" s="20"/>
      <c r="R158" s="20"/>
      <c r="S158" s="20"/>
      <c r="T158" s="20"/>
      <c r="U158" s="20"/>
      <c r="V158" s="20"/>
      <c r="W158" s="20"/>
      <c r="X158" s="20"/>
      <c r="Y158" s="20"/>
      <c r="Z158" s="20"/>
      <c r="AA158" s="20"/>
      <c r="AB158" s="20"/>
      <c r="AC158" s="20"/>
      <c r="AD158" s="20"/>
    </row>
    <row r="159" spans="1:30">
      <c r="A159" s="20"/>
      <c r="B159" s="20"/>
      <c r="C159" s="20"/>
      <c r="D159" s="20"/>
      <c r="E159" s="20"/>
      <c r="F159" s="20"/>
      <c r="G159" s="20"/>
      <c r="H159" s="20"/>
      <c r="I159" s="20"/>
      <c r="J159" s="20"/>
      <c r="K159" s="20"/>
      <c r="L159" s="20"/>
      <c r="M159" s="20"/>
      <c r="N159" s="20"/>
      <c r="O159" s="20"/>
      <c r="P159" s="20"/>
      <c r="Q159" s="20"/>
      <c r="R159" s="20"/>
      <c r="S159" s="20"/>
      <c r="T159" s="20"/>
      <c r="U159" s="20"/>
      <c r="V159" s="20"/>
      <c r="W159" s="20"/>
      <c r="X159" s="20"/>
      <c r="Y159" s="20"/>
      <c r="Z159" s="20"/>
      <c r="AA159" s="20"/>
      <c r="AB159" s="20"/>
      <c r="AC159" s="20"/>
      <c r="AD159" s="20"/>
    </row>
    <row r="160" spans="1:30">
      <c r="A160" s="20"/>
      <c r="B160" s="20"/>
      <c r="C160" s="20"/>
      <c r="D160" s="20"/>
      <c r="E160" s="20"/>
      <c r="F160" s="20"/>
      <c r="G160" s="20"/>
      <c r="H160" s="20"/>
      <c r="I160" s="20"/>
      <c r="J160" s="20"/>
      <c r="K160" s="20"/>
      <c r="L160" s="20"/>
      <c r="M160" s="20"/>
      <c r="N160" s="20"/>
      <c r="O160" s="20"/>
      <c r="P160" s="20"/>
      <c r="Q160" s="20"/>
      <c r="R160" s="20"/>
      <c r="S160" s="20"/>
      <c r="T160" s="20"/>
      <c r="U160" s="20"/>
      <c r="V160" s="20"/>
      <c r="W160" s="20"/>
      <c r="X160" s="20"/>
      <c r="Y160" s="20"/>
      <c r="Z160" s="20"/>
      <c r="AA160" s="20"/>
      <c r="AB160" s="20"/>
      <c r="AC160" s="20"/>
      <c r="AD160" s="20"/>
    </row>
    <row r="161" spans="1:30">
      <c r="A161" s="20"/>
      <c r="B161" s="20"/>
      <c r="C161" s="20"/>
      <c r="D161" s="20"/>
      <c r="E161" s="20"/>
      <c r="F161" s="20"/>
      <c r="G161" s="20"/>
      <c r="H161" s="20"/>
      <c r="I161" s="20"/>
      <c r="J161" s="20"/>
      <c r="K161" s="20"/>
      <c r="L161" s="20"/>
      <c r="M161" s="20"/>
      <c r="N161" s="20"/>
      <c r="O161" s="20"/>
      <c r="P161" s="20"/>
      <c r="Q161" s="20"/>
      <c r="R161" s="20"/>
      <c r="S161" s="20"/>
      <c r="T161" s="20"/>
      <c r="U161" s="20"/>
      <c r="V161" s="20"/>
      <c r="W161" s="20"/>
      <c r="X161" s="20"/>
      <c r="Y161" s="20"/>
      <c r="Z161" s="20"/>
      <c r="AA161" s="20"/>
      <c r="AB161" s="20"/>
      <c r="AC161" s="20"/>
      <c r="AD161" s="20"/>
    </row>
    <row r="162" spans="1:30">
      <c r="A162" s="20"/>
      <c r="B162" s="20"/>
      <c r="C162" s="20"/>
      <c r="D162" s="20"/>
      <c r="E162" s="20"/>
      <c r="F162" s="20"/>
      <c r="G162" s="20"/>
      <c r="H162" s="20"/>
      <c r="I162" s="20"/>
      <c r="J162" s="20"/>
      <c r="K162" s="20"/>
      <c r="L162" s="20"/>
      <c r="M162" s="20"/>
      <c r="N162" s="20"/>
      <c r="O162" s="20"/>
      <c r="P162" s="20"/>
      <c r="Q162" s="20"/>
      <c r="R162" s="20"/>
      <c r="S162" s="20"/>
      <c r="T162" s="20"/>
      <c r="U162" s="20"/>
      <c r="V162" s="20"/>
      <c r="W162" s="20"/>
      <c r="X162" s="20"/>
      <c r="Y162" s="20"/>
      <c r="Z162" s="20"/>
      <c r="AA162" s="20"/>
      <c r="AB162" s="20"/>
      <c r="AC162" s="20"/>
      <c r="AD162" s="20"/>
    </row>
    <row r="163" spans="1:30">
      <c r="A163" s="20"/>
      <c r="B163" s="20"/>
      <c r="C163" s="20"/>
      <c r="D163" s="20"/>
      <c r="E163" s="20"/>
      <c r="F163" s="20"/>
      <c r="G163" s="20"/>
      <c r="H163" s="20"/>
      <c r="I163" s="20"/>
      <c r="J163" s="20"/>
      <c r="K163" s="20"/>
      <c r="L163" s="20"/>
      <c r="M163" s="20"/>
      <c r="N163" s="20"/>
      <c r="O163" s="20"/>
      <c r="P163" s="20"/>
      <c r="Q163" s="20"/>
      <c r="R163" s="20"/>
      <c r="S163" s="20"/>
      <c r="T163" s="20"/>
      <c r="U163" s="20"/>
      <c r="V163" s="20"/>
      <c r="W163" s="20"/>
      <c r="X163" s="20"/>
      <c r="Y163" s="20"/>
      <c r="Z163" s="20"/>
      <c r="AA163" s="20"/>
      <c r="AB163" s="20"/>
      <c r="AC163" s="20"/>
      <c r="AD163" s="20"/>
    </row>
    <row r="164" spans="1:30">
      <c r="A164" s="20"/>
      <c r="B164" s="20"/>
      <c r="C164" s="20"/>
      <c r="D164" s="20"/>
      <c r="E164" s="20"/>
      <c r="F164" s="20"/>
      <c r="G164" s="20"/>
      <c r="H164" s="20"/>
      <c r="I164" s="20"/>
      <c r="J164" s="20"/>
      <c r="K164" s="20"/>
      <c r="L164" s="20"/>
      <c r="M164" s="20"/>
      <c r="N164" s="20"/>
      <c r="O164" s="20"/>
      <c r="P164" s="20"/>
      <c r="Q164" s="20"/>
      <c r="R164" s="20"/>
      <c r="S164" s="20"/>
      <c r="T164" s="20"/>
      <c r="U164" s="20"/>
      <c r="V164" s="20"/>
      <c r="W164" s="20"/>
      <c r="X164" s="20"/>
      <c r="Y164" s="20"/>
      <c r="Z164" s="20"/>
      <c r="AA164" s="20"/>
      <c r="AB164" s="20"/>
      <c r="AC164" s="20"/>
      <c r="AD164" s="20"/>
    </row>
    <row r="165" spans="1:30">
      <c r="A165" s="20"/>
      <c r="B165" s="20"/>
      <c r="C165" s="20"/>
      <c r="D165" s="20"/>
      <c r="E165" s="20"/>
      <c r="F165" s="20"/>
      <c r="G165" s="20"/>
      <c r="H165" s="20"/>
      <c r="I165" s="20"/>
      <c r="J165" s="20"/>
      <c r="K165" s="20"/>
      <c r="L165" s="20"/>
      <c r="M165" s="20"/>
      <c r="N165" s="20"/>
      <c r="O165" s="20"/>
      <c r="P165" s="20"/>
      <c r="Q165" s="20"/>
      <c r="R165" s="20"/>
      <c r="S165" s="20"/>
      <c r="T165" s="20"/>
      <c r="U165" s="20"/>
      <c r="V165" s="20"/>
      <c r="W165" s="20"/>
      <c r="X165" s="20"/>
      <c r="Y165" s="20"/>
      <c r="Z165" s="20"/>
      <c r="AA165" s="20"/>
      <c r="AB165" s="20"/>
      <c r="AC165" s="20"/>
      <c r="AD165" s="20"/>
    </row>
    <row r="166" spans="1:30">
      <c r="A166" s="20"/>
      <c r="B166" s="20"/>
      <c r="C166" s="20"/>
      <c r="D166" s="20"/>
      <c r="E166" s="20"/>
      <c r="F166" s="20"/>
      <c r="G166" s="20"/>
      <c r="H166" s="20"/>
      <c r="I166" s="20"/>
      <c r="J166" s="20"/>
      <c r="K166" s="20"/>
      <c r="L166" s="20"/>
      <c r="M166" s="20"/>
      <c r="N166" s="20"/>
      <c r="O166" s="20"/>
      <c r="P166" s="20"/>
      <c r="Q166" s="20"/>
      <c r="R166" s="20"/>
      <c r="S166" s="20"/>
      <c r="T166" s="20"/>
      <c r="U166" s="20"/>
      <c r="V166" s="20"/>
      <c r="W166" s="20"/>
      <c r="X166" s="20"/>
      <c r="Y166" s="20"/>
      <c r="Z166" s="20"/>
      <c r="AA166" s="20"/>
      <c r="AB166" s="20"/>
      <c r="AC166" s="20"/>
      <c r="AD166" s="20"/>
    </row>
    <row r="167" spans="1:30">
      <c r="A167" s="20"/>
      <c r="B167" s="20"/>
      <c r="C167" s="20"/>
      <c r="D167" s="20"/>
      <c r="E167" s="20"/>
      <c r="F167" s="20"/>
      <c r="G167" s="20"/>
      <c r="H167" s="20"/>
      <c r="I167" s="20"/>
      <c r="J167" s="20"/>
      <c r="K167" s="20"/>
      <c r="L167" s="20"/>
      <c r="M167" s="20"/>
      <c r="N167" s="20"/>
      <c r="O167" s="20"/>
      <c r="P167" s="20"/>
      <c r="Q167" s="20"/>
      <c r="R167" s="20"/>
      <c r="S167" s="20"/>
      <c r="T167" s="20"/>
      <c r="U167" s="20"/>
      <c r="V167" s="20"/>
      <c r="W167" s="20"/>
      <c r="X167" s="20"/>
      <c r="Y167" s="20"/>
      <c r="Z167" s="20"/>
      <c r="AA167" s="20"/>
      <c r="AB167" s="20"/>
      <c r="AC167" s="20"/>
      <c r="AD167" s="20"/>
    </row>
    <row r="168" spans="1:30">
      <c r="A168" s="20"/>
      <c r="B168" s="20"/>
      <c r="C168" s="20"/>
      <c r="D168" s="20"/>
      <c r="E168" s="20"/>
      <c r="F168" s="20"/>
      <c r="G168" s="20"/>
      <c r="H168" s="20"/>
      <c r="I168" s="20"/>
      <c r="J168" s="20"/>
      <c r="K168" s="20"/>
      <c r="L168" s="20"/>
      <c r="M168" s="20"/>
      <c r="N168" s="20"/>
      <c r="O168" s="20"/>
      <c r="P168" s="20"/>
      <c r="Q168" s="20"/>
      <c r="R168" s="20"/>
      <c r="S168" s="20"/>
      <c r="T168" s="20"/>
      <c r="U168" s="20"/>
      <c r="V168" s="20"/>
      <c r="W168" s="20"/>
      <c r="X168" s="20"/>
      <c r="Y168" s="20"/>
      <c r="Z168" s="20"/>
      <c r="AA168" s="20"/>
      <c r="AB168" s="20"/>
      <c r="AC168" s="20"/>
      <c r="AD168" s="20"/>
    </row>
    <row r="169" spans="1:30">
      <c r="A169" s="20"/>
      <c r="B169" s="20"/>
      <c r="C169" s="20"/>
      <c r="D169" s="20"/>
      <c r="E169" s="20"/>
      <c r="F169" s="20"/>
      <c r="G169" s="20"/>
      <c r="H169" s="20"/>
      <c r="I169" s="20"/>
      <c r="J169" s="20"/>
      <c r="K169" s="20"/>
      <c r="L169" s="20"/>
      <c r="M169" s="20"/>
      <c r="N169" s="20"/>
      <c r="O169" s="20"/>
      <c r="P169" s="20"/>
      <c r="Q169" s="20"/>
      <c r="R169" s="20"/>
      <c r="S169" s="20"/>
      <c r="T169" s="20"/>
      <c r="U169" s="20"/>
      <c r="V169" s="20"/>
      <c r="W169" s="20"/>
      <c r="X169" s="20"/>
      <c r="Y169" s="20"/>
      <c r="Z169" s="20"/>
      <c r="AA169" s="20"/>
      <c r="AB169" s="20"/>
      <c r="AC169" s="20"/>
      <c r="AD169" s="20"/>
    </row>
    <row r="170" spans="1:30">
      <c r="A170" s="20"/>
      <c r="B170" s="20"/>
      <c r="C170" s="20"/>
      <c r="D170" s="20"/>
      <c r="E170" s="20"/>
      <c r="F170" s="20"/>
      <c r="G170" s="20"/>
      <c r="H170" s="20"/>
      <c r="I170" s="20"/>
      <c r="J170" s="20"/>
      <c r="K170" s="20"/>
      <c r="L170" s="20"/>
      <c r="M170" s="20"/>
      <c r="N170" s="20"/>
      <c r="O170" s="20"/>
      <c r="P170" s="20"/>
      <c r="Q170" s="20"/>
      <c r="R170" s="20"/>
      <c r="S170" s="20"/>
      <c r="T170" s="20"/>
      <c r="U170" s="20"/>
      <c r="V170" s="20"/>
      <c r="W170" s="20"/>
      <c r="X170" s="20"/>
      <c r="Y170" s="20"/>
      <c r="Z170" s="20"/>
      <c r="AA170" s="20"/>
      <c r="AB170" s="20"/>
      <c r="AC170" s="20"/>
      <c r="AD170" s="20"/>
    </row>
    <row r="171" spans="1:30">
      <c r="A171" s="20"/>
      <c r="B171" s="20"/>
      <c r="C171" s="20"/>
      <c r="D171" s="20"/>
      <c r="E171" s="20"/>
      <c r="F171" s="20"/>
      <c r="G171" s="20"/>
      <c r="H171" s="20"/>
      <c r="I171" s="20"/>
      <c r="J171" s="20"/>
      <c r="K171" s="20"/>
      <c r="L171" s="20"/>
      <c r="M171" s="20"/>
      <c r="N171" s="20"/>
      <c r="O171" s="20"/>
      <c r="P171" s="20"/>
      <c r="Q171" s="20"/>
      <c r="R171" s="20"/>
      <c r="S171" s="20"/>
      <c r="T171" s="20"/>
      <c r="U171" s="20"/>
      <c r="V171" s="20"/>
      <c r="W171" s="20"/>
      <c r="X171" s="20"/>
      <c r="Y171" s="20"/>
      <c r="Z171" s="20"/>
      <c r="AA171" s="20"/>
      <c r="AB171" s="20"/>
      <c r="AC171" s="20"/>
      <c r="AD171" s="20"/>
    </row>
    <row r="172" spans="1:30">
      <c r="A172" s="20"/>
      <c r="B172" s="20"/>
      <c r="C172" s="20"/>
      <c r="D172" s="20"/>
      <c r="E172" s="20"/>
      <c r="F172" s="20"/>
      <c r="G172" s="20"/>
      <c r="H172" s="20"/>
      <c r="I172" s="20"/>
      <c r="J172" s="20"/>
      <c r="K172" s="20"/>
      <c r="L172" s="20"/>
      <c r="M172" s="20"/>
      <c r="N172" s="20"/>
      <c r="O172" s="20"/>
      <c r="P172" s="20"/>
      <c r="Q172" s="20"/>
      <c r="R172" s="20"/>
      <c r="S172" s="20"/>
      <c r="T172" s="20"/>
      <c r="U172" s="20"/>
      <c r="V172" s="20"/>
      <c r="W172" s="20"/>
      <c r="X172" s="20"/>
      <c r="Y172" s="20"/>
      <c r="Z172" s="20"/>
      <c r="AA172" s="20"/>
      <c r="AB172" s="20"/>
      <c r="AC172" s="20"/>
      <c r="AD172" s="20"/>
    </row>
    <row r="173" spans="1:30">
      <c r="A173" s="20"/>
      <c r="B173" s="20"/>
      <c r="C173" s="20"/>
      <c r="D173" s="20"/>
      <c r="E173" s="20"/>
      <c r="F173" s="20"/>
      <c r="G173" s="20"/>
      <c r="H173" s="20"/>
      <c r="I173" s="20"/>
      <c r="J173" s="20"/>
      <c r="K173" s="20"/>
      <c r="L173" s="20"/>
      <c r="M173" s="20"/>
      <c r="N173" s="20"/>
      <c r="O173" s="20"/>
      <c r="P173" s="20"/>
      <c r="Q173" s="20"/>
      <c r="R173" s="20"/>
      <c r="S173" s="20"/>
      <c r="T173" s="20"/>
      <c r="U173" s="20"/>
      <c r="V173" s="20"/>
      <c r="W173" s="20"/>
      <c r="X173" s="20"/>
      <c r="Y173" s="20"/>
      <c r="Z173" s="20"/>
      <c r="AA173" s="20"/>
      <c r="AB173" s="20"/>
      <c r="AC173" s="20"/>
      <c r="AD173" s="20"/>
    </row>
    <row r="174" spans="1:30">
      <c r="A174" s="20"/>
      <c r="B174" s="20"/>
      <c r="C174" s="20"/>
      <c r="D174" s="20"/>
      <c r="E174" s="20"/>
      <c r="F174" s="20"/>
      <c r="G174" s="20"/>
      <c r="H174" s="20"/>
      <c r="I174" s="20"/>
      <c r="J174" s="20"/>
      <c r="K174" s="20"/>
      <c r="L174" s="20"/>
      <c r="M174" s="20"/>
      <c r="N174" s="20"/>
      <c r="O174" s="20"/>
      <c r="P174" s="20"/>
      <c r="Q174" s="20"/>
      <c r="R174" s="20"/>
      <c r="S174" s="20"/>
      <c r="T174" s="20"/>
      <c r="U174" s="20"/>
      <c r="V174" s="20"/>
      <c r="W174" s="20"/>
      <c r="X174" s="20"/>
      <c r="Y174" s="20"/>
      <c r="Z174" s="20"/>
      <c r="AA174" s="20"/>
      <c r="AB174" s="20"/>
      <c r="AC174" s="20"/>
      <c r="AD174" s="20"/>
    </row>
    <row r="175" spans="1:30">
      <c r="A175" s="20"/>
      <c r="B175" s="20"/>
      <c r="C175" s="20"/>
      <c r="D175" s="20"/>
      <c r="E175" s="20"/>
      <c r="F175" s="20"/>
      <c r="G175" s="20"/>
      <c r="H175" s="20"/>
      <c r="I175" s="20"/>
      <c r="J175" s="20"/>
      <c r="K175" s="20"/>
      <c r="L175" s="20"/>
      <c r="M175" s="20"/>
      <c r="N175" s="20"/>
      <c r="O175" s="20"/>
      <c r="P175" s="20"/>
      <c r="Q175" s="20"/>
      <c r="R175" s="20"/>
      <c r="S175" s="20"/>
      <c r="T175" s="20"/>
      <c r="U175" s="20"/>
      <c r="V175" s="20"/>
      <c r="W175" s="20"/>
      <c r="X175" s="20"/>
      <c r="Y175" s="20"/>
      <c r="Z175" s="20"/>
      <c r="AA175" s="20"/>
      <c r="AB175" s="20"/>
      <c r="AC175" s="20"/>
      <c r="AD175" s="20"/>
    </row>
    <row r="176" spans="1:30">
      <c r="A176" s="20"/>
      <c r="B176" s="20"/>
      <c r="C176" s="20"/>
      <c r="D176" s="20"/>
      <c r="E176" s="20"/>
      <c r="F176" s="20"/>
      <c r="G176" s="20"/>
      <c r="H176" s="20"/>
      <c r="I176" s="20"/>
      <c r="J176" s="20"/>
      <c r="K176" s="20"/>
      <c r="L176" s="20"/>
      <c r="M176" s="20"/>
      <c r="N176" s="20"/>
      <c r="O176" s="20"/>
      <c r="P176" s="20"/>
      <c r="Q176" s="20"/>
      <c r="R176" s="20"/>
      <c r="S176" s="20"/>
      <c r="T176" s="20"/>
      <c r="U176" s="20"/>
      <c r="V176" s="20"/>
      <c r="W176" s="20"/>
      <c r="X176" s="20"/>
      <c r="Y176" s="20"/>
      <c r="Z176" s="20"/>
      <c r="AA176" s="20"/>
      <c r="AB176" s="20"/>
      <c r="AC176" s="20"/>
      <c r="AD176" s="20"/>
    </row>
    <row r="177" spans="1:30">
      <c r="A177" s="20"/>
      <c r="B177" s="20"/>
      <c r="C177" s="20"/>
      <c r="D177" s="20"/>
      <c r="E177" s="20"/>
      <c r="F177" s="20"/>
      <c r="G177" s="20"/>
      <c r="H177" s="20"/>
      <c r="I177" s="20"/>
      <c r="J177" s="20"/>
      <c r="K177" s="20"/>
      <c r="L177" s="20"/>
      <c r="M177" s="20"/>
      <c r="N177" s="20"/>
      <c r="O177" s="20"/>
      <c r="P177" s="20"/>
      <c r="Q177" s="20"/>
      <c r="R177" s="20"/>
      <c r="S177" s="20"/>
      <c r="T177" s="20"/>
      <c r="U177" s="20"/>
      <c r="V177" s="20"/>
      <c r="W177" s="20"/>
      <c r="X177" s="20"/>
      <c r="Y177" s="20"/>
      <c r="Z177" s="20"/>
      <c r="AA177" s="20"/>
      <c r="AB177" s="20"/>
      <c r="AC177" s="20"/>
      <c r="AD177" s="20"/>
    </row>
    <row r="178" spans="1:30">
      <c r="A178" s="20"/>
      <c r="B178" s="20"/>
      <c r="C178" s="20"/>
      <c r="D178" s="20"/>
      <c r="E178" s="20"/>
      <c r="F178" s="20"/>
      <c r="G178" s="20"/>
      <c r="H178" s="20"/>
      <c r="I178" s="20"/>
      <c r="J178" s="20"/>
      <c r="K178" s="20"/>
      <c r="L178" s="20"/>
      <c r="M178" s="20"/>
      <c r="N178" s="20"/>
      <c r="O178" s="20"/>
      <c r="P178" s="20"/>
      <c r="Q178" s="20"/>
      <c r="R178" s="20"/>
      <c r="S178" s="20"/>
      <c r="T178" s="20"/>
      <c r="U178" s="20"/>
      <c r="V178" s="20"/>
      <c r="W178" s="20"/>
      <c r="X178" s="20"/>
      <c r="Y178" s="20"/>
      <c r="Z178" s="20"/>
      <c r="AA178" s="20"/>
      <c r="AB178" s="20"/>
      <c r="AC178" s="20"/>
      <c r="AD178" s="20"/>
    </row>
    <row r="179" spans="1:30">
      <c r="A179" s="20"/>
      <c r="B179" s="20"/>
      <c r="C179" s="20"/>
      <c r="D179" s="20"/>
      <c r="E179" s="20"/>
      <c r="F179" s="20"/>
      <c r="G179" s="20"/>
      <c r="H179" s="20"/>
      <c r="I179" s="20"/>
      <c r="J179" s="20"/>
      <c r="K179" s="20"/>
      <c r="L179" s="20"/>
      <c r="M179" s="20"/>
      <c r="N179" s="20"/>
      <c r="O179" s="20"/>
      <c r="P179" s="20"/>
      <c r="Q179" s="20"/>
      <c r="R179" s="20"/>
      <c r="S179" s="20"/>
      <c r="T179" s="20"/>
      <c r="U179" s="20"/>
      <c r="V179" s="20"/>
      <c r="W179" s="20"/>
      <c r="X179" s="20"/>
      <c r="Y179" s="20"/>
      <c r="Z179" s="20"/>
      <c r="AA179" s="20"/>
      <c r="AB179" s="20"/>
      <c r="AC179" s="20"/>
      <c r="AD179" s="20"/>
    </row>
    <row r="180" spans="1:30">
      <c r="A180" s="20"/>
      <c r="B180" s="20"/>
      <c r="C180" s="20"/>
      <c r="D180" s="20"/>
      <c r="E180" s="20"/>
      <c r="F180" s="20"/>
      <c r="G180" s="20"/>
      <c r="H180" s="20"/>
      <c r="I180" s="20"/>
      <c r="J180" s="20"/>
      <c r="K180" s="20"/>
      <c r="L180" s="20"/>
      <c r="M180" s="20"/>
      <c r="N180" s="20"/>
      <c r="O180" s="20"/>
      <c r="P180" s="20"/>
      <c r="Q180" s="20"/>
      <c r="R180" s="20"/>
      <c r="S180" s="20"/>
      <c r="T180" s="20"/>
      <c r="U180" s="20"/>
      <c r="V180" s="20"/>
      <c r="W180" s="20"/>
      <c r="X180" s="20"/>
      <c r="Y180" s="20"/>
      <c r="Z180" s="20"/>
      <c r="AA180" s="20"/>
      <c r="AB180" s="20"/>
      <c r="AC180" s="20"/>
      <c r="AD180" s="20"/>
    </row>
    <row r="181" spans="1:30">
      <c r="A181" s="20"/>
      <c r="B181" s="20"/>
      <c r="C181" s="20"/>
      <c r="D181" s="20"/>
      <c r="E181" s="20"/>
      <c r="F181" s="20"/>
      <c r="G181" s="20"/>
      <c r="H181" s="20"/>
      <c r="I181" s="20"/>
      <c r="J181" s="20"/>
      <c r="K181" s="20"/>
      <c r="L181" s="20"/>
      <c r="M181" s="20"/>
      <c r="N181" s="20"/>
      <c r="O181" s="20"/>
      <c r="P181" s="20"/>
      <c r="Q181" s="20"/>
      <c r="R181" s="20"/>
      <c r="S181" s="20"/>
      <c r="T181" s="20"/>
      <c r="U181" s="20"/>
      <c r="V181" s="20"/>
      <c r="W181" s="20"/>
      <c r="X181" s="20"/>
      <c r="Y181" s="20"/>
      <c r="Z181" s="20"/>
      <c r="AA181" s="20"/>
      <c r="AB181" s="20"/>
      <c r="AC181" s="20"/>
      <c r="AD181" s="20"/>
    </row>
    <row r="182" spans="1:30">
      <c r="A182" s="20"/>
      <c r="B182" s="20"/>
      <c r="C182" s="20"/>
      <c r="D182" s="20"/>
      <c r="E182" s="20"/>
      <c r="F182" s="20"/>
      <c r="G182" s="20"/>
      <c r="H182" s="20"/>
      <c r="I182" s="20"/>
      <c r="J182" s="20"/>
      <c r="K182" s="20"/>
      <c r="L182" s="20"/>
      <c r="M182" s="20"/>
      <c r="N182" s="20"/>
      <c r="O182" s="20"/>
      <c r="P182" s="20"/>
      <c r="Q182" s="20"/>
      <c r="R182" s="20"/>
      <c r="S182" s="20"/>
      <c r="T182" s="20"/>
      <c r="U182" s="20"/>
      <c r="V182" s="20"/>
      <c r="W182" s="20"/>
      <c r="X182" s="20"/>
      <c r="Y182" s="20"/>
      <c r="Z182" s="20"/>
      <c r="AA182" s="20"/>
      <c r="AB182" s="20"/>
      <c r="AC182" s="20"/>
      <c r="AD182" s="20"/>
    </row>
    <row r="183" spans="1:30">
      <c r="A183" s="20"/>
      <c r="B183" s="20"/>
      <c r="C183" s="20"/>
      <c r="D183" s="20"/>
      <c r="E183" s="20"/>
      <c r="F183" s="20"/>
      <c r="G183" s="20"/>
      <c r="H183" s="20"/>
      <c r="I183" s="20"/>
      <c r="J183" s="20"/>
      <c r="K183" s="20"/>
      <c r="L183" s="20"/>
      <c r="M183" s="20"/>
      <c r="N183" s="20"/>
      <c r="O183" s="20"/>
      <c r="P183" s="20"/>
      <c r="Q183" s="20"/>
      <c r="R183" s="20"/>
      <c r="S183" s="20"/>
      <c r="T183" s="20"/>
      <c r="U183" s="20"/>
      <c r="V183" s="20"/>
      <c r="W183" s="20"/>
      <c r="X183" s="20"/>
      <c r="Y183" s="20"/>
      <c r="Z183" s="20"/>
      <c r="AA183" s="20"/>
      <c r="AB183" s="20"/>
      <c r="AC183" s="20"/>
      <c r="AD183" s="20"/>
    </row>
    <row r="184" spans="1:30">
      <c r="A184" s="20"/>
      <c r="B184" s="20"/>
      <c r="C184" s="20"/>
      <c r="D184" s="20"/>
      <c r="E184" s="20"/>
      <c r="F184" s="20"/>
      <c r="G184" s="20"/>
      <c r="H184" s="20"/>
      <c r="I184" s="20"/>
      <c r="J184" s="20"/>
      <c r="K184" s="20"/>
      <c r="L184" s="20"/>
      <c r="M184" s="20"/>
      <c r="N184" s="20"/>
      <c r="O184" s="20"/>
      <c r="P184" s="20"/>
      <c r="Q184" s="20"/>
      <c r="R184" s="20"/>
      <c r="S184" s="20"/>
      <c r="T184" s="20"/>
      <c r="U184" s="20"/>
      <c r="V184" s="20"/>
      <c r="W184" s="20"/>
      <c r="X184" s="20"/>
      <c r="Y184" s="20"/>
      <c r="Z184" s="20"/>
      <c r="AA184" s="20"/>
      <c r="AB184" s="20"/>
      <c r="AC184" s="20"/>
      <c r="AD184" s="20"/>
    </row>
    <row r="185" spans="1:30">
      <c r="A185" s="20"/>
      <c r="B185" s="20"/>
      <c r="C185" s="20"/>
      <c r="D185" s="20"/>
      <c r="E185" s="20"/>
      <c r="F185" s="20"/>
      <c r="G185" s="20"/>
      <c r="H185" s="20"/>
      <c r="I185" s="20"/>
      <c r="J185" s="20"/>
      <c r="K185" s="20"/>
      <c r="L185" s="20"/>
      <c r="M185" s="20"/>
      <c r="N185" s="20"/>
      <c r="O185" s="20"/>
      <c r="P185" s="20"/>
      <c r="Q185" s="20"/>
      <c r="R185" s="20"/>
      <c r="S185" s="20"/>
      <c r="T185" s="20"/>
      <c r="U185" s="20"/>
      <c r="V185" s="20"/>
      <c r="W185" s="20"/>
      <c r="X185" s="20"/>
      <c r="Y185" s="20"/>
      <c r="Z185" s="20"/>
      <c r="AA185" s="20"/>
      <c r="AB185" s="20"/>
      <c r="AC185" s="20"/>
      <c r="AD185" s="20"/>
    </row>
    <row r="186" spans="1:30">
      <c r="A186" s="20"/>
      <c r="B186" s="20"/>
      <c r="C186" s="20"/>
      <c r="D186" s="20"/>
      <c r="E186" s="20"/>
      <c r="F186" s="20"/>
      <c r="G186" s="20"/>
      <c r="H186" s="20"/>
      <c r="I186" s="20"/>
      <c r="J186" s="20"/>
      <c r="K186" s="20"/>
      <c r="L186" s="20"/>
      <c r="M186" s="20"/>
      <c r="N186" s="20"/>
      <c r="O186" s="20"/>
      <c r="P186" s="20"/>
      <c r="Q186" s="20"/>
      <c r="R186" s="20"/>
      <c r="S186" s="20"/>
      <c r="T186" s="20"/>
      <c r="U186" s="20"/>
      <c r="V186" s="20"/>
      <c r="W186" s="20"/>
      <c r="X186" s="20"/>
      <c r="Y186" s="20"/>
      <c r="Z186" s="20"/>
      <c r="AA186" s="20"/>
      <c r="AB186" s="20"/>
      <c r="AC186" s="20"/>
      <c r="AD186" s="20"/>
    </row>
    <row r="187" spans="1:30">
      <c r="A187" s="20"/>
      <c r="B187" s="20"/>
      <c r="C187" s="20"/>
      <c r="D187" s="20"/>
      <c r="E187" s="20"/>
      <c r="F187" s="20"/>
      <c r="G187" s="20"/>
      <c r="H187" s="20"/>
      <c r="I187" s="20"/>
      <c r="J187" s="20"/>
      <c r="K187" s="20"/>
      <c r="L187" s="20"/>
      <c r="M187" s="20"/>
      <c r="N187" s="20"/>
      <c r="O187" s="20"/>
      <c r="P187" s="20"/>
      <c r="Q187" s="20"/>
      <c r="R187" s="20"/>
      <c r="S187" s="20"/>
      <c r="T187" s="20"/>
      <c r="U187" s="20"/>
      <c r="V187" s="20"/>
      <c r="W187" s="20"/>
      <c r="X187" s="20"/>
      <c r="Y187" s="20"/>
      <c r="Z187" s="20"/>
      <c r="AA187" s="20"/>
      <c r="AB187" s="20"/>
      <c r="AC187" s="20"/>
      <c r="AD187" s="20"/>
    </row>
    <row r="188" spans="1:30">
      <c r="A188" s="20"/>
      <c r="B188" s="20"/>
      <c r="C188" s="20"/>
      <c r="D188" s="20"/>
      <c r="E188" s="20"/>
      <c r="F188" s="20"/>
      <c r="G188" s="20"/>
      <c r="H188" s="20"/>
      <c r="I188" s="20"/>
      <c r="J188" s="20"/>
      <c r="K188" s="20"/>
      <c r="L188" s="20"/>
      <c r="M188" s="20"/>
      <c r="N188" s="20"/>
      <c r="O188" s="20"/>
      <c r="P188" s="20"/>
      <c r="Q188" s="20"/>
      <c r="R188" s="20"/>
      <c r="S188" s="20"/>
      <c r="T188" s="20"/>
      <c r="U188" s="20"/>
      <c r="V188" s="20"/>
      <c r="W188" s="20"/>
      <c r="X188" s="20"/>
      <c r="Y188" s="20"/>
      <c r="Z188" s="20"/>
      <c r="AA188" s="20"/>
      <c r="AB188" s="20"/>
      <c r="AC188" s="20"/>
      <c r="AD188" s="20"/>
    </row>
    <row r="189" spans="1:30">
      <c r="A189" s="20"/>
      <c r="B189" s="20"/>
      <c r="C189" s="20"/>
      <c r="D189" s="20"/>
      <c r="E189" s="20"/>
      <c r="F189" s="20"/>
      <c r="G189" s="20"/>
      <c r="H189" s="20"/>
      <c r="I189" s="20"/>
      <c r="J189" s="20"/>
      <c r="K189" s="20"/>
      <c r="L189" s="20"/>
      <c r="M189" s="20"/>
      <c r="N189" s="20"/>
      <c r="O189" s="20"/>
      <c r="P189" s="20"/>
      <c r="Q189" s="20"/>
      <c r="R189" s="20"/>
      <c r="S189" s="20"/>
      <c r="T189" s="20"/>
      <c r="U189" s="20"/>
      <c r="V189" s="20"/>
      <c r="W189" s="20"/>
      <c r="X189" s="20"/>
      <c r="Y189" s="20"/>
      <c r="Z189" s="20"/>
      <c r="AA189" s="20"/>
      <c r="AB189" s="20"/>
      <c r="AC189" s="20"/>
      <c r="AD189" s="20"/>
    </row>
    <row r="190" spans="1:30">
      <c r="A190" s="20"/>
      <c r="B190" s="20"/>
      <c r="C190" s="20"/>
      <c r="D190" s="20"/>
      <c r="E190" s="20"/>
      <c r="F190" s="20"/>
      <c r="G190" s="20"/>
      <c r="H190" s="20"/>
      <c r="I190" s="20"/>
      <c r="J190" s="20"/>
      <c r="K190" s="20"/>
      <c r="L190" s="20"/>
      <c r="M190" s="20"/>
      <c r="N190" s="20"/>
      <c r="O190" s="20"/>
      <c r="P190" s="20"/>
      <c r="Q190" s="20"/>
      <c r="R190" s="20"/>
      <c r="S190" s="20"/>
      <c r="T190" s="20"/>
      <c r="U190" s="20"/>
      <c r="V190" s="20"/>
      <c r="W190" s="20"/>
      <c r="X190" s="20"/>
      <c r="Y190" s="20"/>
      <c r="Z190" s="20"/>
      <c r="AA190" s="20"/>
      <c r="AB190" s="20"/>
      <c r="AC190" s="20"/>
      <c r="AD190" s="20"/>
    </row>
    <row r="191" spans="1:30">
      <c r="A191" s="20"/>
      <c r="B191" s="20"/>
      <c r="C191" s="20"/>
      <c r="D191" s="20"/>
      <c r="E191" s="20"/>
      <c r="F191" s="20"/>
      <c r="G191" s="20"/>
      <c r="H191" s="20"/>
      <c r="I191" s="20"/>
      <c r="J191" s="20"/>
      <c r="K191" s="20"/>
      <c r="L191" s="20"/>
      <c r="M191" s="20"/>
      <c r="N191" s="20"/>
      <c r="O191" s="20"/>
      <c r="P191" s="20"/>
      <c r="Q191" s="20"/>
      <c r="R191" s="20"/>
      <c r="S191" s="20"/>
      <c r="T191" s="20"/>
      <c r="U191" s="20"/>
      <c r="V191" s="20"/>
      <c r="W191" s="20"/>
      <c r="X191" s="20"/>
      <c r="Y191" s="20"/>
      <c r="Z191" s="20"/>
      <c r="AA191" s="20"/>
      <c r="AB191" s="20"/>
      <c r="AC191" s="20"/>
      <c r="AD191" s="20"/>
    </row>
    <row r="192" spans="1:30">
      <c r="A192" s="20"/>
      <c r="B192" s="20"/>
      <c r="C192" s="20"/>
      <c r="D192" s="20"/>
      <c r="E192" s="20"/>
      <c r="F192" s="20"/>
      <c r="G192" s="20"/>
      <c r="H192" s="20"/>
      <c r="I192" s="20"/>
      <c r="J192" s="20"/>
      <c r="K192" s="20"/>
      <c r="L192" s="20"/>
      <c r="M192" s="20"/>
      <c r="N192" s="20"/>
      <c r="O192" s="20"/>
      <c r="P192" s="20"/>
      <c r="Q192" s="20"/>
      <c r="R192" s="20"/>
      <c r="S192" s="20"/>
      <c r="T192" s="20"/>
      <c r="U192" s="20"/>
      <c r="V192" s="20"/>
      <c r="W192" s="20"/>
      <c r="X192" s="20"/>
      <c r="Y192" s="20"/>
      <c r="Z192" s="20"/>
      <c r="AA192" s="20"/>
      <c r="AB192" s="20"/>
      <c r="AC192" s="20"/>
      <c r="AD192" s="20"/>
    </row>
    <row r="193" spans="1:30">
      <c r="A193" s="20"/>
      <c r="B193" s="20"/>
      <c r="C193" s="20"/>
      <c r="D193" s="20"/>
      <c r="E193" s="20"/>
      <c r="F193" s="20"/>
      <c r="G193" s="20"/>
      <c r="H193" s="20"/>
      <c r="I193" s="20"/>
      <c r="J193" s="20"/>
      <c r="K193" s="20"/>
      <c r="L193" s="20"/>
      <c r="M193" s="20"/>
      <c r="N193" s="20"/>
      <c r="O193" s="20"/>
      <c r="P193" s="20"/>
      <c r="Q193" s="20"/>
      <c r="R193" s="20"/>
      <c r="S193" s="20"/>
      <c r="T193" s="20"/>
      <c r="U193" s="20"/>
      <c r="V193" s="20"/>
      <c r="W193" s="20"/>
      <c r="X193" s="20"/>
      <c r="Y193" s="20"/>
      <c r="Z193" s="20"/>
      <c r="AA193" s="20"/>
      <c r="AB193" s="20"/>
      <c r="AC193" s="20"/>
      <c r="AD193" s="20"/>
    </row>
    <row r="194" spans="1:30">
      <c r="A194" s="20"/>
      <c r="B194" s="20"/>
      <c r="C194" s="20"/>
      <c r="D194" s="20"/>
      <c r="E194" s="20"/>
      <c r="F194" s="20"/>
      <c r="G194" s="20"/>
      <c r="H194" s="20"/>
      <c r="I194" s="20"/>
      <c r="J194" s="20"/>
      <c r="K194" s="20"/>
      <c r="L194" s="20"/>
      <c r="M194" s="20"/>
      <c r="N194" s="20"/>
      <c r="O194" s="20"/>
      <c r="P194" s="20"/>
      <c r="Q194" s="20"/>
      <c r="R194" s="20"/>
      <c r="S194" s="20"/>
      <c r="T194" s="20"/>
      <c r="U194" s="20"/>
      <c r="V194" s="20"/>
      <c r="W194" s="20"/>
      <c r="X194" s="20"/>
      <c r="Y194" s="20"/>
      <c r="Z194" s="20"/>
      <c r="AA194" s="20"/>
      <c r="AB194" s="20"/>
      <c r="AC194" s="20"/>
      <c r="AD194" s="20"/>
    </row>
    <row r="195" spans="1:30">
      <c r="A195" s="20"/>
      <c r="B195" s="20"/>
      <c r="C195" s="20"/>
      <c r="D195" s="20"/>
      <c r="E195" s="20"/>
      <c r="F195" s="20"/>
      <c r="G195" s="20"/>
      <c r="H195" s="20"/>
      <c r="I195" s="20"/>
      <c r="J195" s="20"/>
      <c r="K195" s="20"/>
      <c r="L195" s="20"/>
      <c r="M195" s="20"/>
      <c r="N195" s="20"/>
      <c r="O195" s="20"/>
      <c r="P195" s="20"/>
      <c r="Q195" s="20"/>
      <c r="R195" s="20"/>
      <c r="S195" s="20"/>
      <c r="T195" s="20"/>
      <c r="U195" s="20"/>
      <c r="V195" s="20"/>
      <c r="W195" s="20"/>
      <c r="X195" s="20"/>
      <c r="Y195" s="20"/>
      <c r="Z195" s="20"/>
      <c r="AA195" s="20"/>
      <c r="AB195" s="20"/>
      <c r="AC195" s="20"/>
      <c r="AD195" s="20"/>
    </row>
    <row r="196" spans="1:30">
      <c r="A196" s="20"/>
      <c r="B196" s="20"/>
      <c r="C196" s="20"/>
      <c r="D196" s="20"/>
      <c r="E196" s="20"/>
      <c r="F196" s="20"/>
      <c r="G196" s="20"/>
      <c r="H196" s="20"/>
      <c r="I196" s="20"/>
      <c r="J196" s="20"/>
      <c r="K196" s="20"/>
      <c r="L196" s="20"/>
      <c r="M196" s="20"/>
      <c r="N196" s="20"/>
      <c r="O196" s="20"/>
      <c r="P196" s="20"/>
      <c r="Q196" s="20"/>
      <c r="R196" s="20"/>
      <c r="S196" s="20"/>
      <c r="T196" s="20"/>
      <c r="U196" s="20"/>
      <c r="V196" s="20"/>
      <c r="W196" s="20"/>
      <c r="X196" s="20"/>
      <c r="Y196" s="20"/>
      <c r="Z196" s="20"/>
      <c r="AA196" s="20"/>
      <c r="AB196" s="20"/>
      <c r="AC196" s="20"/>
      <c r="AD196" s="20"/>
    </row>
    <row r="197" spans="1:30">
      <c r="A197" s="20"/>
      <c r="B197" s="20"/>
      <c r="C197" s="20"/>
      <c r="D197" s="20"/>
      <c r="E197" s="20"/>
      <c r="F197" s="20"/>
      <c r="G197" s="20"/>
      <c r="H197" s="20"/>
      <c r="I197" s="20"/>
      <c r="J197" s="20"/>
      <c r="K197" s="20"/>
      <c r="L197" s="20"/>
      <c r="M197" s="20"/>
      <c r="N197" s="20"/>
      <c r="O197" s="20"/>
      <c r="P197" s="20"/>
      <c r="Q197" s="20"/>
      <c r="R197" s="20"/>
      <c r="S197" s="20"/>
      <c r="T197" s="20"/>
      <c r="U197" s="20"/>
      <c r="V197" s="20"/>
      <c r="W197" s="20"/>
      <c r="X197" s="20"/>
      <c r="Y197" s="20"/>
      <c r="Z197" s="20"/>
      <c r="AA197" s="20"/>
      <c r="AB197" s="20"/>
      <c r="AC197" s="20"/>
      <c r="AD197" s="20"/>
    </row>
    <row r="198" spans="1:30">
      <c r="A198" s="20"/>
      <c r="B198" s="20"/>
      <c r="C198" s="20"/>
      <c r="D198" s="20"/>
      <c r="E198" s="20"/>
      <c r="F198" s="20"/>
      <c r="G198" s="20"/>
      <c r="H198" s="20"/>
      <c r="I198" s="20"/>
      <c r="J198" s="20"/>
      <c r="K198" s="20"/>
      <c r="L198" s="20"/>
      <c r="M198" s="20"/>
      <c r="N198" s="20"/>
      <c r="O198" s="20"/>
      <c r="P198" s="20"/>
      <c r="Q198" s="20"/>
      <c r="R198" s="20"/>
      <c r="S198" s="20"/>
      <c r="T198" s="20"/>
      <c r="U198" s="20"/>
      <c r="V198" s="20"/>
      <c r="W198" s="20"/>
      <c r="X198" s="20"/>
      <c r="Y198" s="20"/>
      <c r="Z198" s="20"/>
      <c r="AA198" s="20"/>
      <c r="AB198" s="20"/>
      <c r="AC198" s="20"/>
      <c r="AD198" s="20"/>
    </row>
    <row r="199" spans="1:30">
      <c r="A199" s="20"/>
      <c r="B199" s="20"/>
      <c r="C199" s="20"/>
      <c r="D199" s="20"/>
      <c r="E199" s="20"/>
      <c r="F199" s="20"/>
      <c r="G199" s="20"/>
      <c r="H199" s="20"/>
      <c r="I199" s="20"/>
      <c r="J199" s="20"/>
      <c r="K199" s="20"/>
      <c r="L199" s="20"/>
      <c r="M199" s="20"/>
      <c r="N199" s="20"/>
      <c r="O199" s="20"/>
      <c r="P199" s="20"/>
      <c r="Q199" s="20"/>
      <c r="R199" s="20"/>
      <c r="S199" s="20"/>
      <c r="T199" s="20"/>
      <c r="U199" s="20"/>
      <c r="V199" s="20"/>
      <c r="W199" s="20"/>
      <c r="X199" s="20"/>
      <c r="Y199" s="20"/>
      <c r="Z199" s="20"/>
      <c r="AA199" s="20"/>
      <c r="AB199" s="20"/>
      <c r="AC199" s="20"/>
      <c r="AD199" s="20"/>
    </row>
    <row r="200" spans="1:30">
      <c r="A200" s="20"/>
      <c r="B200" s="20"/>
      <c r="C200" s="20"/>
      <c r="D200" s="20"/>
      <c r="E200" s="20"/>
      <c r="F200" s="20"/>
      <c r="G200" s="20"/>
      <c r="H200" s="20"/>
      <c r="I200" s="20"/>
      <c r="J200" s="20"/>
      <c r="K200" s="20"/>
      <c r="L200" s="20"/>
      <c r="M200" s="20"/>
      <c r="N200" s="20"/>
      <c r="O200" s="20"/>
      <c r="P200" s="20"/>
      <c r="Q200" s="20"/>
      <c r="R200" s="20"/>
      <c r="S200" s="20"/>
      <c r="T200" s="20"/>
      <c r="U200" s="20"/>
      <c r="V200" s="20"/>
      <c r="W200" s="20"/>
      <c r="X200" s="20"/>
      <c r="Y200" s="20"/>
      <c r="Z200" s="20"/>
      <c r="AA200" s="20"/>
      <c r="AB200" s="20"/>
      <c r="AC200" s="20"/>
      <c r="AD200" s="20"/>
    </row>
    <row r="201" spans="1:30">
      <c r="A201" s="20"/>
      <c r="B201" s="20"/>
      <c r="C201" s="20"/>
      <c r="D201" s="20"/>
      <c r="E201" s="20"/>
      <c r="F201" s="20"/>
      <c r="G201" s="20"/>
      <c r="H201" s="20"/>
      <c r="I201" s="20"/>
      <c r="J201" s="20"/>
      <c r="K201" s="20"/>
      <c r="L201" s="20"/>
      <c r="M201" s="20"/>
      <c r="N201" s="20"/>
      <c r="O201" s="20"/>
      <c r="P201" s="20"/>
      <c r="Q201" s="20"/>
      <c r="R201" s="20"/>
      <c r="S201" s="20"/>
      <c r="T201" s="20"/>
      <c r="U201" s="20"/>
      <c r="V201" s="20"/>
      <c r="W201" s="20"/>
      <c r="X201" s="20"/>
      <c r="Y201" s="20"/>
      <c r="Z201" s="20"/>
      <c r="AA201" s="20"/>
      <c r="AB201" s="20"/>
      <c r="AC201" s="20"/>
      <c r="AD201" s="20"/>
    </row>
    <row r="202" spans="1:30">
      <c r="A202" s="20"/>
      <c r="B202" s="20"/>
      <c r="C202" s="20"/>
      <c r="D202" s="20"/>
      <c r="E202" s="20"/>
      <c r="F202" s="20"/>
      <c r="G202" s="20"/>
      <c r="H202" s="20"/>
      <c r="I202" s="20"/>
      <c r="J202" s="20"/>
      <c r="K202" s="20"/>
      <c r="L202" s="20"/>
      <c r="M202" s="20"/>
      <c r="N202" s="20"/>
      <c r="O202" s="20"/>
      <c r="P202" s="20"/>
      <c r="Q202" s="20"/>
      <c r="R202" s="20"/>
      <c r="S202" s="20"/>
      <c r="T202" s="20"/>
      <c r="U202" s="20"/>
      <c r="V202" s="20"/>
      <c r="W202" s="20"/>
      <c r="X202" s="20"/>
      <c r="Y202" s="20"/>
      <c r="Z202" s="20"/>
      <c r="AA202" s="20"/>
      <c r="AB202" s="20"/>
      <c r="AC202" s="20"/>
      <c r="AD202" s="20"/>
    </row>
    <row r="203" spans="1:30">
      <c r="A203" s="20"/>
      <c r="B203" s="20"/>
      <c r="C203" s="20"/>
      <c r="D203" s="20"/>
      <c r="E203" s="20"/>
      <c r="F203" s="20"/>
      <c r="G203" s="20"/>
      <c r="H203" s="20"/>
      <c r="I203" s="20"/>
      <c r="J203" s="20"/>
      <c r="K203" s="20"/>
      <c r="L203" s="20"/>
      <c r="M203" s="20"/>
      <c r="N203" s="20"/>
      <c r="O203" s="20"/>
      <c r="P203" s="20"/>
      <c r="Q203" s="20"/>
      <c r="R203" s="20"/>
      <c r="S203" s="20"/>
      <c r="T203" s="20"/>
      <c r="U203" s="20"/>
      <c r="V203" s="20"/>
      <c r="W203" s="20"/>
      <c r="X203" s="20"/>
      <c r="Y203" s="20"/>
      <c r="Z203" s="20"/>
      <c r="AA203" s="20"/>
      <c r="AB203" s="20"/>
      <c r="AC203" s="20"/>
      <c r="AD203" s="20"/>
    </row>
    <row r="204" spans="1:30">
      <c r="A204" s="20"/>
      <c r="B204" s="20"/>
      <c r="C204" s="20"/>
      <c r="D204" s="20"/>
      <c r="E204" s="20"/>
      <c r="F204" s="20"/>
      <c r="G204" s="20"/>
      <c r="H204" s="20"/>
      <c r="I204" s="20"/>
      <c r="J204" s="20"/>
      <c r="K204" s="20"/>
      <c r="L204" s="20"/>
      <c r="M204" s="20"/>
      <c r="N204" s="20"/>
      <c r="O204" s="20"/>
      <c r="P204" s="20"/>
      <c r="Q204" s="20"/>
      <c r="R204" s="20"/>
      <c r="S204" s="20"/>
      <c r="T204" s="20"/>
      <c r="U204" s="20"/>
      <c r="V204" s="20"/>
      <c r="W204" s="20"/>
      <c r="X204" s="20"/>
      <c r="Y204" s="20"/>
      <c r="Z204" s="20"/>
      <c r="AA204" s="20"/>
      <c r="AB204" s="20"/>
      <c r="AC204" s="20"/>
      <c r="AD204" s="20"/>
    </row>
    <row r="205" spans="1:30">
      <c r="A205" s="20"/>
      <c r="B205" s="20"/>
      <c r="C205" s="20"/>
      <c r="D205" s="20"/>
      <c r="E205" s="20"/>
      <c r="F205" s="20"/>
      <c r="G205" s="20"/>
      <c r="H205" s="20"/>
      <c r="I205" s="20"/>
      <c r="J205" s="20"/>
      <c r="K205" s="20"/>
      <c r="L205" s="20"/>
      <c r="M205" s="20"/>
      <c r="N205" s="20"/>
      <c r="O205" s="20"/>
      <c r="P205" s="20"/>
      <c r="Q205" s="20"/>
      <c r="R205" s="20"/>
      <c r="S205" s="20"/>
      <c r="T205" s="20"/>
      <c r="U205" s="20"/>
      <c r="V205" s="20"/>
      <c r="W205" s="20"/>
      <c r="X205" s="20"/>
      <c r="Y205" s="20"/>
      <c r="Z205" s="20"/>
      <c r="AA205" s="20"/>
      <c r="AB205" s="20"/>
      <c r="AC205" s="20"/>
      <c r="AD205" s="20"/>
    </row>
    <row r="206" spans="1:30">
      <c r="A206" s="20"/>
      <c r="B206" s="20"/>
      <c r="C206" s="20"/>
      <c r="D206" s="20"/>
      <c r="E206" s="20"/>
      <c r="F206" s="20"/>
      <c r="G206" s="20"/>
      <c r="H206" s="20"/>
      <c r="I206" s="20"/>
      <c r="J206" s="20"/>
      <c r="K206" s="20"/>
      <c r="L206" s="20"/>
      <c r="M206" s="20"/>
      <c r="N206" s="20"/>
      <c r="O206" s="20"/>
      <c r="P206" s="20"/>
      <c r="Q206" s="20"/>
      <c r="R206" s="20"/>
      <c r="S206" s="20"/>
      <c r="T206" s="20"/>
      <c r="U206" s="20"/>
      <c r="V206" s="20"/>
      <c r="W206" s="20"/>
      <c r="X206" s="20"/>
      <c r="Y206" s="20"/>
      <c r="Z206" s="20"/>
      <c r="AA206" s="20"/>
      <c r="AB206" s="20"/>
      <c r="AC206" s="20"/>
      <c r="AD206" s="20"/>
    </row>
    <row r="207" spans="1:30">
      <c r="A207" s="20"/>
      <c r="B207" s="20"/>
      <c r="C207" s="20"/>
      <c r="D207" s="20"/>
      <c r="E207" s="20"/>
      <c r="F207" s="20"/>
      <c r="G207" s="20"/>
      <c r="H207" s="20"/>
      <c r="I207" s="20"/>
      <c r="J207" s="20"/>
      <c r="K207" s="20"/>
      <c r="L207" s="20"/>
      <c r="M207" s="20"/>
      <c r="N207" s="20"/>
      <c r="O207" s="20"/>
      <c r="P207" s="20"/>
      <c r="Q207" s="20"/>
      <c r="R207" s="20"/>
      <c r="S207" s="20"/>
      <c r="T207" s="20"/>
      <c r="U207" s="20"/>
      <c r="V207" s="20"/>
      <c r="W207" s="20"/>
      <c r="X207" s="20"/>
      <c r="Y207" s="20"/>
      <c r="Z207" s="20"/>
      <c r="AA207" s="20"/>
      <c r="AB207" s="20"/>
      <c r="AC207" s="20"/>
      <c r="AD207" s="20"/>
    </row>
    <row r="208" spans="1:30">
      <c r="A208" s="20"/>
      <c r="B208" s="20"/>
      <c r="C208" s="20"/>
      <c r="D208" s="20"/>
      <c r="E208" s="20"/>
      <c r="F208" s="20"/>
      <c r="G208" s="20"/>
      <c r="H208" s="20"/>
      <c r="I208" s="20"/>
      <c r="J208" s="20"/>
      <c r="K208" s="20"/>
      <c r="L208" s="20"/>
      <c r="M208" s="20"/>
      <c r="N208" s="20"/>
      <c r="O208" s="20"/>
      <c r="P208" s="20"/>
      <c r="Q208" s="20"/>
      <c r="R208" s="20"/>
      <c r="S208" s="20"/>
      <c r="T208" s="20"/>
      <c r="U208" s="20"/>
      <c r="V208" s="20"/>
      <c r="W208" s="20"/>
      <c r="X208" s="20"/>
      <c r="Y208" s="20"/>
      <c r="Z208" s="20"/>
      <c r="AA208" s="20"/>
      <c r="AB208" s="20"/>
      <c r="AC208" s="20"/>
      <c r="AD208" s="20"/>
    </row>
    <row r="209" spans="1:30">
      <c r="A209" s="20"/>
      <c r="B209" s="20"/>
      <c r="C209" s="20"/>
      <c r="D209" s="20"/>
      <c r="E209" s="20"/>
      <c r="F209" s="20"/>
      <c r="G209" s="20"/>
      <c r="H209" s="20"/>
      <c r="I209" s="20"/>
      <c r="J209" s="20"/>
      <c r="K209" s="20"/>
      <c r="L209" s="20"/>
      <c r="M209" s="20"/>
      <c r="N209" s="20"/>
      <c r="O209" s="20"/>
      <c r="P209" s="20"/>
      <c r="Q209" s="20"/>
      <c r="R209" s="20"/>
      <c r="S209" s="20"/>
      <c r="T209" s="20"/>
      <c r="U209" s="20"/>
      <c r="V209" s="20"/>
      <c r="W209" s="20"/>
      <c r="X209" s="20"/>
      <c r="Y209" s="20"/>
      <c r="Z209" s="20"/>
      <c r="AA209" s="20"/>
      <c r="AB209" s="20"/>
      <c r="AC209" s="20"/>
      <c r="AD209" s="20"/>
    </row>
    <row r="210" spans="1:30">
      <c r="A210" s="20"/>
      <c r="B210" s="20"/>
      <c r="C210" s="20"/>
      <c r="D210" s="20"/>
      <c r="E210" s="20"/>
      <c r="F210" s="20"/>
      <c r="G210" s="20"/>
      <c r="H210" s="20"/>
      <c r="I210" s="20"/>
      <c r="J210" s="20"/>
      <c r="K210" s="20"/>
      <c r="L210" s="20"/>
      <c r="M210" s="20"/>
      <c r="N210" s="20"/>
      <c r="O210" s="20"/>
      <c r="P210" s="20"/>
      <c r="Q210" s="20"/>
      <c r="R210" s="20"/>
      <c r="S210" s="20"/>
      <c r="T210" s="20"/>
      <c r="U210" s="20"/>
      <c r="V210" s="20"/>
      <c r="W210" s="20"/>
      <c r="X210" s="20"/>
      <c r="Y210" s="20"/>
      <c r="Z210" s="20"/>
      <c r="AA210" s="20"/>
      <c r="AB210" s="20"/>
      <c r="AC210" s="20"/>
      <c r="AD210" s="20"/>
    </row>
    <row r="211" spans="1:30">
      <c r="A211" s="20"/>
      <c r="B211" s="20"/>
      <c r="C211" s="20"/>
      <c r="D211" s="20"/>
      <c r="E211" s="20"/>
      <c r="F211" s="20"/>
      <c r="G211" s="20"/>
      <c r="H211" s="20"/>
      <c r="I211" s="20"/>
      <c r="J211" s="20"/>
      <c r="K211" s="20"/>
      <c r="L211" s="20"/>
      <c r="M211" s="20"/>
      <c r="N211" s="20"/>
      <c r="O211" s="20"/>
      <c r="P211" s="20"/>
      <c r="Q211" s="20"/>
      <c r="R211" s="20"/>
      <c r="S211" s="20"/>
      <c r="T211" s="20"/>
      <c r="U211" s="20"/>
      <c r="V211" s="20"/>
      <c r="W211" s="20"/>
      <c r="X211" s="20"/>
      <c r="Y211" s="20"/>
      <c r="Z211" s="20"/>
      <c r="AA211" s="20"/>
      <c r="AB211" s="20"/>
      <c r="AC211" s="20"/>
      <c r="AD211" s="20"/>
    </row>
    <row r="212" spans="1:30">
      <c r="A212" s="20"/>
      <c r="B212" s="20"/>
      <c r="C212" s="20"/>
      <c r="D212" s="20"/>
      <c r="E212" s="20"/>
      <c r="F212" s="20"/>
      <c r="G212" s="20"/>
      <c r="H212" s="20"/>
      <c r="I212" s="20"/>
      <c r="J212" s="20"/>
      <c r="K212" s="20"/>
      <c r="L212" s="20"/>
      <c r="M212" s="20"/>
      <c r="N212" s="20"/>
      <c r="O212" s="20"/>
      <c r="P212" s="20"/>
      <c r="Q212" s="20"/>
      <c r="R212" s="20"/>
      <c r="S212" s="20"/>
      <c r="T212" s="20"/>
      <c r="U212" s="20"/>
      <c r="V212" s="20"/>
      <c r="W212" s="20"/>
      <c r="X212" s="20"/>
      <c r="Y212" s="20"/>
      <c r="Z212" s="20"/>
      <c r="AA212" s="20"/>
      <c r="AB212" s="20"/>
      <c r="AC212" s="20"/>
      <c r="AD212" s="20"/>
    </row>
    <row r="213" spans="1:30">
      <c r="A213" s="20"/>
      <c r="B213" s="20"/>
      <c r="C213" s="20"/>
      <c r="D213" s="20"/>
      <c r="E213" s="20"/>
      <c r="F213" s="20"/>
      <c r="G213" s="20"/>
      <c r="H213" s="20"/>
      <c r="I213" s="20"/>
      <c r="J213" s="20"/>
      <c r="K213" s="20"/>
      <c r="L213" s="20"/>
      <c r="M213" s="20"/>
      <c r="N213" s="20"/>
      <c r="O213" s="20"/>
      <c r="P213" s="20"/>
      <c r="Q213" s="20"/>
      <c r="R213" s="20"/>
      <c r="S213" s="20"/>
      <c r="T213" s="20"/>
      <c r="U213" s="20"/>
      <c r="V213" s="20"/>
      <c r="W213" s="20"/>
      <c r="X213" s="20"/>
      <c r="Y213" s="20"/>
      <c r="Z213" s="20"/>
      <c r="AA213" s="20"/>
      <c r="AB213" s="20"/>
      <c r="AC213" s="20"/>
      <c r="AD213" s="20"/>
    </row>
    <row r="214" spans="1:30">
      <c r="A214" s="20"/>
      <c r="B214" s="20"/>
      <c r="C214" s="20"/>
      <c r="D214" s="20"/>
      <c r="E214" s="20"/>
      <c r="F214" s="20"/>
      <c r="G214" s="20"/>
      <c r="H214" s="20"/>
      <c r="I214" s="20"/>
      <c r="J214" s="20"/>
      <c r="K214" s="20"/>
      <c r="L214" s="20"/>
      <c r="M214" s="20"/>
      <c r="N214" s="20"/>
      <c r="O214" s="20"/>
      <c r="P214" s="20"/>
      <c r="Q214" s="20"/>
      <c r="R214" s="20"/>
      <c r="S214" s="20"/>
      <c r="T214" s="20"/>
      <c r="U214" s="20"/>
      <c r="V214" s="20"/>
      <c r="W214" s="20"/>
      <c r="X214" s="20"/>
      <c r="Y214" s="20"/>
      <c r="Z214" s="20"/>
      <c r="AA214" s="20"/>
      <c r="AB214" s="20"/>
      <c r="AC214" s="20"/>
      <c r="AD214" s="20"/>
    </row>
    <row r="215" spans="1:30">
      <c r="A215" s="20"/>
      <c r="B215" s="20"/>
      <c r="C215" s="20"/>
      <c r="D215" s="20"/>
      <c r="E215" s="20"/>
      <c r="F215" s="20"/>
      <c r="G215" s="20"/>
      <c r="H215" s="20"/>
      <c r="I215" s="20"/>
      <c r="J215" s="20"/>
      <c r="K215" s="20"/>
      <c r="L215" s="20"/>
      <c r="M215" s="20"/>
      <c r="N215" s="20"/>
      <c r="O215" s="20"/>
      <c r="P215" s="20"/>
      <c r="Q215" s="20"/>
      <c r="R215" s="20"/>
      <c r="S215" s="20"/>
      <c r="T215" s="20"/>
      <c r="U215" s="20"/>
      <c r="V215" s="20"/>
      <c r="W215" s="20"/>
      <c r="X215" s="20"/>
      <c r="Y215" s="20"/>
      <c r="Z215" s="20"/>
      <c r="AA215" s="20"/>
      <c r="AB215" s="20"/>
      <c r="AC215" s="20"/>
      <c r="AD215" s="20"/>
    </row>
    <row r="216" spans="1:30">
      <c r="A216" s="20"/>
      <c r="B216" s="20"/>
      <c r="C216" s="20"/>
      <c r="D216" s="20"/>
      <c r="E216" s="20"/>
      <c r="F216" s="20"/>
      <c r="G216" s="20"/>
      <c r="H216" s="20"/>
      <c r="I216" s="20"/>
      <c r="J216" s="20"/>
      <c r="K216" s="20"/>
      <c r="L216" s="20"/>
      <c r="M216" s="20"/>
      <c r="N216" s="20"/>
      <c r="O216" s="20"/>
      <c r="P216" s="20"/>
      <c r="Q216" s="20"/>
      <c r="R216" s="20"/>
      <c r="S216" s="20"/>
      <c r="T216" s="20"/>
      <c r="U216" s="20"/>
      <c r="V216" s="20"/>
      <c r="W216" s="20"/>
      <c r="X216" s="20"/>
      <c r="Y216" s="20"/>
      <c r="Z216" s="20"/>
      <c r="AA216" s="20"/>
      <c r="AB216" s="20"/>
      <c r="AC216" s="20"/>
      <c r="AD216" s="20"/>
    </row>
    <row r="217" spans="1:30">
      <c r="A217" s="20"/>
      <c r="B217" s="20"/>
      <c r="C217" s="20"/>
      <c r="D217" s="20"/>
      <c r="E217" s="20"/>
      <c r="F217" s="20"/>
      <c r="G217" s="20"/>
      <c r="H217" s="20"/>
      <c r="I217" s="20"/>
      <c r="J217" s="20"/>
      <c r="K217" s="20"/>
      <c r="L217" s="20"/>
      <c r="M217" s="20"/>
      <c r="N217" s="20"/>
      <c r="O217" s="20"/>
      <c r="P217" s="20"/>
      <c r="Q217" s="20"/>
      <c r="R217" s="20"/>
      <c r="S217" s="20"/>
      <c r="T217" s="20"/>
      <c r="U217" s="20"/>
      <c r="V217" s="20"/>
      <c r="W217" s="20"/>
      <c r="X217" s="20"/>
      <c r="Y217" s="20"/>
      <c r="Z217" s="20"/>
      <c r="AA217" s="20"/>
      <c r="AB217" s="20"/>
      <c r="AC217" s="20"/>
      <c r="AD217" s="20"/>
    </row>
    <row r="218" spans="1:30">
      <c r="A218" s="20"/>
      <c r="B218" s="20"/>
      <c r="C218" s="20"/>
      <c r="D218" s="20"/>
      <c r="E218" s="20"/>
      <c r="F218" s="20"/>
      <c r="G218" s="20"/>
      <c r="H218" s="20"/>
      <c r="I218" s="20"/>
      <c r="J218" s="20"/>
      <c r="K218" s="20"/>
      <c r="L218" s="20"/>
      <c r="M218" s="20"/>
      <c r="N218" s="20"/>
      <c r="O218" s="20"/>
      <c r="P218" s="20"/>
      <c r="Q218" s="20"/>
      <c r="R218" s="20"/>
      <c r="S218" s="20"/>
      <c r="T218" s="20"/>
      <c r="U218" s="20"/>
      <c r="V218" s="20"/>
      <c r="W218" s="20"/>
      <c r="X218" s="20"/>
      <c r="Y218" s="20"/>
      <c r="Z218" s="20"/>
      <c r="AA218" s="20"/>
      <c r="AB218" s="20"/>
      <c r="AC218" s="20"/>
      <c r="AD218" s="20"/>
    </row>
    <row r="219" spans="1:30">
      <c r="A219" s="20"/>
      <c r="B219" s="20"/>
      <c r="C219" s="20"/>
      <c r="D219" s="20"/>
      <c r="E219" s="20"/>
      <c r="F219" s="20"/>
      <c r="G219" s="20"/>
      <c r="H219" s="20"/>
      <c r="I219" s="20"/>
      <c r="J219" s="20"/>
      <c r="K219" s="20"/>
      <c r="L219" s="20"/>
      <c r="M219" s="20"/>
      <c r="N219" s="20"/>
      <c r="O219" s="20"/>
      <c r="P219" s="20"/>
      <c r="Q219" s="20"/>
      <c r="R219" s="20"/>
      <c r="S219" s="20"/>
      <c r="T219" s="20"/>
      <c r="U219" s="20"/>
      <c r="V219" s="20"/>
      <c r="W219" s="20"/>
      <c r="X219" s="20"/>
      <c r="Y219" s="20"/>
      <c r="Z219" s="20"/>
      <c r="AA219" s="20"/>
      <c r="AB219" s="20"/>
      <c r="AC219" s="20"/>
      <c r="AD219" s="20"/>
    </row>
    <row r="220" spans="1:30">
      <c r="A220" s="20"/>
      <c r="B220" s="20"/>
      <c r="C220" s="20"/>
      <c r="D220" s="20"/>
      <c r="E220" s="20"/>
      <c r="F220" s="20"/>
      <c r="G220" s="20"/>
      <c r="H220" s="20"/>
      <c r="I220" s="20"/>
      <c r="J220" s="20"/>
      <c r="K220" s="20"/>
      <c r="L220" s="20"/>
      <c r="M220" s="20"/>
      <c r="N220" s="20"/>
      <c r="O220" s="20"/>
      <c r="P220" s="20"/>
      <c r="Q220" s="20"/>
      <c r="R220" s="20"/>
      <c r="S220" s="20"/>
      <c r="T220" s="20"/>
      <c r="U220" s="20"/>
      <c r="V220" s="20"/>
      <c r="W220" s="20"/>
      <c r="X220" s="20"/>
      <c r="Y220" s="20"/>
      <c r="Z220" s="20"/>
      <c r="AA220" s="20"/>
      <c r="AB220" s="20"/>
      <c r="AC220" s="20"/>
      <c r="AD220" s="20"/>
    </row>
    <row r="221" spans="1:30">
      <c r="A221" s="20"/>
      <c r="B221" s="20"/>
      <c r="C221" s="20"/>
      <c r="D221" s="20"/>
      <c r="E221" s="20"/>
      <c r="F221" s="20"/>
      <c r="G221" s="20"/>
      <c r="H221" s="20"/>
      <c r="I221" s="20"/>
      <c r="J221" s="20"/>
      <c r="K221" s="20"/>
      <c r="L221" s="20"/>
      <c r="M221" s="20"/>
      <c r="N221" s="20"/>
      <c r="O221" s="20"/>
      <c r="P221" s="20"/>
      <c r="Q221" s="20"/>
      <c r="R221" s="20"/>
      <c r="S221" s="20"/>
      <c r="T221" s="20"/>
      <c r="U221" s="20"/>
      <c r="V221" s="20"/>
      <c r="W221" s="20"/>
      <c r="X221" s="20"/>
      <c r="Y221" s="20"/>
      <c r="Z221" s="20"/>
      <c r="AA221" s="20"/>
      <c r="AB221" s="20"/>
      <c r="AC221" s="20"/>
      <c r="AD221" s="20"/>
    </row>
    <row r="222" spans="1:30">
      <c r="A222" s="20"/>
      <c r="B222" s="20"/>
      <c r="C222" s="20"/>
      <c r="D222" s="20"/>
      <c r="E222" s="20"/>
      <c r="F222" s="20"/>
      <c r="G222" s="20"/>
      <c r="H222" s="20"/>
      <c r="I222" s="20"/>
      <c r="J222" s="20"/>
      <c r="K222" s="20"/>
      <c r="L222" s="20"/>
      <c r="M222" s="20"/>
      <c r="N222" s="20"/>
      <c r="O222" s="20"/>
      <c r="P222" s="20"/>
      <c r="Q222" s="20"/>
      <c r="R222" s="20"/>
      <c r="S222" s="20"/>
      <c r="T222" s="20"/>
      <c r="U222" s="20"/>
      <c r="V222" s="20"/>
      <c r="W222" s="20"/>
      <c r="X222" s="20"/>
      <c r="Y222" s="20"/>
      <c r="Z222" s="20"/>
      <c r="AA222" s="20"/>
      <c r="AB222" s="20"/>
      <c r="AC222" s="20"/>
      <c r="AD222" s="20"/>
    </row>
    <row r="223" spans="1:30">
      <c r="A223" s="20"/>
      <c r="B223" s="20"/>
      <c r="C223" s="20"/>
      <c r="D223" s="20"/>
      <c r="E223" s="20"/>
      <c r="F223" s="20"/>
      <c r="G223" s="20"/>
      <c r="H223" s="20"/>
      <c r="I223" s="20"/>
      <c r="J223" s="20"/>
      <c r="K223" s="20"/>
      <c r="L223" s="20"/>
      <c r="M223" s="20"/>
      <c r="N223" s="20"/>
      <c r="O223" s="20"/>
      <c r="P223" s="20"/>
      <c r="Q223" s="20"/>
      <c r="R223" s="20"/>
      <c r="S223" s="20"/>
      <c r="T223" s="20"/>
      <c r="U223" s="20"/>
      <c r="V223" s="20"/>
      <c r="W223" s="20"/>
      <c r="X223" s="20"/>
      <c r="Y223" s="20"/>
      <c r="Z223" s="20"/>
      <c r="AA223" s="20"/>
      <c r="AB223" s="20"/>
      <c r="AC223" s="20"/>
      <c r="AD223" s="20"/>
    </row>
    <row r="224" spans="1:30">
      <c r="A224" s="20"/>
      <c r="B224" s="20"/>
      <c r="C224" s="20"/>
      <c r="D224" s="20"/>
      <c r="E224" s="20"/>
      <c r="F224" s="20"/>
      <c r="G224" s="20"/>
      <c r="H224" s="20"/>
      <c r="I224" s="20"/>
      <c r="J224" s="20"/>
      <c r="K224" s="20"/>
      <c r="L224" s="20"/>
      <c r="M224" s="20"/>
      <c r="N224" s="20"/>
      <c r="O224" s="20"/>
      <c r="P224" s="20"/>
      <c r="Q224" s="20"/>
      <c r="R224" s="20"/>
      <c r="S224" s="20"/>
      <c r="T224" s="20"/>
      <c r="U224" s="20"/>
      <c r="V224" s="20"/>
      <c r="W224" s="20"/>
      <c r="X224" s="20"/>
      <c r="Y224" s="20"/>
      <c r="Z224" s="20"/>
      <c r="AA224" s="20"/>
      <c r="AB224" s="20"/>
      <c r="AC224" s="20"/>
      <c r="AD224" s="20"/>
    </row>
    <row r="225" spans="1:30">
      <c r="A225" s="20"/>
      <c r="B225" s="20"/>
      <c r="C225" s="20"/>
      <c r="D225" s="20"/>
      <c r="E225" s="20"/>
      <c r="F225" s="20"/>
      <c r="G225" s="20"/>
      <c r="H225" s="20"/>
      <c r="I225" s="20"/>
      <c r="J225" s="20"/>
      <c r="K225" s="20"/>
      <c r="L225" s="20"/>
      <c r="M225" s="20"/>
      <c r="N225" s="20"/>
      <c r="O225" s="20"/>
      <c r="P225" s="20"/>
      <c r="Q225" s="20"/>
      <c r="R225" s="20"/>
      <c r="S225" s="20"/>
      <c r="T225" s="20"/>
      <c r="U225" s="20"/>
      <c r="V225" s="20"/>
      <c r="W225" s="20"/>
      <c r="X225" s="20"/>
      <c r="Y225" s="20"/>
      <c r="Z225" s="20"/>
      <c r="AA225" s="20"/>
      <c r="AB225" s="20"/>
      <c r="AC225" s="20"/>
      <c r="AD225" s="20"/>
    </row>
    <row r="226" spans="1:30">
      <c r="A226" s="20"/>
      <c r="B226" s="20"/>
      <c r="C226" s="20"/>
      <c r="D226" s="20"/>
      <c r="E226" s="20"/>
      <c r="F226" s="20"/>
      <c r="G226" s="20"/>
      <c r="H226" s="20"/>
      <c r="I226" s="20"/>
      <c r="J226" s="20"/>
      <c r="K226" s="20"/>
      <c r="L226" s="20"/>
      <c r="M226" s="20"/>
      <c r="N226" s="20"/>
      <c r="O226" s="20"/>
      <c r="P226" s="20"/>
      <c r="Q226" s="20"/>
      <c r="R226" s="20"/>
      <c r="S226" s="20"/>
      <c r="T226" s="20"/>
      <c r="U226" s="20"/>
      <c r="V226" s="20"/>
      <c r="W226" s="20"/>
      <c r="X226" s="20"/>
      <c r="Y226" s="20"/>
      <c r="Z226" s="20"/>
      <c r="AA226" s="20"/>
      <c r="AB226" s="20"/>
      <c r="AC226" s="20"/>
      <c r="AD226" s="20"/>
    </row>
    <row r="227" spans="1:30">
      <c r="A227" s="20"/>
      <c r="B227" s="20"/>
      <c r="C227" s="20"/>
      <c r="D227" s="20"/>
      <c r="E227" s="20"/>
      <c r="F227" s="20"/>
      <c r="G227" s="20"/>
      <c r="H227" s="20"/>
      <c r="I227" s="20"/>
      <c r="J227" s="20"/>
      <c r="K227" s="20"/>
      <c r="L227" s="20"/>
      <c r="M227" s="20"/>
      <c r="N227" s="20"/>
      <c r="O227" s="20"/>
      <c r="P227" s="20"/>
      <c r="Q227" s="20"/>
      <c r="R227" s="20"/>
      <c r="S227" s="20"/>
      <c r="T227" s="20"/>
      <c r="U227" s="20"/>
      <c r="V227" s="20"/>
      <c r="W227" s="20"/>
      <c r="X227" s="20"/>
      <c r="Y227" s="20"/>
      <c r="Z227" s="20"/>
      <c r="AA227" s="20"/>
      <c r="AB227" s="20"/>
      <c r="AC227" s="20"/>
      <c r="AD227" s="20"/>
    </row>
    <row r="228" spans="1:30">
      <c r="A228" s="20"/>
      <c r="B228" s="20"/>
      <c r="C228" s="20"/>
      <c r="D228" s="20"/>
      <c r="E228" s="20"/>
      <c r="F228" s="20"/>
      <c r="G228" s="20"/>
      <c r="H228" s="20"/>
      <c r="I228" s="20"/>
      <c r="J228" s="20"/>
      <c r="K228" s="20"/>
      <c r="L228" s="20"/>
      <c r="M228" s="20"/>
      <c r="N228" s="20"/>
      <c r="O228" s="20"/>
      <c r="P228" s="20"/>
      <c r="Q228" s="20"/>
      <c r="R228" s="20"/>
      <c r="S228" s="20"/>
      <c r="T228" s="20"/>
      <c r="U228" s="20"/>
      <c r="V228" s="20"/>
      <c r="W228" s="20"/>
      <c r="X228" s="20"/>
      <c r="Y228" s="20"/>
      <c r="Z228" s="20"/>
      <c r="AA228" s="20"/>
      <c r="AB228" s="20"/>
      <c r="AC228" s="20"/>
      <c r="AD228" s="20"/>
    </row>
    <row r="229" spans="1:30">
      <c r="A229" s="20"/>
      <c r="B229" s="20"/>
      <c r="C229" s="20"/>
      <c r="D229" s="20"/>
      <c r="E229" s="20"/>
      <c r="F229" s="20"/>
      <c r="G229" s="20"/>
      <c r="H229" s="20"/>
      <c r="I229" s="20"/>
      <c r="J229" s="20"/>
      <c r="K229" s="20"/>
      <c r="L229" s="20"/>
      <c r="M229" s="20"/>
      <c r="N229" s="20"/>
      <c r="O229" s="20"/>
      <c r="P229" s="20"/>
      <c r="Q229" s="20"/>
      <c r="R229" s="20"/>
      <c r="S229" s="20"/>
      <c r="T229" s="20"/>
      <c r="U229" s="20"/>
      <c r="V229" s="20"/>
      <c r="W229" s="20"/>
      <c r="X229" s="20"/>
      <c r="Y229" s="20"/>
      <c r="Z229" s="20"/>
      <c r="AA229" s="20"/>
      <c r="AB229" s="20"/>
      <c r="AC229" s="20"/>
      <c r="AD229" s="20"/>
    </row>
    <row r="230" spans="1:30">
      <c r="A230" s="20"/>
      <c r="B230" s="20"/>
      <c r="C230" s="20"/>
      <c r="D230" s="20"/>
      <c r="E230" s="20"/>
      <c r="F230" s="20"/>
      <c r="G230" s="20"/>
      <c r="H230" s="20"/>
      <c r="I230" s="20"/>
      <c r="J230" s="20"/>
      <c r="K230" s="20"/>
      <c r="L230" s="20"/>
      <c r="M230" s="20"/>
      <c r="N230" s="20"/>
      <c r="O230" s="20"/>
      <c r="P230" s="20"/>
      <c r="Q230" s="20"/>
      <c r="R230" s="20"/>
      <c r="S230" s="20"/>
      <c r="T230" s="20"/>
      <c r="U230" s="20"/>
      <c r="V230" s="20"/>
      <c r="W230" s="20"/>
      <c r="X230" s="20"/>
      <c r="Y230" s="20"/>
      <c r="Z230" s="20"/>
      <c r="AA230" s="20"/>
      <c r="AB230" s="20"/>
      <c r="AC230" s="20"/>
      <c r="AD230" s="20"/>
    </row>
    <row r="231" spans="1:30">
      <c r="A231" s="20"/>
      <c r="B231" s="20"/>
      <c r="C231" s="20"/>
      <c r="D231" s="20"/>
      <c r="E231" s="20"/>
      <c r="F231" s="20"/>
      <c r="G231" s="20"/>
      <c r="H231" s="20"/>
      <c r="I231" s="20"/>
      <c r="J231" s="20"/>
      <c r="K231" s="20"/>
      <c r="L231" s="20"/>
      <c r="M231" s="20"/>
      <c r="N231" s="20"/>
      <c r="O231" s="20"/>
      <c r="P231" s="20"/>
      <c r="Q231" s="20"/>
      <c r="R231" s="20"/>
      <c r="S231" s="20"/>
      <c r="T231" s="20"/>
      <c r="U231" s="20"/>
      <c r="V231" s="20"/>
      <c r="W231" s="20"/>
      <c r="X231" s="20"/>
      <c r="Y231" s="20"/>
      <c r="Z231" s="20"/>
      <c r="AA231" s="20"/>
      <c r="AB231" s="20"/>
      <c r="AC231" s="20"/>
      <c r="AD231" s="20"/>
    </row>
    <row r="232" spans="1:30">
      <c r="A232" s="20"/>
      <c r="B232" s="20"/>
      <c r="C232" s="20"/>
      <c r="D232" s="20"/>
      <c r="E232" s="20"/>
      <c r="F232" s="20"/>
      <c r="G232" s="20"/>
      <c r="H232" s="20"/>
      <c r="I232" s="20"/>
      <c r="J232" s="20"/>
      <c r="K232" s="20"/>
      <c r="L232" s="20"/>
      <c r="M232" s="20"/>
      <c r="N232" s="20"/>
      <c r="O232" s="20"/>
      <c r="P232" s="20"/>
      <c r="Q232" s="20"/>
      <c r="R232" s="20"/>
      <c r="S232" s="20"/>
      <c r="T232" s="20"/>
      <c r="U232" s="20"/>
      <c r="V232" s="20"/>
      <c r="W232" s="20"/>
      <c r="X232" s="20"/>
      <c r="Y232" s="20"/>
      <c r="Z232" s="20"/>
      <c r="AA232" s="20"/>
      <c r="AB232" s="20"/>
      <c r="AC232" s="20"/>
      <c r="AD232" s="20"/>
    </row>
    <row r="233" spans="1:30">
      <c r="A233" s="20"/>
      <c r="B233" s="20"/>
      <c r="C233" s="20"/>
      <c r="D233" s="20"/>
      <c r="E233" s="20"/>
      <c r="F233" s="20"/>
      <c r="G233" s="20"/>
      <c r="H233" s="20"/>
      <c r="I233" s="20"/>
      <c r="J233" s="20"/>
      <c r="K233" s="20"/>
      <c r="L233" s="20"/>
      <c r="M233" s="20"/>
      <c r="N233" s="20"/>
      <c r="O233" s="20"/>
      <c r="P233" s="20"/>
      <c r="Q233" s="20"/>
      <c r="R233" s="20"/>
      <c r="S233" s="20"/>
      <c r="T233" s="20"/>
      <c r="U233" s="20"/>
      <c r="V233" s="20"/>
      <c r="W233" s="20"/>
      <c r="X233" s="20"/>
      <c r="Y233" s="20"/>
      <c r="Z233" s="20"/>
      <c r="AA233" s="20"/>
      <c r="AB233" s="20"/>
      <c r="AC233" s="20"/>
      <c r="AD233" s="20"/>
    </row>
    <row r="234" spans="1:30">
      <c r="A234" s="20"/>
      <c r="B234" s="20"/>
      <c r="C234" s="20"/>
      <c r="D234" s="20"/>
      <c r="E234" s="20"/>
      <c r="F234" s="20"/>
      <c r="G234" s="20"/>
      <c r="H234" s="20"/>
      <c r="I234" s="20"/>
      <c r="J234" s="20"/>
      <c r="K234" s="20"/>
      <c r="L234" s="20"/>
      <c r="M234" s="20"/>
      <c r="N234" s="20"/>
      <c r="O234" s="20"/>
      <c r="P234" s="20"/>
      <c r="Q234" s="20"/>
      <c r="R234" s="20"/>
      <c r="S234" s="20"/>
      <c r="T234" s="20"/>
      <c r="U234" s="20"/>
      <c r="V234" s="20"/>
      <c r="W234" s="20"/>
      <c r="X234" s="20"/>
      <c r="Y234" s="20"/>
      <c r="Z234" s="20"/>
      <c r="AA234" s="20"/>
      <c r="AB234" s="20"/>
      <c r="AC234" s="20"/>
      <c r="AD234" s="20"/>
    </row>
    <row r="235" spans="1:30">
      <c r="A235" s="20"/>
      <c r="B235" s="20"/>
      <c r="C235" s="20"/>
      <c r="D235" s="20"/>
      <c r="E235" s="20"/>
      <c r="F235" s="20"/>
      <c r="G235" s="20"/>
      <c r="H235" s="20"/>
      <c r="I235" s="20"/>
      <c r="J235" s="20"/>
      <c r="K235" s="20"/>
      <c r="L235" s="20"/>
      <c r="M235" s="20"/>
      <c r="N235" s="20"/>
      <c r="O235" s="20"/>
      <c r="P235" s="20"/>
      <c r="Q235" s="20"/>
      <c r="R235" s="20"/>
      <c r="S235" s="20"/>
      <c r="T235" s="20"/>
      <c r="U235" s="20"/>
      <c r="V235" s="20"/>
      <c r="W235" s="20"/>
      <c r="X235" s="20"/>
      <c r="Y235" s="20"/>
      <c r="Z235" s="20"/>
      <c r="AA235" s="20"/>
      <c r="AB235" s="20"/>
      <c r="AC235" s="20"/>
      <c r="AD235" s="20"/>
    </row>
    <row r="236" spans="1:30">
      <c r="A236" s="20"/>
      <c r="B236" s="20"/>
      <c r="C236" s="20"/>
      <c r="D236" s="20"/>
      <c r="E236" s="20"/>
      <c r="F236" s="20"/>
      <c r="G236" s="20"/>
      <c r="H236" s="20"/>
      <c r="I236" s="20"/>
      <c r="J236" s="20"/>
      <c r="K236" s="20"/>
      <c r="L236" s="20"/>
      <c r="M236" s="20"/>
      <c r="N236" s="20"/>
      <c r="O236" s="20"/>
      <c r="P236" s="20"/>
      <c r="Q236" s="20"/>
      <c r="R236" s="20"/>
      <c r="S236" s="20"/>
      <c r="T236" s="20"/>
      <c r="U236" s="20"/>
      <c r="V236" s="20"/>
      <c r="W236" s="20"/>
      <c r="X236" s="20"/>
      <c r="Y236" s="20"/>
      <c r="Z236" s="20"/>
      <c r="AA236" s="20"/>
      <c r="AB236" s="20"/>
      <c r="AC236" s="20"/>
      <c r="AD236" s="20"/>
    </row>
    <row r="237" spans="1:30">
      <c r="A237" s="20"/>
      <c r="B237" s="20"/>
      <c r="C237" s="20"/>
      <c r="D237" s="20"/>
      <c r="E237" s="20"/>
      <c r="F237" s="20"/>
      <c r="G237" s="20"/>
      <c r="H237" s="20"/>
      <c r="I237" s="20"/>
      <c r="J237" s="20"/>
      <c r="K237" s="20"/>
      <c r="L237" s="20"/>
      <c r="M237" s="20"/>
      <c r="N237" s="20"/>
      <c r="O237" s="20"/>
      <c r="P237" s="20"/>
      <c r="Q237" s="20"/>
      <c r="R237" s="20"/>
      <c r="S237" s="20"/>
      <c r="T237" s="20"/>
      <c r="U237" s="20"/>
      <c r="V237" s="20"/>
      <c r="W237" s="20"/>
      <c r="X237" s="20"/>
      <c r="Y237" s="20"/>
      <c r="Z237" s="20"/>
      <c r="AA237" s="20"/>
      <c r="AB237" s="20"/>
      <c r="AC237" s="20"/>
      <c r="AD237" s="20"/>
    </row>
    <row r="238" spans="1:30">
      <c r="A238" s="20"/>
      <c r="B238" s="20"/>
      <c r="C238" s="20"/>
      <c r="D238" s="20"/>
      <c r="E238" s="20"/>
      <c r="F238" s="20"/>
      <c r="G238" s="20"/>
      <c r="H238" s="20"/>
      <c r="I238" s="20"/>
      <c r="J238" s="20"/>
      <c r="K238" s="20"/>
      <c r="L238" s="20"/>
      <c r="M238" s="20"/>
      <c r="N238" s="20"/>
      <c r="O238" s="20"/>
      <c r="P238" s="20"/>
      <c r="Q238" s="20"/>
      <c r="R238" s="20"/>
      <c r="S238" s="20"/>
      <c r="T238" s="20"/>
      <c r="U238" s="20"/>
      <c r="V238" s="20"/>
      <c r="W238" s="20"/>
      <c r="X238" s="20"/>
      <c r="Y238" s="20"/>
      <c r="Z238" s="20"/>
      <c r="AA238" s="20"/>
      <c r="AB238" s="20"/>
      <c r="AC238" s="20"/>
      <c r="AD238" s="20"/>
    </row>
    <row r="239" spans="1:30">
      <c r="A239" s="20"/>
      <c r="B239" s="20"/>
      <c r="C239" s="20"/>
      <c r="D239" s="20"/>
      <c r="E239" s="20"/>
      <c r="F239" s="20"/>
      <c r="G239" s="20"/>
      <c r="H239" s="20"/>
      <c r="I239" s="20"/>
      <c r="J239" s="20"/>
      <c r="K239" s="20"/>
      <c r="L239" s="20"/>
      <c r="M239" s="20"/>
      <c r="N239" s="20"/>
      <c r="O239" s="20"/>
      <c r="P239" s="20"/>
      <c r="Q239" s="20"/>
      <c r="R239" s="20"/>
      <c r="S239" s="20"/>
      <c r="T239" s="20"/>
      <c r="U239" s="20"/>
      <c r="V239" s="20"/>
      <c r="W239" s="20"/>
      <c r="X239" s="20"/>
      <c r="Y239" s="20"/>
      <c r="Z239" s="20"/>
      <c r="AA239" s="20"/>
      <c r="AB239" s="20"/>
      <c r="AC239" s="20"/>
      <c r="AD239" s="20"/>
    </row>
    <row r="240" spans="1:30">
      <c r="A240" s="20"/>
      <c r="B240" s="20"/>
      <c r="C240" s="20"/>
      <c r="D240" s="20"/>
      <c r="E240" s="20"/>
      <c r="F240" s="20"/>
      <c r="G240" s="20"/>
      <c r="H240" s="20"/>
      <c r="I240" s="20"/>
      <c r="J240" s="20"/>
      <c r="K240" s="20"/>
      <c r="L240" s="20"/>
      <c r="M240" s="20"/>
      <c r="N240" s="20"/>
      <c r="O240" s="20"/>
      <c r="P240" s="20"/>
      <c r="Q240" s="20"/>
      <c r="R240" s="20"/>
      <c r="S240" s="20"/>
      <c r="T240" s="20"/>
      <c r="U240" s="20"/>
      <c r="V240" s="20"/>
      <c r="W240" s="20"/>
      <c r="X240" s="20"/>
      <c r="Y240" s="20"/>
      <c r="Z240" s="20"/>
      <c r="AA240" s="20"/>
      <c r="AB240" s="20"/>
      <c r="AC240" s="20"/>
      <c r="AD240" s="20"/>
    </row>
    <row r="241" spans="1:30">
      <c r="A241" s="20"/>
      <c r="B241" s="20"/>
      <c r="C241" s="20"/>
      <c r="D241" s="20"/>
      <c r="E241" s="20"/>
      <c r="F241" s="20"/>
      <c r="G241" s="20"/>
      <c r="H241" s="20"/>
      <c r="I241" s="20"/>
      <c r="J241" s="20"/>
      <c r="K241" s="20"/>
      <c r="L241" s="20"/>
      <c r="M241" s="20"/>
      <c r="N241" s="20"/>
      <c r="O241" s="20"/>
      <c r="P241" s="20"/>
      <c r="Q241" s="20"/>
      <c r="R241" s="20"/>
      <c r="S241" s="20"/>
      <c r="T241" s="20"/>
      <c r="U241" s="20"/>
      <c r="V241" s="20"/>
      <c r="W241" s="20"/>
      <c r="X241" s="20"/>
      <c r="Y241" s="20"/>
      <c r="Z241" s="20"/>
      <c r="AA241" s="20"/>
      <c r="AB241" s="20"/>
      <c r="AC241" s="20"/>
      <c r="AD241" s="20"/>
    </row>
    <row r="242" spans="1:30">
      <c r="A242" s="20"/>
      <c r="B242" s="20"/>
      <c r="C242" s="20"/>
      <c r="D242" s="20"/>
      <c r="E242" s="20"/>
      <c r="F242" s="20"/>
      <c r="G242" s="20"/>
      <c r="H242" s="20"/>
      <c r="I242" s="20"/>
      <c r="J242" s="20"/>
      <c r="K242" s="20"/>
      <c r="L242" s="20"/>
      <c r="M242" s="20"/>
      <c r="N242" s="20"/>
      <c r="O242" s="20"/>
      <c r="P242" s="20"/>
      <c r="Q242" s="20"/>
      <c r="R242" s="20"/>
      <c r="S242" s="20"/>
      <c r="T242" s="20"/>
      <c r="U242" s="20"/>
      <c r="V242" s="20"/>
      <c r="W242" s="20"/>
      <c r="X242" s="20"/>
      <c r="Y242" s="20"/>
      <c r="Z242" s="20"/>
      <c r="AA242" s="20"/>
      <c r="AB242" s="20"/>
      <c r="AC242" s="20"/>
      <c r="AD242" s="20"/>
    </row>
    <row r="243" spans="1:30">
      <c r="A243" s="20"/>
      <c r="B243" s="20"/>
      <c r="C243" s="20"/>
      <c r="D243" s="20"/>
      <c r="E243" s="20"/>
      <c r="F243" s="20"/>
      <c r="G243" s="20"/>
      <c r="H243" s="20"/>
      <c r="I243" s="20"/>
      <c r="J243" s="20"/>
      <c r="K243" s="20"/>
      <c r="L243" s="20"/>
      <c r="M243" s="20"/>
      <c r="N243" s="20"/>
      <c r="O243" s="20"/>
      <c r="P243" s="20"/>
      <c r="Q243" s="20"/>
      <c r="R243" s="20"/>
      <c r="S243" s="20"/>
      <c r="T243" s="20"/>
      <c r="U243" s="20"/>
      <c r="V243" s="20"/>
      <c r="W243" s="20"/>
      <c r="X243" s="20"/>
      <c r="Y243" s="20"/>
      <c r="Z243" s="20"/>
      <c r="AA243" s="20"/>
      <c r="AB243" s="20"/>
      <c r="AC243" s="20"/>
      <c r="AD243" s="20"/>
    </row>
    <row r="244" spans="1:30">
      <c r="A244" s="20"/>
      <c r="B244" s="20"/>
      <c r="C244" s="20"/>
      <c r="D244" s="20"/>
      <c r="E244" s="20"/>
      <c r="F244" s="20"/>
      <c r="G244" s="20"/>
      <c r="H244" s="20"/>
      <c r="I244" s="20"/>
      <c r="J244" s="20"/>
      <c r="K244" s="20"/>
      <c r="L244" s="20"/>
      <c r="M244" s="20"/>
      <c r="N244" s="20"/>
      <c r="O244" s="20"/>
      <c r="P244" s="20"/>
      <c r="Q244" s="20"/>
      <c r="R244" s="20"/>
      <c r="S244" s="20"/>
    </row>
    <row r="245" spans="1:30">
      <c r="A245" s="20"/>
      <c r="B245" s="20"/>
      <c r="C245" s="20"/>
      <c r="D245" s="20"/>
      <c r="E245" s="20"/>
      <c r="F245" s="20"/>
      <c r="G245" s="20"/>
      <c r="H245" s="20"/>
      <c r="I245" s="20"/>
      <c r="J245" s="20"/>
      <c r="K245" s="20"/>
      <c r="L245" s="20"/>
      <c r="M245" s="20"/>
      <c r="N245" s="20"/>
      <c r="O245" s="20"/>
      <c r="P245" s="20"/>
      <c r="Q245" s="20"/>
      <c r="R245" s="20"/>
      <c r="S245" s="20"/>
    </row>
    <row r="246" spans="1:30">
      <c r="A246" s="20"/>
      <c r="B246" s="20"/>
      <c r="C246" s="20"/>
      <c r="D246" s="20"/>
      <c r="E246" s="20"/>
      <c r="F246" s="20"/>
      <c r="G246" s="20"/>
      <c r="H246" s="20"/>
      <c r="I246" s="20"/>
      <c r="J246" s="20"/>
      <c r="K246" s="20"/>
      <c r="L246" s="20"/>
      <c r="M246" s="20"/>
      <c r="N246" s="20"/>
      <c r="O246" s="20"/>
      <c r="P246" s="20"/>
      <c r="Q246" s="20"/>
      <c r="R246" s="20"/>
      <c r="S246" s="20"/>
    </row>
    <row r="247" spans="1:30">
      <c r="A247" s="20"/>
      <c r="B247" s="20"/>
      <c r="C247" s="20"/>
      <c r="D247" s="20"/>
      <c r="E247" s="20"/>
      <c r="F247" s="20"/>
      <c r="G247" s="20"/>
      <c r="H247" s="20"/>
      <c r="I247" s="20"/>
      <c r="J247" s="20"/>
      <c r="K247" s="20"/>
      <c r="L247" s="20"/>
      <c r="M247" s="20"/>
      <c r="N247" s="20"/>
      <c r="O247" s="20"/>
      <c r="P247" s="20"/>
      <c r="Q247" s="20"/>
      <c r="R247" s="20"/>
      <c r="S247" s="20"/>
    </row>
    <row r="248" spans="1:30">
      <c r="A248" s="20"/>
      <c r="B248" s="20"/>
      <c r="C248" s="20"/>
      <c r="D248" s="20"/>
      <c r="E248" s="20"/>
      <c r="F248" s="20"/>
      <c r="G248" s="20"/>
      <c r="H248" s="20"/>
      <c r="I248" s="20"/>
      <c r="J248" s="20"/>
      <c r="K248" s="20"/>
      <c r="L248" s="20"/>
      <c r="M248" s="20"/>
      <c r="N248" s="20"/>
      <c r="O248" s="20"/>
      <c r="P248" s="20"/>
      <c r="Q248" s="20"/>
      <c r="R248" s="20"/>
      <c r="S248" s="20"/>
    </row>
    <row r="249" spans="1:30">
      <c r="A249" s="20"/>
      <c r="B249" s="20"/>
      <c r="C249" s="20"/>
      <c r="D249" s="20"/>
      <c r="E249" s="20"/>
      <c r="F249" s="20"/>
      <c r="G249" s="20"/>
      <c r="H249" s="20"/>
      <c r="I249" s="20"/>
      <c r="J249" s="20"/>
      <c r="K249" s="20"/>
      <c r="L249" s="20"/>
      <c r="M249" s="20"/>
      <c r="N249" s="20"/>
      <c r="O249" s="20"/>
      <c r="P249" s="20"/>
      <c r="Q249" s="20"/>
      <c r="R249" s="20"/>
      <c r="S249" s="20"/>
    </row>
    <row r="250" spans="1:30">
      <c r="A250" s="20"/>
      <c r="B250" s="20"/>
      <c r="C250" s="20"/>
      <c r="D250" s="20"/>
      <c r="E250" s="20"/>
      <c r="F250" s="20"/>
      <c r="G250" s="20"/>
      <c r="H250" s="20"/>
      <c r="I250" s="20"/>
      <c r="J250" s="20"/>
      <c r="K250" s="20"/>
      <c r="L250" s="20"/>
      <c r="M250" s="20"/>
      <c r="N250" s="20"/>
      <c r="O250" s="20"/>
      <c r="P250" s="20"/>
      <c r="Q250" s="20"/>
      <c r="R250" s="20"/>
      <c r="S250" s="20"/>
    </row>
    <row r="251" spans="1:30">
      <c r="A251" s="20"/>
      <c r="B251" s="20"/>
      <c r="C251" s="20"/>
      <c r="D251" s="20"/>
      <c r="E251" s="20"/>
      <c r="F251" s="20"/>
      <c r="G251" s="20"/>
      <c r="H251" s="20"/>
      <c r="I251" s="20"/>
      <c r="J251" s="20"/>
      <c r="K251" s="20"/>
      <c r="L251" s="20"/>
      <c r="M251" s="20"/>
      <c r="N251" s="20"/>
      <c r="O251" s="20"/>
      <c r="P251" s="20"/>
      <c r="Q251" s="20"/>
      <c r="R251" s="20"/>
      <c r="S251" s="20"/>
    </row>
    <row r="252" spans="1:30">
      <c r="A252" s="20"/>
      <c r="B252" s="20"/>
      <c r="C252" s="20"/>
      <c r="D252" s="20"/>
      <c r="E252" s="20"/>
      <c r="F252" s="20"/>
      <c r="G252" s="20"/>
      <c r="H252" s="20"/>
      <c r="I252" s="20"/>
      <c r="J252" s="20"/>
      <c r="K252" s="20"/>
      <c r="L252" s="20"/>
      <c r="M252" s="20"/>
      <c r="N252" s="20"/>
      <c r="O252" s="20"/>
      <c r="P252" s="20"/>
      <c r="Q252" s="20"/>
      <c r="R252" s="20"/>
      <c r="S252" s="20"/>
    </row>
    <row r="253" spans="1:30">
      <c r="A253" s="20"/>
      <c r="B253" s="20"/>
      <c r="C253" s="20"/>
      <c r="D253" s="20"/>
      <c r="E253" s="20"/>
      <c r="F253" s="20"/>
      <c r="G253" s="20"/>
      <c r="H253" s="20"/>
      <c r="I253" s="20"/>
      <c r="J253" s="20"/>
      <c r="K253" s="20"/>
      <c r="L253" s="20"/>
      <c r="M253" s="20"/>
      <c r="N253" s="20"/>
      <c r="O253" s="20"/>
      <c r="P253" s="20"/>
      <c r="Q253" s="20"/>
      <c r="R253" s="20"/>
      <c r="S253" s="20"/>
    </row>
    <row r="254" spans="1:30">
      <c r="A254" s="20"/>
      <c r="B254" s="20"/>
      <c r="C254" s="20"/>
      <c r="D254" s="20"/>
      <c r="E254" s="20"/>
      <c r="F254" s="20"/>
      <c r="G254" s="20"/>
      <c r="H254" s="20"/>
      <c r="I254" s="20"/>
      <c r="J254" s="20"/>
      <c r="K254" s="20"/>
      <c r="L254" s="20"/>
      <c r="M254" s="20"/>
      <c r="N254" s="20"/>
      <c r="O254" s="20"/>
      <c r="P254" s="20"/>
      <c r="Q254" s="20"/>
      <c r="R254" s="20"/>
      <c r="S254" s="20"/>
    </row>
    <row r="255" spans="1:30">
      <c r="A255" s="20"/>
      <c r="B255" s="20"/>
      <c r="C255" s="20"/>
      <c r="D255" s="20"/>
      <c r="E255" s="20"/>
      <c r="F255" s="20"/>
      <c r="G255" s="20"/>
      <c r="H255" s="20"/>
      <c r="I255" s="20"/>
      <c r="J255" s="20"/>
      <c r="K255" s="20"/>
      <c r="L255" s="20"/>
      <c r="M255" s="20"/>
      <c r="N255" s="20"/>
      <c r="O255" s="20"/>
      <c r="P255" s="20"/>
      <c r="Q255" s="20"/>
      <c r="R255" s="20"/>
      <c r="S255" s="20"/>
    </row>
    <row r="256" spans="1:30">
      <c r="A256" s="20"/>
      <c r="B256" s="20"/>
      <c r="C256" s="20"/>
      <c r="D256" s="20"/>
      <c r="E256" s="20"/>
      <c r="F256" s="20"/>
      <c r="G256" s="20"/>
      <c r="H256" s="20"/>
      <c r="I256" s="20"/>
      <c r="J256" s="20"/>
      <c r="K256" s="20"/>
      <c r="L256" s="20"/>
      <c r="M256" s="20"/>
      <c r="N256" s="20"/>
      <c r="O256" s="20"/>
      <c r="P256" s="20"/>
      <c r="Q256" s="20"/>
      <c r="R256" s="20"/>
      <c r="S256" s="20"/>
    </row>
    <row r="257" spans="1:19">
      <c r="A257" s="20"/>
      <c r="B257" s="20"/>
      <c r="C257" s="20"/>
      <c r="D257" s="20"/>
      <c r="E257" s="20"/>
      <c r="F257" s="20"/>
      <c r="G257" s="20"/>
      <c r="H257" s="20"/>
      <c r="I257" s="20"/>
      <c r="J257" s="20"/>
      <c r="K257" s="20"/>
      <c r="L257" s="20"/>
      <c r="M257" s="20"/>
      <c r="N257" s="20"/>
      <c r="O257" s="20"/>
      <c r="P257" s="20"/>
      <c r="Q257" s="20"/>
      <c r="R257" s="20"/>
      <c r="S257" s="20"/>
    </row>
    <row r="258" spans="1:19">
      <c r="A258" s="20"/>
      <c r="B258" s="20"/>
      <c r="C258" s="20"/>
      <c r="D258" s="20"/>
      <c r="E258" s="20"/>
      <c r="F258" s="20"/>
      <c r="G258" s="20"/>
      <c r="H258" s="20"/>
      <c r="I258" s="20"/>
      <c r="J258" s="20"/>
      <c r="K258" s="20"/>
      <c r="L258" s="20"/>
      <c r="M258" s="20"/>
      <c r="N258" s="20"/>
      <c r="O258" s="20"/>
      <c r="P258" s="20"/>
      <c r="Q258" s="20"/>
      <c r="R258" s="20"/>
      <c r="S258" s="20"/>
    </row>
    <row r="259" spans="1:19">
      <c r="A259" s="20"/>
      <c r="B259" s="20"/>
      <c r="C259" s="20"/>
      <c r="D259" s="20"/>
      <c r="E259" s="20"/>
      <c r="F259" s="20"/>
      <c r="G259" s="20"/>
      <c r="H259" s="20"/>
      <c r="I259" s="20"/>
      <c r="J259" s="20"/>
      <c r="K259" s="20"/>
      <c r="L259" s="20"/>
      <c r="M259" s="20"/>
      <c r="N259" s="20"/>
      <c r="O259" s="20"/>
      <c r="P259" s="20"/>
      <c r="Q259" s="20"/>
      <c r="R259" s="20"/>
      <c r="S259" s="20"/>
    </row>
    <row r="260" spans="1:19">
      <c r="A260" s="20"/>
      <c r="B260" s="20"/>
      <c r="C260" s="20"/>
      <c r="D260" s="20"/>
      <c r="E260" s="20"/>
      <c r="F260" s="20"/>
      <c r="G260" s="20"/>
      <c r="H260" s="20"/>
      <c r="I260" s="20"/>
      <c r="J260" s="20"/>
      <c r="K260" s="20"/>
      <c r="L260" s="20"/>
      <c r="M260" s="20"/>
      <c r="N260" s="20"/>
      <c r="O260" s="20"/>
      <c r="P260" s="20"/>
      <c r="Q260" s="20"/>
      <c r="R260" s="20"/>
      <c r="S260" s="20"/>
    </row>
    <row r="261" spans="1:19">
      <c r="A261" s="20"/>
      <c r="B261" s="20"/>
      <c r="C261" s="20"/>
      <c r="D261" s="20"/>
      <c r="E261" s="20"/>
      <c r="F261" s="20"/>
      <c r="G261" s="20"/>
      <c r="H261" s="20"/>
      <c r="I261" s="20"/>
      <c r="J261" s="20"/>
      <c r="K261" s="20"/>
      <c r="L261" s="20"/>
      <c r="M261" s="20"/>
      <c r="N261" s="20"/>
      <c r="O261" s="20"/>
      <c r="P261" s="20"/>
      <c r="Q261" s="20"/>
      <c r="R261" s="20"/>
      <c r="S261" s="20"/>
    </row>
    <row r="262" spans="1:19">
      <c r="A262" s="20"/>
      <c r="B262" s="20"/>
      <c r="C262" s="20"/>
      <c r="D262" s="20"/>
      <c r="E262" s="20"/>
      <c r="F262" s="20"/>
      <c r="G262" s="20"/>
      <c r="H262" s="20"/>
      <c r="I262" s="20"/>
      <c r="J262" s="20"/>
      <c r="K262" s="20"/>
      <c r="L262" s="20"/>
      <c r="M262" s="20"/>
      <c r="N262" s="20"/>
      <c r="O262" s="20"/>
      <c r="P262" s="20"/>
      <c r="Q262" s="20"/>
      <c r="R262" s="20"/>
      <c r="S262" s="20"/>
    </row>
    <row r="263" spans="1:19">
      <c r="A263" s="20"/>
      <c r="B263" s="20"/>
      <c r="C263" s="20"/>
      <c r="D263" s="20"/>
      <c r="E263" s="20"/>
      <c r="F263" s="20"/>
      <c r="G263" s="20"/>
      <c r="H263" s="20"/>
      <c r="I263" s="20"/>
      <c r="J263" s="20"/>
      <c r="K263" s="20"/>
      <c r="L263" s="20"/>
      <c r="M263" s="20"/>
      <c r="N263" s="20"/>
      <c r="O263" s="20"/>
      <c r="P263" s="20"/>
      <c r="Q263" s="20"/>
      <c r="R263" s="20"/>
      <c r="S263" s="20"/>
    </row>
    <row r="264" spans="1:19">
      <c r="A264" s="20"/>
      <c r="B264" s="20"/>
      <c r="C264" s="20"/>
      <c r="D264" s="20"/>
      <c r="E264" s="20"/>
      <c r="F264" s="20"/>
      <c r="G264" s="20"/>
      <c r="H264" s="20"/>
      <c r="I264" s="20"/>
      <c r="J264" s="20"/>
      <c r="K264" s="20"/>
      <c r="L264" s="20"/>
      <c r="M264" s="20"/>
      <c r="N264" s="20"/>
      <c r="O264" s="20"/>
      <c r="P264" s="20"/>
      <c r="Q264" s="20"/>
      <c r="R264" s="20"/>
      <c r="S264" s="20"/>
    </row>
    <row r="265" spans="1:19">
      <c r="A265" s="20"/>
      <c r="B265" s="20"/>
      <c r="C265" s="20"/>
      <c r="D265" s="20"/>
      <c r="E265" s="20"/>
      <c r="F265" s="20"/>
      <c r="G265" s="20"/>
      <c r="H265" s="20"/>
      <c r="I265" s="20"/>
      <c r="J265" s="20"/>
      <c r="K265" s="20"/>
      <c r="L265" s="20"/>
      <c r="M265" s="20"/>
      <c r="N265" s="20"/>
      <c r="O265" s="20"/>
      <c r="P265" s="20"/>
      <c r="Q265" s="20"/>
      <c r="R265" s="20"/>
      <c r="S265" s="20"/>
    </row>
    <row r="266" spans="1:19">
      <c r="A266" s="20"/>
      <c r="B266" s="20"/>
      <c r="C266" s="20"/>
      <c r="D266" s="20"/>
      <c r="E266" s="20"/>
      <c r="F266" s="20"/>
      <c r="G266" s="20"/>
      <c r="H266" s="20"/>
      <c r="I266" s="20"/>
      <c r="J266" s="20"/>
      <c r="K266" s="20"/>
      <c r="L266" s="20"/>
      <c r="M266" s="20"/>
      <c r="N266" s="20"/>
      <c r="O266" s="20"/>
      <c r="P266" s="20"/>
      <c r="Q266" s="20"/>
      <c r="R266" s="20"/>
      <c r="S266" s="20"/>
    </row>
    <row r="267" spans="1:19">
      <c r="A267" s="20"/>
      <c r="B267" s="20"/>
      <c r="C267" s="20"/>
      <c r="D267" s="20"/>
      <c r="E267" s="20"/>
      <c r="F267" s="20"/>
      <c r="G267" s="20"/>
      <c r="H267" s="20"/>
      <c r="I267" s="20"/>
      <c r="J267" s="20"/>
      <c r="K267" s="20"/>
      <c r="L267" s="20"/>
      <c r="M267" s="20"/>
      <c r="N267" s="20"/>
      <c r="O267" s="20"/>
      <c r="P267" s="20"/>
      <c r="Q267" s="20"/>
      <c r="R267" s="20"/>
      <c r="S267" s="20"/>
    </row>
    <row r="268" spans="1:19">
      <c r="A268" s="20"/>
      <c r="B268" s="20"/>
      <c r="C268" s="20"/>
      <c r="D268" s="20"/>
      <c r="E268" s="20"/>
      <c r="F268" s="20"/>
      <c r="G268" s="20"/>
      <c r="H268" s="20"/>
      <c r="I268" s="20"/>
      <c r="J268" s="20"/>
      <c r="K268" s="20"/>
      <c r="L268" s="20"/>
      <c r="M268" s="20"/>
      <c r="N268" s="20"/>
      <c r="O268" s="20"/>
      <c r="P268" s="20"/>
      <c r="Q268" s="20"/>
      <c r="R268" s="20"/>
      <c r="S268" s="20"/>
    </row>
    <row r="269" spans="1:19">
      <c r="A269" s="20"/>
      <c r="B269" s="20"/>
      <c r="C269" s="20"/>
      <c r="D269" s="20"/>
      <c r="E269" s="20"/>
      <c r="F269" s="20"/>
      <c r="G269" s="20"/>
      <c r="H269" s="20"/>
      <c r="I269" s="20"/>
      <c r="J269" s="20"/>
      <c r="K269" s="20"/>
      <c r="L269" s="20"/>
      <c r="M269" s="20"/>
      <c r="N269" s="20"/>
      <c r="O269" s="20"/>
      <c r="P269" s="20"/>
      <c r="Q269" s="20"/>
      <c r="R269" s="20"/>
      <c r="S269" s="20"/>
    </row>
    <row r="270" spans="1:19">
      <c r="A270" s="20"/>
      <c r="B270" s="20"/>
      <c r="C270" s="20"/>
      <c r="D270" s="20"/>
      <c r="E270" s="20"/>
      <c r="F270" s="20"/>
      <c r="G270" s="20"/>
      <c r="H270" s="20"/>
      <c r="I270" s="20"/>
      <c r="J270" s="20"/>
      <c r="K270" s="20"/>
      <c r="L270" s="20"/>
      <c r="M270" s="20"/>
      <c r="N270" s="20"/>
      <c r="O270" s="20"/>
      <c r="P270" s="20"/>
      <c r="Q270" s="20"/>
      <c r="R270" s="20"/>
      <c r="S270" s="20"/>
    </row>
    <row r="271" spans="1:19">
      <c r="A271" s="20"/>
      <c r="B271" s="20"/>
      <c r="C271" s="20"/>
      <c r="D271" s="20"/>
      <c r="E271" s="20"/>
      <c r="F271" s="20"/>
      <c r="G271" s="20"/>
      <c r="H271" s="20"/>
      <c r="I271" s="20"/>
      <c r="J271" s="20"/>
      <c r="K271" s="20"/>
      <c r="L271" s="20"/>
      <c r="M271" s="20"/>
      <c r="N271" s="20"/>
      <c r="O271" s="20"/>
      <c r="P271" s="20"/>
      <c r="Q271" s="20"/>
      <c r="R271" s="20"/>
      <c r="S271" s="20"/>
    </row>
    <row r="272" spans="1:19">
      <c r="A272" s="20"/>
      <c r="B272" s="20"/>
      <c r="C272" s="20"/>
      <c r="D272" s="20"/>
      <c r="E272" s="20"/>
      <c r="F272" s="20"/>
      <c r="G272" s="20"/>
      <c r="H272" s="20"/>
      <c r="I272" s="20"/>
      <c r="J272" s="20"/>
      <c r="K272" s="20"/>
      <c r="L272" s="20"/>
      <c r="M272" s="20"/>
      <c r="N272" s="20"/>
      <c r="O272" s="20"/>
      <c r="P272" s="20"/>
      <c r="Q272" s="20"/>
      <c r="R272" s="20"/>
      <c r="S272" s="20"/>
    </row>
    <row r="273" spans="1:19">
      <c r="A273" s="20"/>
      <c r="B273" s="20"/>
      <c r="C273" s="20"/>
      <c r="D273" s="20"/>
      <c r="E273" s="20"/>
      <c r="F273" s="20"/>
      <c r="G273" s="20"/>
      <c r="H273" s="20"/>
      <c r="I273" s="20"/>
      <c r="J273" s="20"/>
      <c r="K273" s="20"/>
      <c r="L273" s="20"/>
      <c r="M273" s="20"/>
      <c r="N273" s="20"/>
      <c r="O273" s="20"/>
      <c r="P273" s="20"/>
      <c r="Q273" s="20"/>
      <c r="R273" s="20"/>
      <c r="S273" s="20"/>
    </row>
    <row r="274" spans="1:19">
      <c r="A274" s="20"/>
      <c r="B274" s="20"/>
      <c r="C274" s="20"/>
      <c r="D274" s="20"/>
      <c r="E274" s="20"/>
      <c r="F274" s="20"/>
      <c r="G274" s="20"/>
      <c r="H274" s="20"/>
      <c r="I274" s="20"/>
      <c r="J274" s="20"/>
      <c r="K274" s="20"/>
      <c r="L274" s="20"/>
      <c r="M274" s="20"/>
      <c r="N274" s="20"/>
      <c r="O274" s="20"/>
      <c r="P274" s="20"/>
      <c r="Q274" s="20"/>
      <c r="R274" s="20"/>
      <c r="S274" s="20"/>
    </row>
    <row r="275" spans="1:19">
      <c r="A275" s="20"/>
      <c r="B275" s="20"/>
      <c r="C275" s="20"/>
      <c r="D275" s="20"/>
      <c r="E275" s="20"/>
      <c r="F275" s="20"/>
      <c r="G275" s="20"/>
      <c r="H275" s="20"/>
      <c r="I275" s="20"/>
      <c r="J275" s="20"/>
      <c r="K275" s="20"/>
      <c r="L275" s="20"/>
      <c r="M275" s="20"/>
      <c r="N275" s="20"/>
      <c r="O275" s="20"/>
      <c r="P275" s="20"/>
      <c r="Q275" s="20"/>
      <c r="R275" s="20"/>
      <c r="S275" s="20"/>
    </row>
    <row r="276" spans="1:19">
      <c r="A276" s="20"/>
      <c r="B276" s="20"/>
      <c r="C276" s="20"/>
      <c r="D276" s="20"/>
      <c r="E276" s="20"/>
      <c r="F276" s="20"/>
      <c r="G276" s="20"/>
      <c r="H276" s="20"/>
      <c r="I276" s="20"/>
      <c r="J276" s="20"/>
      <c r="K276" s="20"/>
      <c r="L276" s="20"/>
      <c r="M276" s="20"/>
      <c r="N276" s="20"/>
      <c r="O276" s="20"/>
      <c r="P276" s="20"/>
      <c r="Q276" s="20"/>
      <c r="R276" s="20"/>
      <c r="S276" s="20"/>
    </row>
  </sheetData>
  <sheetProtection algorithmName="SHA-512" hashValue="Z8Vwr6dEB34A+jBje+chAB5omCcN8L9ob5nWqcPHmljGi7F/QkqWrzc3ki13gy6Smgg08ZMQC864p+fBYzjrZA==" saltValue="VveRuaZokHBjOcM/aF+V1A==" spinCount="100000" sheet="1" selectLockedCells="1"/>
  <mergeCells count="48">
    <mergeCell ref="O97:P97"/>
    <mergeCell ref="A4:S4"/>
    <mergeCell ref="D7:F7"/>
    <mergeCell ref="P7:R7"/>
    <mergeCell ref="D9:F9"/>
    <mergeCell ref="O14:P14"/>
    <mergeCell ref="O18:P18"/>
    <mergeCell ref="B12:C12"/>
    <mergeCell ref="P12:R12"/>
    <mergeCell ref="F39:G39"/>
    <mergeCell ref="O94:P94"/>
    <mergeCell ref="O25:P25"/>
    <mergeCell ref="D14:I14"/>
    <mergeCell ref="O76:P76"/>
    <mergeCell ref="K14:M14"/>
    <mergeCell ref="O79:P79"/>
    <mergeCell ref="U30:V30"/>
    <mergeCell ref="O39:P39"/>
    <mergeCell ref="U31:V31"/>
    <mergeCell ref="O29:P29"/>
    <mergeCell ref="U27:V27"/>
    <mergeCell ref="U28:V28"/>
    <mergeCell ref="O27:P27"/>
    <mergeCell ref="U29:V29"/>
    <mergeCell ref="U32:V32"/>
    <mergeCell ref="U33:V33"/>
    <mergeCell ref="U34:V34"/>
    <mergeCell ref="O33:P33"/>
    <mergeCell ref="U35:V35"/>
    <mergeCell ref="U36:V36"/>
    <mergeCell ref="U37:V37"/>
    <mergeCell ref="O37:P37"/>
    <mergeCell ref="U38:V38"/>
    <mergeCell ref="O65:P65"/>
    <mergeCell ref="O41:P41"/>
    <mergeCell ref="O43:P43"/>
    <mergeCell ref="O45:P45"/>
    <mergeCell ref="O47:P47"/>
    <mergeCell ref="O59:P59"/>
    <mergeCell ref="O31:P31"/>
    <mergeCell ref="O87:P87"/>
    <mergeCell ref="G80:H80"/>
    <mergeCell ref="O72:P72"/>
    <mergeCell ref="O74:P74"/>
    <mergeCell ref="G61:H61"/>
    <mergeCell ref="O67:P67"/>
    <mergeCell ref="O61:P61"/>
    <mergeCell ref="O63:P63"/>
  </mergeCells>
  <phoneticPr fontId="2" type="noConversion"/>
  <conditionalFormatting sqref="B11">
    <cfRule type="expression" dxfId="32" priority="8" stopIfTrue="1">
      <formula>$B$11</formula>
    </cfRule>
  </conditionalFormatting>
  <conditionalFormatting sqref="D11">
    <cfRule type="expression" dxfId="31" priority="9" stopIfTrue="1">
      <formula>$D$11</formula>
    </cfRule>
  </conditionalFormatting>
  <conditionalFormatting sqref="F11">
    <cfRule type="expression" dxfId="30" priority="10" stopIfTrue="1">
      <formula>$F$11</formula>
    </cfRule>
  </conditionalFormatting>
  <conditionalFormatting sqref="H11">
    <cfRule type="expression" dxfId="29" priority="11" stopIfTrue="1">
      <formula>$H$11</formula>
    </cfRule>
  </conditionalFormatting>
  <conditionalFormatting sqref="J35 N35 R35 H39 J53 L53 N53 P53 R53 I61 I72 I80 O89 O91">
    <cfRule type="cellIs" dxfId="28" priority="7" stopIfTrue="1" operator="equal">
      <formula>0</formula>
    </cfRule>
  </conditionalFormatting>
  <conditionalFormatting sqref="J50">
    <cfRule type="expression" dxfId="27" priority="22" stopIfTrue="1">
      <formula>$J$50</formula>
    </cfRule>
  </conditionalFormatting>
  <conditionalFormatting sqref="L11">
    <cfRule type="expression" dxfId="26" priority="12" stopIfTrue="1">
      <formula>$L$11</formula>
    </cfRule>
  </conditionalFormatting>
  <conditionalFormatting sqref="L50">
    <cfRule type="expression" dxfId="25" priority="23" stopIfTrue="1">
      <formula>$L$50</formula>
    </cfRule>
  </conditionalFormatting>
  <conditionalFormatting sqref="N11">
    <cfRule type="expression" dxfId="24" priority="13" stopIfTrue="1">
      <formula>$N$11</formula>
    </cfRule>
  </conditionalFormatting>
  <conditionalFormatting sqref="N50">
    <cfRule type="expression" dxfId="23" priority="24" stopIfTrue="1">
      <formula>$N$50</formula>
    </cfRule>
  </conditionalFormatting>
  <conditionalFormatting sqref="O94">
    <cfRule type="cellIs" dxfId="22" priority="4" stopIfTrue="1" operator="equal">
      <formula>0</formula>
    </cfRule>
  </conditionalFormatting>
  <conditionalFormatting sqref="O97">
    <cfRule type="cellIs" dxfId="21" priority="3" stopIfTrue="1" operator="equal">
      <formula>0</formula>
    </cfRule>
  </conditionalFormatting>
  <conditionalFormatting sqref="O18:P18">
    <cfRule type="expression" dxfId="20" priority="16" stopIfTrue="1">
      <formula>$O$18</formula>
    </cfRule>
  </conditionalFormatting>
  <conditionalFormatting sqref="O27:P27">
    <cfRule type="expression" dxfId="19" priority="17" stopIfTrue="1">
      <formula>$O$27</formula>
    </cfRule>
  </conditionalFormatting>
  <conditionalFormatting sqref="O29:P29">
    <cfRule type="expression" dxfId="18" priority="18" stopIfTrue="1">
      <formula>$O$29</formula>
    </cfRule>
  </conditionalFormatting>
  <conditionalFormatting sqref="O31:P31">
    <cfRule type="expression" dxfId="17" priority="19" stopIfTrue="1">
      <formula>$O$31</formula>
    </cfRule>
  </conditionalFormatting>
  <conditionalFormatting sqref="O33:P33">
    <cfRule type="expression" dxfId="16" priority="20" stopIfTrue="1">
      <formula>$O$33</formula>
    </cfRule>
  </conditionalFormatting>
  <conditionalFormatting sqref="O47:P47">
    <cfRule type="expression" dxfId="15" priority="21" stopIfTrue="1">
      <formula>$O$47</formula>
    </cfRule>
  </conditionalFormatting>
  <conditionalFormatting sqref="O61:P61">
    <cfRule type="expression" dxfId="14" priority="27" stopIfTrue="1">
      <formula>$O$61</formula>
    </cfRule>
  </conditionalFormatting>
  <conditionalFormatting sqref="O72:P72">
    <cfRule type="expression" dxfId="13" priority="28" stopIfTrue="1">
      <formula>$O$72</formula>
    </cfRule>
  </conditionalFormatting>
  <conditionalFormatting sqref="O87:P87">
    <cfRule type="expression" dxfId="12" priority="29" stopIfTrue="1">
      <formula>$O$87</formula>
    </cfRule>
  </conditionalFormatting>
  <conditionalFormatting sqref="P11">
    <cfRule type="expression" dxfId="11" priority="14" stopIfTrue="1">
      <formula>$P$11</formula>
    </cfRule>
  </conditionalFormatting>
  <conditionalFormatting sqref="P50">
    <cfRule type="expression" dxfId="10" priority="25" stopIfTrue="1">
      <formula>$P$50</formula>
    </cfRule>
  </conditionalFormatting>
  <conditionalFormatting sqref="R11">
    <cfRule type="expression" dxfId="9" priority="15" stopIfTrue="1">
      <formula>$R$11</formula>
    </cfRule>
  </conditionalFormatting>
  <conditionalFormatting sqref="R14">
    <cfRule type="cellIs" dxfId="8" priority="5" stopIfTrue="1" operator="equal">
      <formula>0</formula>
    </cfRule>
  </conditionalFormatting>
  <conditionalFormatting sqref="R50">
    <cfRule type="expression" dxfId="7" priority="26" stopIfTrue="1">
      <formula>$R$50</formula>
    </cfRule>
  </conditionalFormatting>
  <conditionalFormatting sqref="U27:V38">
    <cfRule type="cellIs" dxfId="6" priority="6" stopIfTrue="1" operator="equal">
      <formula>0</formula>
    </cfRule>
  </conditionalFormatting>
  <conditionalFormatting sqref="A1:AD39 A40:T47 W40:AD47 A89:AD276 A62:T88 W62:AD88 A48:AD61">
    <cfRule type="expression" dxfId="5" priority="2" stopIfTrue="1">
      <formula>AND(A1&lt;&gt;"",OR(A1=0,A1="0"))</formula>
    </cfRule>
  </conditionalFormatting>
  <hyperlinks>
    <hyperlink ref="T97" location="'Guía de trabajo'!A38" display="'Guía de trabajo'!A38" xr:uid="{00000000-0004-0000-0C00-000000000000}"/>
  </hyperlinks>
  <pageMargins left="0.74803149606299213" right="0.3" top="1.1023622047244095" bottom="0.48" header="0.59055118110236227" footer="0"/>
  <pageSetup paperSize="9" scale="95" orientation="portrait" blackAndWhite="1" horizontalDpi="4294967294" verticalDpi="4294967294" r:id="rId1"/>
  <headerFooter alignWithMargins="0">
    <oddHeader xml:space="preserve">&amp;LPREFECTURA NAVAL ARGENTINA
</oddHeader>
  </headerFooter>
  <drawing r:id="rId2"/>
  <legacy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Hoja9">
    <pageSetUpPr fitToPage="1"/>
  </sheetPr>
  <dimension ref="A1:AD160"/>
  <sheetViews>
    <sheetView zoomScale="130" zoomScaleNormal="130" workbookViewId="0">
      <selection activeCell="G22" sqref="G22:L22"/>
    </sheetView>
  </sheetViews>
  <sheetFormatPr baseColWidth="10" defaultRowHeight="13.2"/>
  <cols>
    <col min="1" max="2" width="5.6640625" customWidth="1"/>
    <col min="3" max="3" width="7.5546875" customWidth="1"/>
    <col min="4" max="4" width="5.109375" customWidth="1"/>
    <col min="5" max="6" width="5.6640625" customWidth="1"/>
    <col min="7" max="7" width="3.44140625" customWidth="1"/>
    <col min="8" max="8" width="4.5546875" customWidth="1"/>
    <col min="9" max="9" width="10.44140625" customWidth="1"/>
    <col min="10" max="10" width="5.5546875" customWidth="1"/>
    <col min="11" max="11" width="1.109375" customWidth="1"/>
    <col min="12" max="12" width="7.88671875" customWidth="1"/>
    <col min="13" max="13" width="5.6640625" customWidth="1"/>
    <col min="14" max="14" width="6" customWidth="1"/>
    <col min="15" max="15" width="1" customWidth="1"/>
    <col min="16" max="17" width="5.6640625" customWidth="1"/>
    <col min="18" max="18" width="6.6640625" customWidth="1"/>
    <col min="19" max="19" width="6.44140625" customWidth="1"/>
    <col min="20" max="21" width="7.33203125" customWidth="1"/>
    <col min="22" max="39" width="6.6640625" customWidth="1"/>
  </cols>
  <sheetData>
    <row r="1" spans="1:30" ht="13.8" thickBot="1">
      <c r="A1" s="3"/>
      <c r="B1" s="3"/>
      <c r="C1" s="3"/>
      <c r="D1" s="3"/>
      <c r="E1" s="3"/>
      <c r="F1" s="3"/>
      <c r="G1" s="3"/>
      <c r="H1" s="3"/>
      <c r="I1" s="3"/>
      <c r="J1" s="3"/>
      <c r="K1" s="3"/>
      <c r="L1" s="3"/>
      <c r="M1" s="3"/>
      <c r="N1" s="3"/>
      <c r="O1" s="3"/>
      <c r="P1" s="3"/>
      <c r="Q1" s="3"/>
      <c r="R1" s="20"/>
      <c r="S1" s="20"/>
      <c r="T1" s="20"/>
      <c r="U1" s="20"/>
      <c r="V1" s="20"/>
      <c r="W1" s="20"/>
      <c r="X1" s="20"/>
      <c r="Y1" s="20"/>
      <c r="Z1" s="20"/>
      <c r="AA1" s="20"/>
      <c r="AB1" s="20"/>
      <c r="AC1" s="20"/>
      <c r="AD1" s="20"/>
    </row>
    <row r="2" spans="1:30" ht="13.8" thickTop="1">
      <c r="A2" s="192"/>
      <c r="B2" s="191"/>
      <c r="C2" s="191"/>
      <c r="D2" s="191"/>
      <c r="E2" s="191"/>
      <c r="F2" s="191"/>
      <c r="G2" s="191"/>
      <c r="H2" s="191"/>
      <c r="I2" s="191"/>
      <c r="J2" s="191"/>
      <c r="K2" s="191"/>
      <c r="L2" s="191"/>
      <c r="M2" s="191"/>
      <c r="N2" s="191"/>
      <c r="O2" s="191"/>
      <c r="P2" s="191"/>
      <c r="Q2" s="200"/>
      <c r="R2" s="20"/>
      <c r="S2" s="20"/>
      <c r="T2" s="20"/>
      <c r="U2" s="20"/>
      <c r="V2" s="20"/>
      <c r="W2" s="20"/>
      <c r="X2" s="20"/>
      <c r="Y2" s="20"/>
      <c r="Z2" s="20"/>
      <c r="AA2" s="20"/>
      <c r="AB2" s="20"/>
      <c r="AC2" s="20"/>
      <c r="AD2" s="20"/>
    </row>
    <row r="3" spans="1:30">
      <c r="A3" s="193"/>
      <c r="B3" s="168"/>
      <c r="C3" s="168"/>
      <c r="D3" s="374" t="s">
        <v>514</v>
      </c>
      <c r="E3" s="375"/>
      <c r="F3" s="375"/>
      <c r="G3" s="375"/>
      <c r="H3" s="375"/>
      <c r="I3" s="375"/>
      <c r="J3" s="375"/>
      <c r="K3" s="375"/>
      <c r="L3" s="375"/>
      <c r="M3" s="375"/>
      <c r="N3" s="168"/>
      <c r="O3" s="168"/>
      <c r="P3" s="168"/>
      <c r="Q3" s="201"/>
      <c r="R3" s="20"/>
      <c r="S3" s="20"/>
      <c r="T3" s="20"/>
      <c r="U3" s="20"/>
      <c r="V3" s="20"/>
      <c r="W3" s="20"/>
      <c r="X3" s="20"/>
      <c r="Y3" s="20"/>
      <c r="Z3" s="20"/>
      <c r="AA3" s="20"/>
      <c r="AB3" s="20"/>
      <c r="AC3" s="20"/>
      <c r="AD3" s="20"/>
    </row>
    <row r="4" spans="1:30">
      <c r="A4" s="194"/>
      <c r="B4" s="168"/>
      <c r="C4" s="168"/>
      <c r="D4" s="375"/>
      <c r="E4" s="375"/>
      <c r="F4" s="375"/>
      <c r="G4" s="375"/>
      <c r="H4" s="375"/>
      <c r="I4" s="375"/>
      <c r="J4" s="375"/>
      <c r="K4" s="375"/>
      <c r="L4" s="375"/>
      <c r="M4" s="375"/>
      <c r="N4" s="168"/>
      <c r="O4" s="168"/>
      <c r="P4" s="168"/>
      <c r="Q4" s="201"/>
      <c r="R4" s="20"/>
      <c r="S4" s="20"/>
      <c r="T4" s="20"/>
      <c r="U4" s="20"/>
      <c r="V4" s="20"/>
      <c r="W4" s="20"/>
      <c r="X4" s="20"/>
      <c r="Y4" s="20"/>
      <c r="Z4" s="20"/>
      <c r="AA4" s="20"/>
      <c r="AB4" s="20"/>
      <c r="AC4" s="20"/>
      <c r="AD4" s="20"/>
    </row>
    <row r="5" spans="1:30">
      <c r="A5" s="193"/>
      <c r="B5" s="168"/>
      <c r="C5" s="168"/>
      <c r="D5" s="168"/>
      <c r="E5" s="168"/>
      <c r="F5" s="168"/>
      <c r="G5" s="168"/>
      <c r="H5" s="168"/>
      <c r="I5" s="168"/>
      <c r="J5" s="168"/>
      <c r="K5" s="168"/>
      <c r="L5" s="168"/>
      <c r="M5" s="168"/>
      <c r="N5" s="168"/>
      <c r="O5" s="168"/>
      <c r="P5" s="168"/>
      <c r="Q5" s="201"/>
      <c r="R5" s="20"/>
      <c r="S5" s="20"/>
      <c r="T5" s="20"/>
      <c r="U5" s="20"/>
      <c r="V5" s="20"/>
      <c r="W5" s="20"/>
      <c r="X5" s="20"/>
      <c r="Y5" s="20"/>
      <c r="Z5" s="20"/>
      <c r="AA5" s="20"/>
      <c r="AB5" s="20"/>
      <c r="AC5" s="20"/>
      <c r="AD5" s="20"/>
    </row>
    <row r="6" spans="1:30">
      <c r="A6" s="193"/>
      <c r="B6" s="168"/>
      <c r="C6" s="168"/>
      <c r="D6" s="168"/>
      <c r="E6" s="168"/>
      <c r="F6" s="168"/>
      <c r="G6" s="168"/>
      <c r="H6" s="168"/>
      <c r="I6" s="168"/>
      <c r="J6" s="168"/>
      <c r="K6" s="168"/>
      <c r="L6" s="168"/>
      <c r="M6" s="168"/>
      <c r="N6" s="168"/>
      <c r="O6" s="168"/>
      <c r="P6" s="168"/>
      <c r="Q6" s="201"/>
      <c r="R6" s="20"/>
      <c r="S6" s="20"/>
      <c r="T6" s="20"/>
      <c r="U6" s="20"/>
      <c r="V6" s="20"/>
      <c r="W6" s="20"/>
      <c r="X6" s="20"/>
      <c r="Y6" s="20"/>
      <c r="Z6" s="20"/>
      <c r="AA6" s="20"/>
      <c r="AB6" s="20"/>
      <c r="AC6" s="20"/>
      <c r="AD6" s="20"/>
    </row>
    <row r="7" spans="1:30">
      <c r="A7" s="213" t="s">
        <v>0</v>
      </c>
      <c r="B7" s="206"/>
      <c r="C7" s="206"/>
      <c r="D7" s="310">
        <f>Datum!D7</f>
        <v>0</v>
      </c>
      <c r="E7" s="310"/>
      <c r="F7" s="310"/>
      <c r="G7" s="206"/>
      <c r="H7" s="206" t="s">
        <v>1</v>
      </c>
      <c r="I7" s="206"/>
      <c r="J7" s="386">
        <f>Datum!J7</f>
        <v>0</v>
      </c>
      <c r="K7" s="386"/>
      <c r="L7" s="206"/>
      <c r="M7" s="206" t="s">
        <v>2</v>
      </c>
      <c r="N7" s="433">
        <f>Datum!N7</f>
        <v>0</v>
      </c>
      <c r="O7" s="433"/>
      <c r="P7" s="434"/>
      <c r="Q7" s="201"/>
      <c r="R7" s="20"/>
      <c r="S7" s="20"/>
      <c r="T7" s="20"/>
      <c r="U7" s="20"/>
      <c r="V7" s="20"/>
      <c r="W7" s="20"/>
      <c r="X7" s="20"/>
      <c r="Y7" s="20"/>
      <c r="Z7" s="20"/>
      <c r="AA7" s="20"/>
      <c r="AB7" s="20"/>
      <c r="AC7" s="20"/>
      <c r="AD7" s="20"/>
    </row>
    <row r="8" spans="1:30">
      <c r="A8" s="193"/>
      <c r="B8" s="168"/>
      <c r="C8" s="168"/>
      <c r="D8" s="168"/>
      <c r="E8" s="168"/>
      <c r="F8" s="168"/>
      <c r="G8" s="168"/>
      <c r="H8" s="168"/>
      <c r="I8" s="168"/>
      <c r="J8" s="168"/>
      <c r="K8" s="168"/>
      <c r="L8" s="168"/>
      <c r="M8" s="168"/>
      <c r="N8" s="168"/>
      <c r="O8" s="168"/>
      <c r="P8" s="168"/>
      <c r="Q8" s="201"/>
      <c r="R8" s="20"/>
      <c r="S8" s="20"/>
      <c r="T8" s="20"/>
      <c r="U8" s="20"/>
      <c r="V8" s="20"/>
      <c r="W8" s="20"/>
      <c r="X8" s="20"/>
      <c r="Y8" s="20"/>
      <c r="Z8" s="20"/>
      <c r="AA8" s="20"/>
      <c r="AB8" s="20"/>
      <c r="AC8" s="20"/>
      <c r="AD8" s="20"/>
    </row>
    <row r="9" spans="1:30">
      <c r="A9" s="213" t="s">
        <v>3</v>
      </c>
      <c r="B9" s="206"/>
      <c r="C9" s="206"/>
      <c r="D9" s="310">
        <f>Datum!D9</f>
        <v>0</v>
      </c>
      <c r="E9" s="310"/>
      <c r="F9" s="310"/>
      <c r="G9" s="206"/>
      <c r="H9" s="206" t="s">
        <v>4</v>
      </c>
      <c r="I9" s="206"/>
      <c r="J9" s="386">
        <f>Datum!J9</f>
        <v>0</v>
      </c>
      <c r="K9" s="386"/>
      <c r="L9" s="206" t="s">
        <v>302</v>
      </c>
      <c r="M9" s="168"/>
      <c r="N9" s="206"/>
      <c r="O9" s="206"/>
      <c r="P9" s="1">
        <f>Datum!P9</f>
        <v>0</v>
      </c>
      <c r="Q9" s="201"/>
      <c r="R9" s="20"/>
      <c r="S9" s="20"/>
      <c r="T9" s="20"/>
      <c r="U9" s="20"/>
      <c r="V9" s="20"/>
      <c r="W9" s="20"/>
      <c r="X9" s="20"/>
      <c r="Y9" s="20"/>
      <c r="Z9" s="20"/>
      <c r="AA9" s="20"/>
      <c r="AB9" s="20"/>
      <c r="AC9" s="20"/>
      <c r="AD9" s="20"/>
    </row>
    <row r="10" spans="1:30">
      <c r="A10" s="193"/>
      <c r="B10" s="168"/>
      <c r="C10" s="168"/>
      <c r="D10" s="168"/>
      <c r="E10" s="168"/>
      <c r="F10" s="168"/>
      <c r="G10" s="168"/>
      <c r="H10" s="168"/>
      <c r="I10" s="168"/>
      <c r="J10" s="168"/>
      <c r="K10" s="168"/>
      <c r="L10" s="168"/>
      <c r="M10" s="168"/>
      <c r="N10" s="168"/>
      <c r="O10" s="168"/>
      <c r="P10" s="168"/>
      <c r="Q10" s="201"/>
      <c r="R10" s="20"/>
      <c r="S10" s="20"/>
      <c r="T10" s="20"/>
      <c r="U10" s="20"/>
      <c r="V10" s="20"/>
      <c r="W10" s="20"/>
      <c r="X10" s="20"/>
      <c r="Y10" s="20"/>
      <c r="Z10" s="20"/>
      <c r="AA10" s="20"/>
      <c r="AB10" s="20"/>
      <c r="AC10" s="20"/>
      <c r="AD10" s="20"/>
    </row>
    <row r="11" spans="1:30">
      <c r="A11" s="236" t="s">
        <v>6</v>
      </c>
      <c r="B11" s="172"/>
      <c r="C11" s="172"/>
      <c r="D11" s="432">
        <f>Datum!D11</f>
        <v>0</v>
      </c>
      <c r="E11" s="432"/>
      <c r="F11" s="432"/>
      <c r="G11" s="432"/>
      <c r="H11" s="432"/>
      <c r="I11" s="432"/>
      <c r="J11" s="168"/>
      <c r="K11" s="168"/>
      <c r="L11" s="168"/>
      <c r="M11" s="168"/>
      <c r="N11" s="168"/>
      <c r="O11" s="168"/>
      <c r="P11" s="168"/>
      <c r="Q11" s="201"/>
      <c r="R11" s="20"/>
      <c r="S11" s="20"/>
      <c r="T11" s="20"/>
      <c r="U11" s="20"/>
      <c r="V11" s="20"/>
      <c r="W11" s="20"/>
      <c r="X11" s="20"/>
      <c r="Y11" s="20"/>
      <c r="Z11" s="20"/>
      <c r="AA11" s="20"/>
      <c r="AB11" s="20"/>
      <c r="AC11" s="20"/>
      <c r="AD11" s="20"/>
    </row>
    <row r="12" spans="1:30">
      <c r="A12" s="193"/>
      <c r="B12" s="168"/>
      <c r="C12" s="168"/>
      <c r="D12" s="168"/>
      <c r="E12" s="168"/>
      <c r="F12" s="168"/>
      <c r="G12" s="168"/>
      <c r="H12" s="168"/>
      <c r="I12" s="168"/>
      <c r="J12" s="168"/>
      <c r="K12" s="168"/>
      <c r="L12" s="168"/>
      <c r="M12" s="168"/>
      <c r="N12" s="168"/>
      <c r="O12" s="168"/>
      <c r="P12" s="168"/>
      <c r="Q12" s="201"/>
      <c r="R12" s="20"/>
      <c r="S12" s="20"/>
      <c r="T12" s="20"/>
      <c r="U12" s="20"/>
      <c r="V12" s="20"/>
      <c r="W12" s="20"/>
      <c r="X12" s="20"/>
      <c r="Y12" s="20"/>
      <c r="Z12" s="20"/>
      <c r="AA12" s="20"/>
      <c r="AB12" s="20"/>
      <c r="AC12" s="20"/>
      <c r="AD12" s="20"/>
    </row>
    <row r="13" spans="1:30" ht="13.8" thickBot="1">
      <c r="A13" s="194"/>
      <c r="B13" s="169"/>
      <c r="C13" s="169"/>
      <c r="D13" s="169"/>
      <c r="E13" s="169"/>
      <c r="F13" s="169"/>
      <c r="G13" s="169"/>
      <c r="H13" s="169"/>
      <c r="I13" s="168"/>
      <c r="J13" s="168"/>
      <c r="K13" s="168"/>
      <c r="L13" s="168"/>
      <c r="M13" s="168"/>
      <c r="N13" s="168"/>
      <c r="O13" s="168"/>
      <c r="P13" s="168"/>
      <c r="Q13" s="201"/>
      <c r="R13" s="20"/>
      <c r="S13" s="20"/>
      <c r="T13" s="20"/>
      <c r="U13" s="20"/>
      <c r="V13" s="20"/>
      <c r="W13" s="20"/>
      <c r="X13" s="20"/>
      <c r="Y13" s="20"/>
      <c r="Z13" s="20"/>
      <c r="AA13" s="20"/>
      <c r="AB13" s="20"/>
      <c r="AC13" s="20"/>
      <c r="AD13" s="20"/>
    </row>
    <row r="14" spans="1:30" ht="14.4" thickBot="1">
      <c r="A14" s="193"/>
      <c r="B14" s="168"/>
      <c r="C14" s="186"/>
      <c r="D14" s="187"/>
      <c r="E14" s="187"/>
      <c r="F14" s="258" t="s">
        <v>521</v>
      </c>
      <c r="G14" s="187"/>
      <c r="H14" s="188"/>
      <c r="I14" s="168"/>
      <c r="J14" s="168"/>
      <c r="K14" s="168"/>
      <c r="L14" s="168"/>
      <c r="M14" s="168"/>
      <c r="N14" s="168"/>
      <c r="O14" s="168"/>
      <c r="P14" s="168"/>
      <c r="Q14" s="201"/>
      <c r="R14" s="20"/>
      <c r="S14" s="20"/>
      <c r="T14" s="20"/>
      <c r="U14" s="20"/>
      <c r="V14" s="20"/>
      <c r="W14" s="20"/>
      <c r="X14" s="20"/>
      <c r="Y14" s="20"/>
      <c r="Z14" s="20"/>
      <c r="AA14" s="20"/>
      <c r="AB14" s="20"/>
      <c r="AC14" s="20"/>
      <c r="AD14" s="20"/>
    </row>
    <row r="15" spans="1:30" ht="13.8" thickBot="1">
      <c r="A15" s="193"/>
      <c r="B15" s="172"/>
      <c r="C15" s="169"/>
      <c r="D15" s="169"/>
      <c r="E15" s="169"/>
      <c r="F15" s="169"/>
      <c r="G15" s="169"/>
      <c r="H15" s="169"/>
      <c r="I15" s="168"/>
      <c r="J15" s="168"/>
      <c r="K15" s="168"/>
      <c r="L15" s="168"/>
      <c r="M15" s="168"/>
      <c r="N15" s="168"/>
      <c r="O15" s="168"/>
      <c r="P15" s="168"/>
      <c r="Q15" s="201"/>
      <c r="R15" s="20"/>
      <c r="S15" s="20"/>
      <c r="T15" s="20"/>
      <c r="U15" s="20"/>
      <c r="V15" s="20"/>
      <c r="W15" s="20"/>
      <c r="X15" s="20"/>
      <c r="Y15" s="20"/>
      <c r="Z15" s="20"/>
      <c r="AA15" s="20"/>
      <c r="AB15" s="20"/>
      <c r="AC15" s="20"/>
      <c r="AD15" s="20"/>
    </row>
    <row r="16" spans="1:30" ht="13.8" thickBot="1">
      <c r="A16" s="193"/>
      <c r="B16" s="168"/>
      <c r="C16" s="127" t="s">
        <v>522</v>
      </c>
      <c r="D16" s="126" t="s">
        <v>307</v>
      </c>
      <c r="E16" s="125" t="s">
        <v>310</v>
      </c>
      <c r="F16" s="124" t="s">
        <v>309</v>
      </c>
      <c r="G16" s="419" t="s">
        <v>520</v>
      </c>
      <c r="H16" s="420"/>
      <c r="I16" s="420"/>
      <c r="J16" s="420"/>
      <c r="K16" s="420"/>
      <c r="L16" s="421"/>
      <c r="M16" s="168"/>
      <c r="N16" s="168"/>
      <c r="O16" s="168"/>
      <c r="P16" s="168"/>
      <c r="Q16" s="201"/>
      <c r="R16" s="20"/>
      <c r="S16" s="20"/>
      <c r="T16" s="20"/>
      <c r="U16" s="20"/>
      <c r="V16" s="20"/>
      <c r="W16" s="20"/>
      <c r="X16" s="20"/>
      <c r="Y16" s="20"/>
      <c r="Z16" s="20"/>
      <c r="AA16" s="20"/>
      <c r="AB16" s="20"/>
      <c r="AC16" s="20"/>
      <c r="AD16" s="20"/>
    </row>
    <row r="17" spans="1:30" ht="13.8" thickBot="1">
      <c r="A17" s="193"/>
      <c r="B17" s="168"/>
      <c r="C17" s="131"/>
      <c r="D17" s="134"/>
      <c r="E17" s="137"/>
      <c r="F17" s="140"/>
      <c r="G17" s="422"/>
      <c r="H17" s="423"/>
      <c r="I17" s="423"/>
      <c r="J17" s="423"/>
      <c r="K17" s="423"/>
      <c r="L17" s="424"/>
      <c r="M17" s="168"/>
      <c r="N17" s="168"/>
      <c r="O17" s="168"/>
      <c r="P17" s="168"/>
      <c r="Q17" s="201"/>
      <c r="R17" s="143">
        <f t="shared" ref="R17:R39" si="0">(SIN(E17*PI()/180))*F17</f>
        <v>0</v>
      </c>
      <c r="S17" s="143">
        <f t="shared" ref="S17:S39" si="1">(COS(E17*PI()/180))*F17</f>
        <v>0</v>
      </c>
      <c r="T17" s="143"/>
      <c r="U17" s="143"/>
      <c r="V17" s="143"/>
      <c r="W17" s="143"/>
      <c r="X17" s="20"/>
      <c r="Y17" s="20"/>
      <c r="Z17" s="20"/>
      <c r="AA17" s="20"/>
      <c r="AB17" s="20"/>
      <c r="AC17" s="20"/>
      <c r="AD17" s="20"/>
    </row>
    <row r="18" spans="1:30" ht="13.8" thickBot="1">
      <c r="A18" s="193"/>
      <c r="B18" s="168"/>
      <c r="C18" s="132"/>
      <c r="D18" s="135"/>
      <c r="E18" s="138"/>
      <c r="F18" s="141"/>
      <c r="G18" s="416"/>
      <c r="H18" s="417"/>
      <c r="I18" s="417"/>
      <c r="J18" s="417"/>
      <c r="K18" s="417"/>
      <c r="L18" s="418"/>
      <c r="M18" s="168"/>
      <c r="N18" s="168"/>
      <c r="O18" s="168"/>
      <c r="P18" s="168"/>
      <c r="Q18" s="201"/>
      <c r="R18" s="143">
        <f t="shared" si="0"/>
        <v>0</v>
      </c>
      <c r="S18" s="143">
        <f t="shared" si="1"/>
        <v>0</v>
      </c>
      <c r="T18" s="143"/>
      <c r="U18" s="143"/>
      <c r="V18" s="143"/>
      <c r="W18" s="143"/>
      <c r="X18" s="20"/>
      <c r="Y18" s="20"/>
      <c r="Z18" s="20"/>
      <c r="AA18" s="20"/>
      <c r="AB18" s="20"/>
      <c r="AC18" s="20"/>
      <c r="AD18" s="20"/>
    </row>
    <row r="19" spans="1:30" ht="13.8" thickBot="1">
      <c r="A19" s="193"/>
      <c r="B19" s="172"/>
      <c r="C19" s="132"/>
      <c r="D19" s="135"/>
      <c r="E19" s="138"/>
      <c r="F19" s="141"/>
      <c r="G19" s="416"/>
      <c r="H19" s="417"/>
      <c r="I19" s="417"/>
      <c r="J19" s="417"/>
      <c r="K19" s="417"/>
      <c r="L19" s="418"/>
      <c r="M19" s="168"/>
      <c r="N19" s="168"/>
      <c r="O19" s="168"/>
      <c r="P19" s="168"/>
      <c r="Q19" s="201"/>
      <c r="R19" s="143">
        <f t="shared" si="0"/>
        <v>0</v>
      </c>
      <c r="S19" s="143">
        <f t="shared" si="1"/>
        <v>0</v>
      </c>
      <c r="T19" s="143"/>
      <c r="U19" s="143"/>
      <c r="V19" s="143"/>
      <c r="W19" s="143"/>
      <c r="X19" s="20"/>
      <c r="Y19" s="20"/>
      <c r="Z19" s="20"/>
      <c r="AA19" s="20"/>
      <c r="AB19" s="20"/>
      <c r="AC19" s="20"/>
      <c r="AD19" s="20"/>
    </row>
    <row r="20" spans="1:30" ht="13.8" thickBot="1">
      <c r="A20" s="193"/>
      <c r="B20" s="168"/>
      <c r="C20" s="132"/>
      <c r="D20" s="135"/>
      <c r="E20" s="138"/>
      <c r="F20" s="141"/>
      <c r="G20" s="416"/>
      <c r="H20" s="417"/>
      <c r="I20" s="417"/>
      <c r="J20" s="417"/>
      <c r="K20" s="417"/>
      <c r="L20" s="418"/>
      <c r="M20" s="168"/>
      <c r="N20" s="168"/>
      <c r="O20" s="168"/>
      <c r="P20" s="168"/>
      <c r="Q20" s="201"/>
      <c r="R20" s="143">
        <f t="shared" si="0"/>
        <v>0</v>
      </c>
      <c r="S20" s="143">
        <f t="shared" si="1"/>
        <v>0</v>
      </c>
      <c r="T20" s="143"/>
      <c r="U20" s="143"/>
      <c r="V20" s="143"/>
      <c r="W20" s="143"/>
      <c r="X20" s="20"/>
      <c r="Y20" s="20"/>
      <c r="Z20" s="20"/>
      <c r="AA20" s="20"/>
      <c r="AB20" s="20"/>
      <c r="AC20" s="20"/>
      <c r="AD20" s="20"/>
    </row>
    <row r="21" spans="1:30" ht="13.8" thickBot="1">
      <c r="A21" s="193"/>
      <c r="B21" s="172"/>
      <c r="C21" s="132"/>
      <c r="D21" s="135"/>
      <c r="E21" s="138"/>
      <c r="F21" s="141"/>
      <c r="G21" s="416"/>
      <c r="H21" s="417"/>
      <c r="I21" s="417"/>
      <c r="J21" s="417"/>
      <c r="K21" s="417"/>
      <c r="L21" s="418"/>
      <c r="M21" s="168"/>
      <c r="N21" s="168"/>
      <c r="O21" s="168"/>
      <c r="P21" s="168"/>
      <c r="Q21" s="257"/>
      <c r="R21" s="143">
        <f t="shared" si="0"/>
        <v>0</v>
      </c>
      <c r="S21" s="143">
        <f t="shared" si="1"/>
        <v>0</v>
      </c>
      <c r="T21" s="143"/>
      <c r="U21" s="143"/>
      <c r="V21" s="143"/>
      <c r="W21" s="143"/>
      <c r="X21" s="20"/>
      <c r="Y21" s="20"/>
      <c r="Z21" s="20"/>
      <c r="AA21" s="20"/>
      <c r="AB21" s="20"/>
      <c r="AC21" s="20"/>
      <c r="AD21" s="20"/>
    </row>
    <row r="22" spans="1:30" ht="13.8" thickBot="1">
      <c r="A22" s="193"/>
      <c r="B22" s="168"/>
      <c r="C22" s="132"/>
      <c r="D22" s="135"/>
      <c r="E22" s="138"/>
      <c r="F22" s="141"/>
      <c r="G22" s="416"/>
      <c r="H22" s="417"/>
      <c r="I22" s="417"/>
      <c r="J22" s="417"/>
      <c r="K22" s="417"/>
      <c r="L22" s="418"/>
      <c r="M22" s="168"/>
      <c r="N22" s="168"/>
      <c r="O22" s="168"/>
      <c r="P22" s="168"/>
      <c r="Q22" s="201"/>
      <c r="R22" s="143">
        <f t="shared" si="0"/>
        <v>0</v>
      </c>
      <c r="S22" s="143">
        <f t="shared" si="1"/>
        <v>0</v>
      </c>
      <c r="T22" s="143"/>
      <c r="U22" s="143"/>
      <c r="V22" s="143"/>
      <c r="W22" s="143"/>
      <c r="X22" s="20"/>
      <c r="Y22" s="20"/>
      <c r="Z22" s="20"/>
      <c r="AA22" s="20"/>
      <c r="AB22" s="20"/>
      <c r="AC22" s="20"/>
      <c r="AD22" s="20"/>
    </row>
    <row r="23" spans="1:30" ht="13.8" thickBot="1">
      <c r="A23" s="194"/>
      <c r="B23" s="169"/>
      <c r="C23" s="132"/>
      <c r="D23" s="135"/>
      <c r="E23" s="138"/>
      <c r="F23" s="141"/>
      <c r="G23" s="416"/>
      <c r="H23" s="417"/>
      <c r="I23" s="417"/>
      <c r="J23" s="417"/>
      <c r="K23" s="417"/>
      <c r="L23" s="418"/>
      <c r="M23" s="168"/>
      <c r="N23" s="168"/>
      <c r="O23" s="168"/>
      <c r="P23" s="168"/>
      <c r="Q23" s="201"/>
      <c r="R23" s="143">
        <f t="shared" si="0"/>
        <v>0</v>
      </c>
      <c r="S23" s="143">
        <f t="shared" si="1"/>
        <v>0</v>
      </c>
      <c r="T23" s="143"/>
      <c r="U23" s="143"/>
      <c r="V23" s="143"/>
      <c r="W23" s="143"/>
      <c r="X23" s="20"/>
      <c r="Y23" s="20"/>
      <c r="Z23" s="20"/>
      <c r="AA23" s="20"/>
      <c r="AB23" s="20"/>
      <c r="AC23" s="20"/>
      <c r="AD23" s="20"/>
    </row>
    <row r="24" spans="1:30" ht="13.8" thickBot="1">
      <c r="A24" s="193"/>
      <c r="B24" s="168"/>
      <c r="C24" s="132"/>
      <c r="D24" s="135"/>
      <c r="E24" s="138"/>
      <c r="F24" s="141"/>
      <c r="G24" s="416"/>
      <c r="H24" s="417"/>
      <c r="I24" s="417"/>
      <c r="J24" s="417"/>
      <c r="K24" s="417"/>
      <c r="L24" s="418"/>
      <c r="M24" s="168"/>
      <c r="N24" s="168"/>
      <c r="O24" s="168"/>
      <c r="P24" s="168"/>
      <c r="Q24" s="201"/>
      <c r="R24" s="143">
        <f t="shared" si="0"/>
        <v>0</v>
      </c>
      <c r="S24" s="143">
        <f t="shared" si="1"/>
        <v>0</v>
      </c>
      <c r="T24" s="143"/>
      <c r="U24" s="143"/>
      <c r="V24" s="143"/>
      <c r="W24" s="143"/>
      <c r="X24" s="20"/>
      <c r="Y24" s="20"/>
      <c r="Z24" s="20"/>
      <c r="AA24" s="20"/>
      <c r="AB24" s="20"/>
      <c r="AC24" s="20"/>
      <c r="AD24" s="20"/>
    </row>
    <row r="25" spans="1:30" ht="13.8" thickBot="1">
      <c r="A25" s="193"/>
      <c r="B25" s="172"/>
      <c r="C25" s="132"/>
      <c r="D25" s="135"/>
      <c r="E25" s="138"/>
      <c r="F25" s="141"/>
      <c r="G25" s="416"/>
      <c r="H25" s="417"/>
      <c r="I25" s="417"/>
      <c r="J25" s="417"/>
      <c r="K25" s="417"/>
      <c r="L25" s="418"/>
      <c r="M25" s="168"/>
      <c r="N25" s="168"/>
      <c r="O25" s="168"/>
      <c r="P25" s="168"/>
      <c r="Q25" s="201"/>
      <c r="R25" s="143">
        <f t="shared" si="0"/>
        <v>0</v>
      </c>
      <c r="S25" s="143">
        <f t="shared" si="1"/>
        <v>0</v>
      </c>
      <c r="T25" s="143"/>
      <c r="U25" s="143"/>
      <c r="V25" s="143"/>
      <c r="W25" s="143"/>
      <c r="X25" s="20"/>
      <c r="Y25" s="20"/>
      <c r="Z25" s="20"/>
      <c r="AA25" s="20"/>
      <c r="AB25" s="20"/>
      <c r="AC25" s="20"/>
      <c r="AD25" s="20"/>
    </row>
    <row r="26" spans="1:30" ht="13.8" thickBot="1">
      <c r="A26" s="193"/>
      <c r="B26" s="168"/>
      <c r="C26" s="132"/>
      <c r="D26" s="135"/>
      <c r="E26" s="138"/>
      <c r="F26" s="141"/>
      <c r="G26" s="416"/>
      <c r="H26" s="417"/>
      <c r="I26" s="417"/>
      <c r="J26" s="417"/>
      <c r="K26" s="417"/>
      <c r="L26" s="418"/>
      <c r="M26" s="168"/>
      <c r="N26" s="168"/>
      <c r="O26" s="168"/>
      <c r="P26" s="168"/>
      <c r="Q26" s="201"/>
      <c r="R26" s="143">
        <f t="shared" si="0"/>
        <v>0</v>
      </c>
      <c r="S26" s="143">
        <f t="shared" si="1"/>
        <v>0</v>
      </c>
      <c r="T26" s="143"/>
      <c r="U26" s="143"/>
      <c r="V26" s="143"/>
      <c r="W26" s="143"/>
      <c r="X26" s="20"/>
      <c r="Y26" s="20"/>
      <c r="Z26" s="20"/>
      <c r="AA26" s="20"/>
      <c r="AB26" s="20"/>
      <c r="AC26" s="20"/>
      <c r="AD26" s="20"/>
    </row>
    <row r="27" spans="1:30" ht="13.8" thickBot="1">
      <c r="A27" s="193"/>
      <c r="B27" s="172"/>
      <c r="C27" s="132"/>
      <c r="D27" s="135"/>
      <c r="E27" s="138"/>
      <c r="F27" s="141"/>
      <c r="G27" s="416"/>
      <c r="H27" s="417"/>
      <c r="I27" s="417"/>
      <c r="J27" s="417"/>
      <c r="K27" s="417"/>
      <c r="L27" s="418"/>
      <c r="M27" s="168"/>
      <c r="N27" s="168"/>
      <c r="O27" s="168"/>
      <c r="P27" s="168"/>
      <c r="Q27" s="201"/>
      <c r="R27" s="143">
        <f t="shared" si="0"/>
        <v>0</v>
      </c>
      <c r="S27" s="143">
        <f t="shared" si="1"/>
        <v>0</v>
      </c>
      <c r="T27" s="143"/>
      <c r="U27" s="143"/>
      <c r="V27" s="143"/>
      <c r="W27" s="143"/>
      <c r="X27" s="20"/>
      <c r="Y27" s="20"/>
      <c r="Z27" s="20"/>
      <c r="AA27" s="20"/>
      <c r="AB27" s="20"/>
      <c r="AC27" s="20"/>
      <c r="AD27" s="20"/>
    </row>
    <row r="28" spans="1:30" ht="13.8" thickBot="1">
      <c r="A28" s="193"/>
      <c r="B28" s="168"/>
      <c r="C28" s="132"/>
      <c r="D28" s="135"/>
      <c r="E28" s="138"/>
      <c r="F28" s="141"/>
      <c r="G28" s="416"/>
      <c r="H28" s="417"/>
      <c r="I28" s="417"/>
      <c r="J28" s="417"/>
      <c r="K28" s="417"/>
      <c r="L28" s="418"/>
      <c r="M28" s="168"/>
      <c r="N28" s="168"/>
      <c r="O28" s="168"/>
      <c r="P28" s="168"/>
      <c r="Q28" s="201"/>
      <c r="R28" s="143">
        <f t="shared" si="0"/>
        <v>0</v>
      </c>
      <c r="S28" s="143">
        <f t="shared" si="1"/>
        <v>0</v>
      </c>
      <c r="T28" s="143"/>
      <c r="U28" s="143"/>
      <c r="V28" s="143"/>
      <c r="W28" s="143"/>
      <c r="X28" s="20"/>
      <c r="Y28" s="20"/>
      <c r="Z28" s="20"/>
      <c r="AA28" s="20"/>
      <c r="AB28" s="20"/>
      <c r="AC28" s="20"/>
      <c r="AD28" s="20"/>
    </row>
    <row r="29" spans="1:30" ht="13.8" thickBot="1">
      <c r="A29" s="194"/>
      <c r="B29" s="169"/>
      <c r="C29" s="132"/>
      <c r="D29" s="135"/>
      <c r="E29" s="138"/>
      <c r="F29" s="141"/>
      <c r="G29" s="416"/>
      <c r="H29" s="417"/>
      <c r="I29" s="417"/>
      <c r="J29" s="417"/>
      <c r="K29" s="417"/>
      <c r="L29" s="418"/>
      <c r="M29" s="168"/>
      <c r="N29" s="168"/>
      <c r="O29" s="168"/>
      <c r="P29" s="168"/>
      <c r="Q29" s="201"/>
      <c r="R29" s="143">
        <f t="shared" si="0"/>
        <v>0</v>
      </c>
      <c r="S29" s="143">
        <f t="shared" si="1"/>
        <v>0</v>
      </c>
      <c r="T29" s="143"/>
      <c r="U29" s="143"/>
      <c r="V29" s="143"/>
      <c r="W29" s="143"/>
      <c r="X29" s="20"/>
      <c r="Y29" s="20"/>
      <c r="Z29" s="20"/>
      <c r="AA29" s="20"/>
      <c r="AB29" s="20"/>
      <c r="AC29" s="20"/>
      <c r="AD29" s="20"/>
    </row>
    <row r="30" spans="1:30" ht="13.8" thickBot="1">
      <c r="A30" s="193"/>
      <c r="B30" s="206"/>
      <c r="C30" s="132"/>
      <c r="D30" s="135"/>
      <c r="E30" s="138"/>
      <c r="F30" s="141"/>
      <c r="G30" s="416"/>
      <c r="H30" s="417"/>
      <c r="I30" s="417"/>
      <c r="J30" s="417"/>
      <c r="K30" s="417"/>
      <c r="L30" s="418"/>
      <c r="M30" s="168"/>
      <c r="N30" s="168"/>
      <c r="O30" s="168"/>
      <c r="P30" s="168"/>
      <c r="Q30" s="201"/>
      <c r="R30" s="143">
        <f t="shared" si="0"/>
        <v>0</v>
      </c>
      <c r="S30" s="143">
        <f t="shared" si="1"/>
        <v>0</v>
      </c>
      <c r="T30" s="143"/>
      <c r="U30" s="143"/>
      <c r="V30" s="143"/>
      <c r="W30" s="143"/>
      <c r="X30" s="20"/>
      <c r="Y30" s="20"/>
      <c r="Z30" s="20"/>
      <c r="AA30" s="20"/>
      <c r="AB30" s="20"/>
      <c r="AC30" s="20"/>
      <c r="AD30" s="20"/>
    </row>
    <row r="31" spans="1:30" ht="13.8" thickBot="1">
      <c r="A31" s="193"/>
      <c r="B31" s="168"/>
      <c r="C31" s="132"/>
      <c r="D31" s="135"/>
      <c r="E31" s="138"/>
      <c r="F31" s="141"/>
      <c r="G31" s="416"/>
      <c r="H31" s="417"/>
      <c r="I31" s="417"/>
      <c r="J31" s="417"/>
      <c r="K31" s="417"/>
      <c r="L31" s="418"/>
      <c r="M31" s="168"/>
      <c r="N31" s="168"/>
      <c r="O31" s="168"/>
      <c r="P31" s="168"/>
      <c r="Q31" s="201"/>
      <c r="R31" s="143">
        <f t="shared" si="0"/>
        <v>0</v>
      </c>
      <c r="S31" s="143">
        <f t="shared" si="1"/>
        <v>0</v>
      </c>
      <c r="T31" s="143"/>
      <c r="U31" s="143"/>
      <c r="V31" s="143"/>
      <c r="W31" s="143"/>
      <c r="X31" s="20"/>
      <c r="Y31" s="20"/>
      <c r="Z31" s="20"/>
      <c r="AA31" s="20"/>
      <c r="AB31" s="20"/>
      <c r="AC31" s="20"/>
      <c r="AD31" s="20"/>
    </row>
    <row r="32" spans="1:30" ht="13.8" thickBot="1">
      <c r="A32" s="193"/>
      <c r="B32" s="172"/>
      <c r="C32" s="132"/>
      <c r="D32" s="135"/>
      <c r="E32" s="138"/>
      <c r="F32" s="141"/>
      <c r="G32" s="416"/>
      <c r="H32" s="417"/>
      <c r="I32" s="417"/>
      <c r="J32" s="417"/>
      <c r="K32" s="417"/>
      <c r="L32" s="418"/>
      <c r="M32" s="168"/>
      <c r="N32" s="168"/>
      <c r="O32" s="168"/>
      <c r="P32" s="168"/>
      <c r="Q32" s="201"/>
      <c r="R32" s="143">
        <f t="shared" si="0"/>
        <v>0</v>
      </c>
      <c r="S32" s="143">
        <f t="shared" si="1"/>
        <v>0</v>
      </c>
      <c r="T32" s="143"/>
      <c r="U32" s="143"/>
      <c r="V32" s="143"/>
      <c r="W32" s="143"/>
      <c r="X32" s="20"/>
      <c r="Y32" s="20"/>
      <c r="Z32" s="20"/>
      <c r="AA32" s="20"/>
      <c r="AB32" s="20"/>
      <c r="AC32" s="20"/>
      <c r="AD32" s="20"/>
    </row>
    <row r="33" spans="1:30" ht="13.8" thickBot="1">
      <c r="A33" s="193"/>
      <c r="B33" s="168"/>
      <c r="C33" s="132"/>
      <c r="D33" s="135"/>
      <c r="E33" s="138"/>
      <c r="F33" s="141"/>
      <c r="G33" s="416"/>
      <c r="H33" s="417"/>
      <c r="I33" s="417"/>
      <c r="J33" s="417"/>
      <c r="K33" s="417"/>
      <c r="L33" s="418"/>
      <c r="M33" s="168"/>
      <c r="N33" s="168"/>
      <c r="O33" s="168"/>
      <c r="P33" s="168"/>
      <c r="Q33" s="201"/>
      <c r="R33" s="143">
        <f t="shared" si="0"/>
        <v>0</v>
      </c>
      <c r="S33" s="143">
        <f t="shared" si="1"/>
        <v>0</v>
      </c>
      <c r="T33" s="143"/>
      <c r="U33" s="143"/>
      <c r="V33" s="143"/>
      <c r="W33" s="143"/>
      <c r="X33" s="20"/>
      <c r="Y33" s="20"/>
      <c r="Z33" s="20"/>
      <c r="AA33" s="20"/>
      <c r="AB33" s="20"/>
      <c r="AC33" s="20"/>
      <c r="AD33" s="20"/>
    </row>
    <row r="34" spans="1:30" ht="13.8" thickBot="1">
      <c r="A34" s="193"/>
      <c r="B34" s="172"/>
      <c r="C34" s="132"/>
      <c r="D34" s="135"/>
      <c r="E34" s="138"/>
      <c r="F34" s="141"/>
      <c r="G34" s="416"/>
      <c r="H34" s="417"/>
      <c r="I34" s="417"/>
      <c r="J34" s="417"/>
      <c r="K34" s="417"/>
      <c r="L34" s="418"/>
      <c r="M34" s="168"/>
      <c r="N34" s="168"/>
      <c r="O34" s="168"/>
      <c r="P34" s="168"/>
      <c r="Q34" s="201"/>
      <c r="R34" s="143">
        <f t="shared" si="0"/>
        <v>0</v>
      </c>
      <c r="S34" s="143">
        <f t="shared" si="1"/>
        <v>0</v>
      </c>
      <c r="T34" s="143"/>
      <c r="U34" s="143"/>
      <c r="V34" s="143"/>
      <c r="W34" s="143"/>
      <c r="X34" s="20"/>
      <c r="Y34" s="20"/>
      <c r="Z34" s="20"/>
      <c r="AA34" s="20"/>
      <c r="AB34" s="20"/>
      <c r="AC34" s="20"/>
      <c r="AD34" s="20"/>
    </row>
    <row r="35" spans="1:30" ht="13.8" thickBot="1">
      <c r="A35" s="193"/>
      <c r="B35" s="168"/>
      <c r="C35" s="132"/>
      <c r="D35" s="135"/>
      <c r="E35" s="138"/>
      <c r="F35" s="141"/>
      <c r="G35" s="416"/>
      <c r="H35" s="417"/>
      <c r="I35" s="417"/>
      <c r="J35" s="417"/>
      <c r="K35" s="417"/>
      <c r="L35" s="418"/>
      <c r="M35" s="168"/>
      <c r="N35" s="168"/>
      <c r="O35" s="168"/>
      <c r="P35" s="168"/>
      <c r="Q35" s="201"/>
      <c r="R35" s="143">
        <f t="shared" si="0"/>
        <v>0</v>
      </c>
      <c r="S35" s="143">
        <f t="shared" si="1"/>
        <v>0</v>
      </c>
      <c r="T35" s="143"/>
      <c r="U35" s="143"/>
      <c r="V35" s="143"/>
      <c r="W35" s="143"/>
      <c r="X35" s="20"/>
      <c r="Y35" s="20"/>
      <c r="Z35" s="20"/>
      <c r="AA35" s="20"/>
      <c r="AB35" s="20"/>
      <c r="AC35" s="20"/>
      <c r="AD35" s="20"/>
    </row>
    <row r="36" spans="1:30" ht="13.8" thickBot="1">
      <c r="A36" s="194"/>
      <c r="B36" s="169"/>
      <c r="C36" s="132"/>
      <c r="D36" s="135"/>
      <c r="E36" s="138"/>
      <c r="F36" s="141"/>
      <c r="G36" s="416"/>
      <c r="H36" s="417"/>
      <c r="I36" s="417"/>
      <c r="J36" s="417"/>
      <c r="K36" s="417"/>
      <c r="L36" s="418"/>
      <c r="M36" s="168"/>
      <c r="N36" s="168"/>
      <c r="O36" s="168"/>
      <c r="P36" s="168"/>
      <c r="Q36" s="201"/>
      <c r="R36" s="143">
        <f t="shared" si="0"/>
        <v>0</v>
      </c>
      <c r="S36" s="143">
        <f t="shared" si="1"/>
        <v>0</v>
      </c>
      <c r="T36" s="143"/>
      <c r="U36" s="143"/>
      <c r="V36" s="143"/>
      <c r="W36" s="143"/>
      <c r="X36" s="20"/>
      <c r="Y36" s="20"/>
      <c r="Z36" s="20"/>
      <c r="AA36" s="20"/>
      <c r="AB36" s="20"/>
      <c r="AC36" s="20"/>
      <c r="AD36" s="20"/>
    </row>
    <row r="37" spans="1:30" ht="13.8" thickBot="1">
      <c r="A37" s="193"/>
      <c r="B37" s="206"/>
      <c r="C37" s="132"/>
      <c r="D37" s="135"/>
      <c r="E37" s="138"/>
      <c r="F37" s="141"/>
      <c r="G37" s="416"/>
      <c r="H37" s="417"/>
      <c r="I37" s="417"/>
      <c r="J37" s="417"/>
      <c r="K37" s="417"/>
      <c r="L37" s="418"/>
      <c r="M37" s="168"/>
      <c r="N37" s="168"/>
      <c r="O37" s="168"/>
      <c r="P37" s="168"/>
      <c r="Q37" s="201"/>
      <c r="R37" s="143">
        <f t="shared" si="0"/>
        <v>0</v>
      </c>
      <c r="S37" s="143">
        <f t="shared" si="1"/>
        <v>0</v>
      </c>
      <c r="T37" s="143"/>
      <c r="U37" s="143"/>
      <c r="V37" s="143"/>
      <c r="W37" s="143"/>
      <c r="X37" s="20"/>
      <c r="Y37" s="20"/>
      <c r="Z37" s="20"/>
      <c r="AA37" s="20"/>
      <c r="AB37" s="20"/>
      <c r="AC37" s="20"/>
      <c r="AD37" s="20"/>
    </row>
    <row r="38" spans="1:30" ht="13.8" thickBot="1">
      <c r="A38" s="193"/>
      <c r="B38" s="168"/>
      <c r="C38" s="132"/>
      <c r="D38" s="135"/>
      <c r="E38" s="138"/>
      <c r="F38" s="141"/>
      <c r="G38" s="416"/>
      <c r="H38" s="417"/>
      <c r="I38" s="417"/>
      <c r="J38" s="417"/>
      <c r="K38" s="417"/>
      <c r="L38" s="418"/>
      <c r="M38" s="168"/>
      <c r="N38" s="168"/>
      <c r="O38" s="168"/>
      <c r="P38" s="168"/>
      <c r="Q38" s="201"/>
      <c r="R38" s="143">
        <f t="shared" si="0"/>
        <v>0</v>
      </c>
      <c r="S38" s="143">
        <f t="shared" si="1"/>
        <v>0</v>
      </c>
      <c r="T38" s="143"/>
      <c r="U38" s="143"/>
      <c r="V38" s="143"/>
      <c r="W38" s="143"/>
      <c r="X38" s="20"/>
      <c r="Y38" s="20"/>
      <c r="Z38" s="20"/>
      <c r="AA38" s="20"/>
      <c r="AB38" s="20"/>
      <c r="AC38" s="20"/>
      <c r="AD38" s="20"/>
    </row>
    <row r="39" spans="1:30" ht="13.8" thickBot="1">
      <c r="A39" s="193"/>
      <c r="B39" s="172"/>
      <c r="C39" s="133"/>
      <c r="D39" s="136"/>
      <c r="E39" s="139"/>
      <c r="F39" s="142"/>
      <c r="G39" s="428"/>
      <c r="H39" s="429"/>
      <c r="I39" s="429"/>
      <c r="J39" s="429"/>
      <c r="K39" s="429"/>
      <c r="L39" s="430"/>
      <c r="M39" s="177"/>
      <c r="N39" s="252"/>
      <c r="O39" s="253"/>
      <c r="P39" s="206"/>
      <c r="Q39" s="201"/>
      <c r="R39" s="143">
        <f t="shared" si="0"/>
        <v>0</v>
      </c>
      <c r="S39" s="143">
        <f t="shared" si="1"/>
        <v>0</v>
      </c>
      <c r="T39" s="143"/>
      <c r="U39" s="143"/>
      <c r="V39" s="143"/>
      <c r="W39" s="143"/>
      <c r="X39" s="20"/>
      <c r="Y39" s="20"/>
      <c r="Z39" s="20"/>
      <c r="AA39" s="20"/>
      <c r="AB39" s="20"/>
      <c r="AC39" s="20"/>
      <c r="AD39" s="20"/>
    </row>
    <row r="40" spans="1:30">
      <c r="A40" s="193"/>
      <c r="B40" s="168"/>
      <c r="C40" s="168"/>
      <c r="D40" s="168"/>
      <c r="E40" s="168"/>
      <c r="F40" s="168"/>
      <c r="G40" s="168"/>
      <c r="H40" s="168"/>
      <c r="I40" s="168"/>
      <c r="J40" s="168"/>
      <c r="K40" s="168"/>
      <c r="L40" s="168"/>
      <c r="M40" s="168"/>
      <c r="N40" s="168"/>
      <c r="O40" s="168"/>
      <c r="P40" s="168"/>
      <c r="Q40" s="201"/>
      <c r="R40" s="143"/>
      <c r="S40" s="143"/>
      <c r="T40" s="143"/>
      <c r="U40" s="143"/>
      <c r="V40" s="143"/>
      <c r="W40" s="143"/>
      <c r="X40" s="20"/>
      <c r="Y40" s="20"/>
      <c r="Z40" s="20"/>
      <c r="AA40" s="20"/>
      <c r="AB40" s="20"/>
      <c r="AC40" s="20"/>
      <c r="AD40" s="20"/>
    </row>
    <row r="41" spans="1:30">
      <c r="A41" s="193"/>
      <c r="B41" s="172"/>
      <c r="C41" s="172"/>
      <c r="D41" s="172"/>
      <c r="E41" s="254"/>
      <c r="F41" s="254"/>
      <c r="G41" s="254"/>
      <c r="H41" s="254"/>
      <c r="I41" s="254"/>
      <c r="J41" s="172"/>
      <c r="K41" s="168"/>
      <c r="L41" s="168"/>
      <c r="M41" s="168"/>
      <c r="N41" s="252"/>
      <c r="O41" s="253"/>
      <c r="P41" s="206"/>
      <c r="Q41" s="201"/>
      <c r="R41" s="143"/>
      <c r="S41" s="143"/>
      <c r="T41" s="143"/>
      <c r="U41" s="143"/>
      <c r="V41" s="143"/>
      <c r="W41" s="143"/>
      <c r="X41" s="20"/>
      <c r="Y41" s="20"/>
      <c r="Z41" s="20"/>
      <c r="AA41" s="20"/>
      <c r="AB41" s="20"/>
      <c r="AC41" s="20"/>
      <c r="AD41" s="20"/>
    </row>
    <row r="42" spans="1:30">
      <c r="A42" s="193"/>
      <c r="B42" s="168"/>
      <c r="C42" s="168"/>
      <c r="D42" s="255"/>
      <c r="E42" s="254"/>
      <c r="F42" s="254"/>
      <c r="G42" s="254"/>
      <c r="H42" s="254"/>
      <c r="I42" s="254"/>
      <c r="J42" s="168"/>
      <c r="K42" s="168"/>
      <c r="L42" s="168"/>
      <c r="M42" s="168"/>
      <c r="N42" s="168"/>
      <c r="O42" s="168"/>
      <c r="P42" s="168"/>
      <c r="Q42" s="201"/>
      <c r="R42" s="143" t="s">
        <v>516</v>
      </c>
      <c r="S42" s="143">
        <f>SUM(R17:R38)</f>
        <v>0</v>
      </c>
      <c r="T42" s="143"/>
      <c r="U42" s="143" t="e">
        <f>ROUND(IF(S42&lt;0,IF(S43&lt;0,R45+180,R45+360),IF(S43&lt;0,R45+180,R45)),0)</f>
        <v>#DIV/0!</v>
      </c>
      <c r="V42" s="143">
        <f>SQRT((S42^2)+(S43^2))</f>
        <v>0</v>
      </c>
      <c r="W42" s="143"/>
      <c r="X42" s="20"/>
      <c r="Y42" s="20"/>
      <c r="Z42" s="20"/>
      <c r="AA42" s="20"/>
      <c r="AB42" s="20"/>
      <c r="AC42" s="20"/>
      <c r="AD42" s="20"/>
    </row>
    <row r="43" spans="1:30">
      <c r="A43" s="194"/>
      <c r="B43" s="169"/>
      <c r="C43" s="168"/>
      <c r="D43" s="255"/>
      <c r="E43" s="254"/>
      <c r="F43" s="254"/>
      <c r="G43" s="254"/>
      <c r="H43" s="254"/>
      <c r="I43" s="254"/>
      <c r="J43" s="168"/>
      <c r="K43" s="168"/>
      <c r="L43" s="168"/>
      <c r="M43" s="168"/>
      <c r="N43" s="168"/>
      <c r="O43" s="168"/>
      <c r="P43" s="168"/>
      <c r="Q43" s="201"/>
      <c r="R43" s="143" t="s">
        <v>517</v>
      </c>
      <c r="S43" s="143">
        <f>SUM(S17:S38)</f>
        <v>0</v>
      </c>
      <c r="T43" s="143"/>
      <c r="U43" s="143" t="s">
        <v>518</v>
      </c>
      <c r="V43" s="143" t="s">
        <v>519</v>
      </c>
      <c r="W43" s="143"/>
      <c r="X43" s="20"/>
      <c r="Y43" s="20"/>
      <c r="Z43" s="20"/>
      <c r="AA43" s="20"/>
      <c r="AB43" s="20"/>
      <c r="AC43" s="20"/>
      <c r="AD43" s="20"/>
    </row>
    <row r="44" spans="1:30" ht="13.8" thickBot="1">
      <c r="A44" s="193"/>
      <c r="B44" s="168"/>
      <c r="C44" s="168"/>
      <c r="D44" s="255"/>
      <c r="E44" s="254"/>
      <c r="F44" s="254"/>
      <c r="G44" s="254"/>
      <c r="H44" s="254"/>
      <c r="I44" s="254"/>
      <c r="J44" s="168"/>
      <c r="K44" s="168"/>
      <c r="L44" s="168"/>
      <c r="M44" s="168"/>
      <c r="N44" s="168"/>
      <c r="O44" s="168"/>
      <c r="P44" s="168"/>
      <c r="Q44" s="201"/>
      <c r="R44" s="143"/>
      <c r="S44" s="143"/>
      <c r="T44" s="143"/>
      <c r="U44" s="143"/>
      <c r="V44" s="143"/>
      <c r="W44" s="143"/>
      <c r="X44" s="20"/>
      <c r="Y44" s="20"/>
      <c r="Z44" s="20"/>
      <c r="AA44" s="20"/>
      <c r="AB44" s="20"/>
      <c r="AC44" s="20"/>
      <c r="AD44" s="20"/>
    </row>
    <row r="45" spans="1:30" ht="13.8" thickBot="1">
      <c r="A45" s="193"/>
      <c r="B45" s="172"/>
      <c r="C45" s="168"/>
      <c r="D45" s="168"/>
      <c r="E45" s="254"/>
      <c r="F45" s="254"/>
      <c r="G45" s="254"/>
      <c r="H45" s="254"/>
      <c r="I45" s="254"/>
      <c r="J45" s="168" t="s">
        <v>523</v>
      </c>
      <c r="K45" s="168"/>
      <c r="L45" s="129">
        <f>IFERROR(U42,0)</f>
        <v>0</v>
      </c>
      <c r="M45" s="173" t="s">
        <v>524</v>
      </c>
      <c r="N45" s="130">
        <f>V42</f>
        <v>0</v>
      </c>
      <c r="O45" s="253"/>
      <c r="P45" s="206"/>
      <c r="Q45" s="201"/>
      <c r="R45" s="143" t="e">
        <f>ATAN(S42/S43)*180/PI()</f>
        <v>#DIV/0!</v>
      </c>
      <c r="S45" s="143"/>
      <c r="T45" s="143"/>
      <c r="U45" s="143"/>
      <c r="V45" s="143"/>
      <c r="W45" s="143"/>
      <c r="X45" s="20"/>
      <c r="Y45" s="20"/>
      <c r="Z45" s="20"/>
      <c r="AA45" s="20"/>
      <c r="AB45" s="20"/>
      <c r="AC45" s="20"/>
      <c r="AD45" s="20"/>
    </row>
    <row r="46" spans="1:30">
      <c r="A46" s="193"/>
      <c r="B46" s="168"/>
      <c r="C46" s="168"/>
      <c r="D46" s="168"/>
      <c r="E46" s="256"/>
      <c r="F46" s="256"/>
      <c r="G46" s="256"/>
      <c r="H46" s="256"/>
      <c r="I46" s="256"/>
      <c r="J46" s="168"/>
      <c r="K46" s="168"/>
      <c r="L46" s="168"/>
      <c r="M46" s="168"/>
      <c r="N46" s="168"/>
      <c r="O46" s="168"/>
      <c r="P46" s="168"/>
      <c r="Q46" s="201"/>
      <c r="R46" s="143"/>
      <c r="S46" s="143"/>
      <c r="T46" s="143"/>
      <c r="U46" s="143"/>
      <c r="V46" s="143"/>
      <c r="W46" s="143"/>
      <c r="X46" s="20"/>
      <c r="Y46" s="20"/>
      <c r="Z46" s="20"/>
      <c r="AA46" s="20"/>
      <c r="AB46" s="20"/>
      <c r="AC46" s="20"/>
      <c r="AD46" s="20"/>
    </row>
    <row r="47" spans="1:30">
      <c r="A47" s="193"/>
      <c r="B47" s="172"/>
      <c r="C47" s="206"/>
      <c r="D47" s="168"/>
      <c r="E47" s="256"/>
      <c r="F47" s="256"/>
      <c r="G47" s="256"/>
      <c r="H47" s="256"/>
      <c r="I47" s="256"/>
      <c r="J47" s="168"/>
      <c r="K47" s="168"/>
      <c r="L47" s="253"/>
      <c r="M47" s="173" t="s">
        <v>515</v>
      </c>
      <c r="N47" s="128"/>
      <c r="O47" s="253"/>
      <c r="P47" s="206"/>
      <c r="Q47" s="201"/>
      <c r="R47" s="20"/>
      <c r="S47" s="20"/>
      <c r="T47" s="20"/>
      <c r="U47" s="20"/>
      <c r="V47" s="20"/>
      <c r="W47" s="20"/>
      <c r="X47" s="20"/>
      <c r="Y47" s="20"/>
      <c r="Z47" s="20"/>
      <c r="AA47" s="20"/>
      <c r="AB47" s="20"/>
      <c r="AC47" s="20"/>
      <c r="AD47" s="20"/>
    </row>
    <row r="48" spans="1:30">
      <c r="A48" s="193"/>
      <c r="B48" s="168"/>
      <c r="C48" s="168"/>
      <c r="D48" s="168"/>
      <c r="E48" s="168"/>
      <c r="F48" s="168"/>
      <c r="G48" s="168"/>
      <c r="H48" s="168"/>
      <c r="I48" s="168"/>
      <c r="J48" s="168"/>
      <c r="K48" s="168"/>
      <c r="L48" s="168"/>
      <c r="M48" s="168"/>
      <c r="N48" s="168"/>
      <c r="O48" s="168"/>
      <c r="P48" s="168"/>
      <c r="Q48" s="201"/>
      <c r="R48" s="20"/>
      <c r="S48" s="20"/>
      <c r="T48" s="20"/>
      <c r="U48" s="20"/>
      <c r="V48" s="20"/>
      <c r="W48" s="20"/>
      <c r="X48" s="20"/>
      <c r="Y48" s="20"/>
      <c r="Z48" s="20"/>
      <c r="AA48" s="20"/>
      <c r="AB48" s="20"/>
      <c r="AC48" s="20"/>
      <c r="AD48" s="20"/>
    </row>
    <row r="49" spans="1:30">
      <c r="A49" s="193"/>
      <c r="B49" s="172"/>
      <c r="C49" s="206"/>
      <c r="D49" s="168"/>
      <c r="E49" s="168"/>
      <c r="F49" s="168"/>
      <c r="G49" s="168"/>
      <c r="H49" s="168"/>
      <c r="I49" s="168"/>
      <c r="J49" s="168"/>
      <c r="K49" s="168"/>
      <c r="L49" s="168"/>
      <c r="M49" s="168"/>
      <c r="N49" s="252"/>
      <c r="O49" s="252"/>
      <c r="P49" s="206"/>
      <c r="Q49" s="201"/>
      <c r="R49" s="20"/>
      <c r="S49" s="20"/>
      <c r="T49" s="20"/>
      <c r="U49" s="20"/>
      <c r="V49" s="20"/>
      <c r="W49" s="20"/>
      <c r="X49" s="20"/>
      <c r="Y49" s="20"/>
      <c r="Z49" s="20"/>
      <c r="AA49" s="20"/>
      <c r="AB49" s="20"/>
      <c r="AC49" s="20"/>
      <c r="AD49" s="20"/>
    </row>
    <row r="50" spans="1:30">
      <c r="A50" s="193"/>
      <c r="B50" s="168"/>
      <c r="C50" s="168"/>
      <c r="D50" s="168"/>
      <c r="E50" s="168"/>
      <c r="F50" s="168"/>
      <c r="G50" s="168"/>
      <c r="H50" s="168"/>
      <c r="I50" s="168"/>
      <c r="J50" s="168"/>
      <c r="K50" s="168"/>
      <c r="L50" s="168"/>
      <c r="M50" s="168"/>
      <c r="N50" s="168"/>
      <c r="O50" s="168"/>
      <c r="P50" s="168"/>
      <c r="Q50" s="201"/>
      <c r="R50" s="20"/>
      <c r="S50" s="20"/>
      <c r="T50" s="20"/>
      <c r="U50" s="20"/>
      <c r="V50" s="20"/>
      <c r="W50" s="20"/>
      <c r="X50" s="20"/>
      <c r="Y50" s="20"/>
      <c r="Z50" s="20"/>
      <c r="AA50" s="20"/>
      <c r="AB50" s="20"/>
      <c r="AC50" s="20"/>
      <c r="AD50" s="20"/>
    </row>
    <row r="51" spans="1:30">
      <c r="A51" s="193"/>
      <c r="B51" s="168"/>
      <c r="C51" s="168"/>
      <c r="D51" s="168"/>
      <c r="E51" s="168"/>
      <c r="F51" s="168"/>
      <c r="G51" s="168"/>
      <c r="H51" s="168"/>
      <c r="I51" s="168"/>
      <c r="J51" s="168"/>
      <c r="K51" s="168"/>
      <c r="L51" s="168"/>
      <c r="M51" s="168"/>
      <c r="N51" s="168"/>
      <c r="O51" s="168"/>
      <c r="P51" s="168"/>
      <c r="Q51" s="201"/>
      <c r="R51" s="20"/>
      <c r="S51" s="20"/>
      <c r="T51" s="20"/>
      <c r="U51" s="20"/>
      <c r="V51" s="20"/>
      <c r="W51" s="20"/>
      <c r="X51" s="20"/>
      <c r="Y51" s="20"/>
      <c r="Z51" s="20"/>
      <c r="AA51" s="20"/>
      <c r="AB51" s="20"/>
      <c r="AC51" s="20"/>
      <c r="AD51" s="20"/>
    </row>
    <row r="52" spans="1:30">
      <c r="A52" s="193"/>
      <c r="B52" s="168"/>
      <c r="C52" s="168"/>
      <c r="D52" s="168"/>
      <c r="E52" s="168"/>
      <c r="F52" s="168"/>
      <c r="G52" s="168"/>
      <c r="H52" s="168"/>
      <c r="I52" s="168"/>
      <c r="J52" s="168"/>
      <c r="K52" s="168"/>
      <c r="L52" s="168"/>
      <c r="M52" s="168"/>
      <c r="N52" s="168"/>
      <c r="O52" s="168"/>
      <c r="P52" s="168"/>
      <c r="Q52" s="201"/>
      <c r="R52" s="20"/>
      <c r="S52" s="20"/>
      <c r="T52" s="20"/>
      <c r="U52" s="20"/>
      <c r="V52" s="20"/>
      <c r="W52" s="20"/>
      <c r="X52" s="20"/>
      <c r="Y52" s="20"/>
      <c r="Z52" s="20"/>
      <c r="AA52" s="20"/>
      <c r="AB52" s="20"/>
      <c r="AC52" s="20"/>
      <c r="AD52" s="20"/>
    </row>
    <row r="53" spans="1:30">
      <c r="A53" s="193"/>
      <c r="B53" s="168"/>
      <c r="C53" s="168"/>
      <c r="D53" s="168"/>
      <c r="E53" s="168"/>
      <c r="F53" s="168"/>
      <c r="G53" s="168"/>
      <c r="H53" s="168"/>
      <c r="I53" s="168"/>
      <c r="J53" s="168"/>
      <c r="K53" s="168"/>
      <c r="L53" s="168"/>
      <c r="M53" s="168"/>
      <c r="N53" s="168"/>
      <c r="O53" s="168"/>
      <c r="P53" s="168"/>
      <c r="Q53" s="201"/>
      <c r="R53" s="20"/>
      <c r="S53" s="20"/>
      <c r="T53" s="20"/>
      <c r="U53" s="20"/>
      <c r="V53" s="20"/>
      <c r="W53" s="20"/>
      <c r="X53" s="20"/>
      <c r="Y53" s="20"/>
      <c r="Z53" s="20"/>
      <c r="AA53" s="20"/>
      <c r="AB53" s="20"/>
      <c r="AC53" s="20"/>
      <c r="AD53" s="20"/>
    </row>
    <row r="54" spans="1:30">
      <c r="A54" s="193"/>
      <c r="B54" s="168"/>
      <c r="C54" s="168"/>
      <c r="D54" s="168"/>
      <c r="E54" s="168"/>
      <c r="F54" s="168"/>
      <c r="G54" s="168"/>
      <c r="H54" s="168"/>
      <c r="I54" s="168"/>
      <c r="J54" s="168"/>
      <c r="K54" s="168"/>
      <c r="L54" s="168"/>
      <c r="M54" s="168"/>
      <c r="N54" s="168"/>
      <c r="O54" s="168"/>
      <c r="P54" s="168"/>
      <c r="Q54" s="201"/>
      <c r="R54" s="85" t="s">
        <v>337</v>
      </c>
      <c r="S54" s="20"/>
      <c r="T54" s="20"/>
      <c r="U54" s="20"/>
      <c r="V54" s="20"/>
      <c r="W54" s="20"/>
      <c r="X54" s="20"/>
      <c r="Y54" s="20"/>
      <c r="Z54" s="20"/>
      <c r="AA54" s="20"/>
      <c r="AB54" s="20"/>
      <c r="AC54" s="20"/>
      <c r="AD54" s="20"/>
    </row>
    <row r="55" spans="1:30">
      <c r="A55" s="193"/>
      <c r="B55" s="168"/>
      <c r="C55" s="168"/>
      <c r="D55" s="168"/>
      <c r="E55" s="168"/>
      <c r="F55" s="168"/>
      <c r="G55" s="168"/>
      <c r="H55" s="168"/>
      <c r="I55" s="168"/>
      <c r="J55" s="168"/>
      <c r="K55" s="168"/>
      <c r="L55" s="168"/>
      <c r="M55" s="168"/>
      <c r="N55" s="168"/>
      <c r="O55" s="168"/>
      <c r="P55" s="168"/>
      <c r="Q55" s="201"/>
      <c r="R55" s="20"/>
      <c r="S55" s="20"/>
      <c r="T55" s="20"/>
      <c r="U55" s="20"/>
      <c r="V55" s="20"/>
      <c r="W55" s="20"/>
      <c r="X55" s="20"/>
      <c r="Y55" s="20"/>
      <c r="Z55" s="20"/>
      <c r="AA55" s="20"/>
      <c r="AB55" s="20"/>
      <c r="AC55" s="20"/>
      <c r="AD55" s="20"/>
    </row>
    <row r="56" spans="1:30">
      <c r="A56" s="193"/>
      <c r="B56" s="168"/>
      <c r="C56" s="168"/>
      <c r="D56" s="168"/>
      <c r="E56" s="168"/>
      <c r="F56" s="168"/>
      <c r="G56" s="168"/>
      <c r="H56" s="168"/>
      <c r="I56" s="168"/>
      <c r="J56" s="168"/>
      <c r="K56" s="168"/>
      <c r="L56" s="168"/>
      <c r="M56" s="168"/>
      <c r="N56" s="168"/>
      <c r="O56" s="168"/>
      <c r="P56" s="168"/>
      <c r="Q56" s="201"/>
      <c r="R56" s="20"/>
      <c r="S56" s="20"/>
      <c r="T56" s="20"/>
      <c r="U56" s="20"/>
      <c r="V56" s="20"/>
      <c r="W56" s="20"/>
      <c r="X56" s="20"/>
      <c r="Y56" s="20"/>
      <c r="Z56" s="20"/>
      <c r="AA56" s="20"/>
      <c r="AB56" s="20"/>
      <c r="AC56" s="20"/>
      <c r="AD56" s="20"/>
    </row>
    <row r="57" spans="1:30" ht="13.8" thickBot="1">
      <c r="A57" s="198"/>
      <c r="B57" s="199"/>
      <c r="C57" s="199"/>
      <c r="D57" s="199"/>
      <c r="E57" s="199"/>
      <c r="F57" s="199"/>
      <c r="G57" s="199"/>
      <c r="H57" s="199"/>
      <c r="I57" s="199"/>
      <c r="J57" s="199"/>
      <c r="K57" s="199"/>
      <c r="L57" s="199"/>
      <c r="M57" s="199"/>
      <c r="N57" s="199"/>
      <c r="O57" s="199"/>
      <c r="P57" s="199"/>
      <c r="Q57" s="205"/>
      <c r="R57" s="20"/>
      <c r="S57" s="20"/>
      <c r="T57" s="20"/>
      <c r="U57" s="20"/>
      <c r="V57" s="20"/>
      <c r="W57" s="20"/>
      <c r="X57" s="20"/>
      <c r="Y57" s="20"/>
      <c r="Z57" s="20"/>
      <c r="AA57" s="20"/>
      <c r="AB57" s="20"/>
      <c r="AC57" s="20"/>
      <c r="AD57" s="20"/>
    </row>
    <row r="58" spans="1:30" ht="13.8" thickTop="1">
      <c r="A58" s="3"/>
      <c r="B58" s="3"/>
      <c r="C58" s="3"/>
      <c r="D58" s="3"/>
      <c r="E58" s="3"/>
      <c r="F58" s="3"/>
      <c r="G58" s="3"/>
      <c r="H58" s="3"/>
      <c r="I58" s="3"/>
      <c r="J58" s="3"/>
      <c r="K58" s="3"/>
      <c r="L58" s="3"/>
      <c r="M58" s="3"/>
      <c r="N58" s="3"/>
      <c r="O58" s="3"/>
      <c r="P58" s="3"/>
      <c r="Q58" s="3"/>
      <c r="R58" s="20"/>
      <c r="S58" s="20"/>
      <c r="T58" s="20"/>
      <c r="U58" s="20"/>
      <c r="V58" s="20"/>
      <c r="W58" s="20"/>
      <c r="X58" s="20"/>
      <c r="Y58" s="20"/>
      <c r="Z58" s="20"/>
      <c r="AA58" s="20"/>
      <c r="AB58" s="20"/>
      <c r="AC58" s="20"/>
      <c r="AD58" s="20"/>
    </row>
    <row r="59" spans="1:30" s="100" customFormat="1">
      <c r="A59" s="20"/>
      <c r="B59" s="20"/>
      <c r="C59" s="20"/>
      <c r="D59" s="20"/>
      <c r="E59" s="20"/>
      <c r="F59" s="20"/>
      <c r="G59" s="20"/>
      <c r="H59" s="20"/>
      <c r="I59" s="20"/>
      <c r="J59" s="20"/>
      <c r="K59" s="20"/>
      <c r="L59" s="20"/>
      <c r="M59" s="20"/>
      <c r="N59" s="20"/>
      <c r="O59" s="20"/>
      <c r="P59" s="20"/>
      <c r="Q59" s="20"/>
      <c r="R59" s="20"/>
      <c r="S59" s="20"/>
      <c r="T59" s="20"/>
      <c r="U59" s="20"/>
      <c r="V59" s="20"/>
      <c r="W59" s="20"/>
      <c r="X59" s="20"/>
      <c r="Y59" s="20"/>
      <c r="Z59" s="20"/>
      <c r="AA59" s="20"/>
      <c r="AB59" s="20"/>
      <c r="AC59" s="20"/>
      <c r="AD59" s="20"/>
    </row>
    <row r="60" spans="1:30" s="100" customFormat="1">
      <c r="A60" s="20"/>
      <c r="B60" s="20"/>
      <c r="C60" s="20"/>
      <c r="D60" s="20"/>
      <c r="E60" s="20"/>
      <c r="F60" s="20"/>
      <c r="G60" s="20"/>
      <c r="H60" s="20"/>
      <c r="I60" s="20"/>
      <c r="J60" s="20"/>
      <c r="K60" s="20"/>
      <c r="L60" s="20"/>
      <c r="M60" s="20"/>
      <c r="N60" s="20"/>
      <c r="O60" s="20"/>
      <c r="P60" s="20"/>
      <c r="Q60" s="20"/>
      <c r="R60" s="20"/>
      <c r="S60" s="20"/>
      <c r="T60" s="20"/>
      <c r="U60" s="20"/>
      <c r="V60" s="20"/>
      <c r="W60" s="20"/>
      <c r="X60" s="20"/>
      <c r="Y60" s="20"/>
      <c r="Z60" s="20"/>
      <c r="AA60" s="20"/>
      <c r="AB60" s="20"/>
      <c r="AC60" s="20"/>
      <c r="AD60" s="20"/>
    </row>
    <row r="61" spans="1:30" s="100" customFormat="1">
      <c r="R61" s="101"/>
      <c r="S61" s="101"/>
      <c r="T61" s="101"/>
      <c r="U61" s="101"/>
      <c r="V61" s="101"/>
    </row>
    <row r="62" spans="1:30" s="100" customFormat="1">
      <c r="A62" s="102"/>
      <c r="B62" s="102"/>
      <c r="R62" s="101"/>
      <c r="S62" s="101"/>
      <c r="T62" s="101"/>
      <c r="U62" s="101"/>
      <c r="V62" s="101"/>
    </row>
    <row r="63" spans="1:30" s="100" customFormat="1">
      <c r="B63" s="103"/>
      <c r="R63" s="101"/>
      <c r="S63" s="101"/>
      <c r="T63" s="101"/>
      <c r="U63" s="101"/>
      <c r="V63" s="101"/>
    </row>
    <row r="64" spans="1:30" s="100" customFormat="1">
      <c r="B64" s="103"/>
      <c r="R64" s="104"/>
      <c r="S64" s="104"/>
      <c r="T64" s="104"/>
      <c r="U64" s="104"/>
    </row>
    <row r="65" spans="1:22" s="100" customFormat="1">
      <c r="R65" s="105"/>
      <c r="S65" s="106"/>
      <c r="T65" s="105"/>
      <c r="U65" s="106"/>
    </row>
    <row r="66" spans="1:22" s="100" customFormat="1"/>
    <row r="67" spans="1:22" s="100" customFormat="1"/>
    <row r="68" spans="1:22" s="100" customFormat="1"/>
    <row r="69" spans="1:22" s="100" customFormat="1">
      <c r="B69" s="109"/>
      <c r="C69" s="103"/>
      <c r="K69" s="103"/>
      <c r="L69" s="103"/>
      <c r="O69" s="103"/>
      <c r="P69" s="103"/>
      <c r="S69" s="106"/>
      <c r="T69" s="106"/>
      <c r="U69" s="106"/>
      <c r="V69" s="106"/>
    </row>
    <row r="70" spans="1:22" s="100" customFormat="1">
      <c r="K70" s="103"/>
      <c r="L70" s="103"/>
      <c r="O70" s="103"/>
      <c r="P70" s="103"/>
      <c r="S70" s="431"/>
      <c r="T70" s="431"/>
      <c r="U70" s="431"/>
      <c r="V70" s="431"/>
    </row>
    <row r="71" spans="1:22" s="100" customFormat="1">
      <c r="B71" s="109"/>
      <c r="C71" s="103"/>
      <c r="S71" s="107"/>
      <c r="T71" s="108"/>
      <c r="U71" s="107"/>
      <c r="V71" s="108"/>
    </row>
    <row r="72" spans="1:22" s="100" customFormat="1">
      <c r="R72" s="110"/>
      <c r="S72" s="104"/>
      <c r="T72" s="104"/>
      <c r="U72" s="104"/>
      <c r="V72" s="101"/>
    </row>
    <row r="73" spans="1:22" s="100" customFormat="1">
      <c r="B73" s="109"/>
      <c r="C73" s="103"/>
      <c r="I73" s="115"/>
      <c r="J73" s="426"/>
      <c r="K73" s="426"/>
      <c r="L73" s="426"/>
      <c r="M73" s="118"/>
      <c r="N73" s="426"/>
      <c r="O73" s="426"/>
      <c r="P73" s="426"/>
      <c r="Q73" s="118"/>
      <c r="R73" s="119"/>
      <c r="S73" s="116"/>
      <c r="T73" s="116"/>
      <c r="U73" s="119"/>
      <c r="V73" s="116"/>
    </row>
    <row r="74" spans="1:22" s="100" customFormat="1">
      <c r="C74" s="111"/>
      <c r="I74" s="115"/>
      <c r="J74" s="115"/>
      <c r="K74" s="115"/>
      <c r="L74" s="115"/>
      <c r="M74" s="115"/>
      <c r="N74" s="115"/>
      <c r="O74" s="115"/>
      <c r="P74" s="115"/>
      <c r="Q74" s="115"/>
      <c r="R74" s="116"/>
      <c r="S74" s="116"/>
      <c r="T74" s="116"/>
      <c r="U74" s="116"/>
      <c r="V74" s="116"/>
    </row>
    <row r="75" spans="1:22" s="100" customFormat="1">
      <c r="I75" s="115"/>
      <c r="J75" s="115"/>
      <c r="K75" s="115"/>
      <c r="L75" s="115"/>
      <c r="M75" s="115"/>
      <c r="N75" s="115"/>
      <c r="O75" s="115"/>
      <c r="P75" s="115"/>
      <c r="Q75" s="115"/>
      <c r="R75" s="116"/>
      <c r="S75" s="116"/>
      <c r="T75" s="116"/>
      <c r="U75" s="116"/>
      <c r="V75" s="116"/>
    </row>
    <row r="76" spans="1:22" s="100" customFormat="1">
      <c r="B76" s="109"/>
      <c r="C76" s="103"/>
      <c r="I76" s="115"/>
      <c r="J76" s="115"/>
      <c r="K76" s="115"/>
      <c r="L76" s="115"/>
      <c r="M76" s="115"/>
      <c r="N76" s="427"/>
      <c r="O76" s="427"/>
      <c r="P76" s="427"/>
      <c r="Q76" s="118"/>
      <c r="R76" s="116"/>
      <c r="S76" s="120"/>
      <c r="T76" s="116"/>
      <c r="U76" s="116"/>
      <c r="V76" s="116"/>
    </row>
    <row r="77" spans="1:22" s="100" customFormat="1">
      <c r="C77" s="111"/>
      <c r="I77" s="115"/>
      <c r="J77" s="115"/>
      <c r="K77" s="115"/>
      <c r="L77" s="115"/>
      <c r="M77" s="115"/>
      <c r="N77" s="115"/>
      <c r="O77" s="115"/>
      <c r="P77" s="115"/>
      <c r="Q77" s="115"/>
      <c r="R77" s="116"/>
      <c r="S77" s="120"/>
      <c r="T77" s="116"/>
      <c r="U77" s="116"/>
      <c r="V77" s="116"/>
    </row>
    <row r="78" spans="1:22" s="100" customFormat="1">
      <c r="I78" s="115"/>
      <c r="J78" s="115"/>
      <c r="K78" s="115"/>
      <c r="L78" s="115"/>
      <c r="M78" s="115"/>
      <c r="N78" s="115"/>
      <c r="O78" s="115"/>
      <c r="P78" s="115"/>
      <c r="Q78" s="115"/>
      <c r="R78" s="116"/>
      <c r="S78" s="116"/>
      <c r="T78" s="116"/>
      <c r="U78" s="116"/>
      <c r="V78" s="116"/>
    </row>
    <row r="79" spans="1:22" s="100" customFormat="1">
      <c r="A79" s="102"/>
      <c r="B79" s="102"/>
      <c r="I79" s="115"/>
      <c r="J79" s="115"/>
      <c r="K79" s="115"/>
      <c r="L79" s="115"/>
      <c r="M79" s="115"/>
      <c r="N79" s="115"/>
      <c r="O79" s="115"/>
      <c r="P79" s="115"/>
      <c r="Q79" s="115"/>
      <c r="R79" s="116"/>
      <c r="S79" s="116"/>
      <c r="T79" s="116"/>
      <c r="U79" s="116"/>
      <c r="V79" s="116"/>
    </row>
    <row r="80" spans="1:22" s="100" customFormat="1">
      <c r="C80" s="112"/>
      <c r="I80" s="115"/>
      <c r="J80" s="115"/>
      <c r="K80" s="115"/>
      <c r="L80" s="115"/>
      <c r="M80" s="115"/>
      <c r="N80" s="115"/>
      <c r="O80" s="115"/>
      <c r="P80" s="115"/>
      <c r="Q80" s="115"/>
      <c r="R80" s="116"/>
      <c r="S80" s="116"/>
      <c r="T80" s="116"/>
      <c r="U80" s="116"/>
      <c r="V80" s="116"/>
    </row>
    <row r="81" spans="1:24" s="100" customFormat="1">
      <c r="C81" s="103"/>
      <c r="I81" s="115"/>
      <c r="J81" s="115"/>
      <c r="K81" s="115"/>
      <c r="L81" s="115"/>
      <c r="M81" s="115"/>
      <c r="N81" s="115"/>
      <c r="O81" s="115"/>
      <c r="P81" s="115"/>
      <c r="Q81" s="115"/>
      <c r="R81" s="116"/>
      <c r="S81" s="116"/>
      <c r="T81" s="116"/>
      <c r="U81" s="116"/>
      <c r="V81" s="116"/>
    </row>
    <row r="82" spans="1:24" s="100" customFormat="1">
      <c r="I82" s="115"/>
      <c r="J82" s="115"/>
      <c r="K82" s="115"/>
      <c r="L82" s="115"/>
      <c r="M82" s="115"/>
      <c r="N82" s="115"/>
      <c r="O82" s="115"/>
      <c r="P82" s="115"/>
      <c r="Q82" s="115"/>
      <c r="R82" s="116"/>
      <c r="S82" s="116"/>
      <c r="T82" s="116"/>
      <c r="U82" s="116"/>
      <c r="V82" s="116"/>
    </row>
    <row r="83" spans="1:24" s="100" customFormat="1">
      <c r="B83" s="109"/>
      <c r="C83" s="103"/>
      <c r="I83" s="115"/>
      <c r="J83" s="115"/>
      <c r="K83" s="115"/>
      <c r="L83" s="115"/>
      <c r="M83" s="115"/>
      <c r="N83" s="115"/>
      <c r="O83" s="115"/>
      <c r="P83" s="115"/>
      <c r="Q83" s="115"/>
      <c r="R83" s="116"/>
      <c r="S83" s="116"/>
      <c r="T83" s="116"/>
      <c r="U83" s="119"/>
      <c r="V83" s="116"/>
    </row>
    <row r="84" spans="1:24" s="100" customFormat="1">
      <c r="C84" s="103"/>
      <c r="I84" s="115"/>
      <c r="J84" s="121"/>
      <c r="K84" s="117"/>
      <c r="L84" s="121"/>
      <c r="M84" s="122"/>
      <c r="N84" s="121"/>
      <c r="O84" s="117"/>
      <c r="P84" s="121"/>
      <c r="Q84" s="122"/>
      <c r="R84" s="116"/>
      <c r="S84" s="116"/>
      <c r="T84" s="116"/>
      <c r="U84" s="116"/>
      <c r="V84" s="116"/>
    </row>
    <row r="85" spans="1:24" s="100" customFormat="1">
      <c r="I85" s="115"/>
      <c r="J85" s="115"/>
      <c r="K85" s="115"/>
      <c r="L85" s="115"/>
      <c r="M85" s="115"/>
      <c r="N85" s="115"/>
      <c r="O85" s="115"/>
      <c r="P85" s="115"/>
      <c r="Q85" s="115"/>
      <c r="R85" s="116"/>
      <c r="S85" s="116"/>
      <c r="T85" s="116"/>
      <c r="U85" s="116"/>
      <c r="V85" s="116"/>
    </row>
    <row r="86" spans="1:24" s="100" customFormat="1">
      <c r="B86" s="109"/>
      <c r="C86" s="103"/>
      <c r="I86" s="115"/>
      <c r="J86" s="121"/>
      <c r="K86" s="117"/>
      <c r="L86" s="121"/>
      <c r="M86" s="122"/>
      <c r="N86" s="121"/>
      <c r="O86" s="117"/>
      <c r="P86" s="121"/>
      <c r="Q86" s="122"/>
      <c r="R86" s="116"/>
      <c r="S86" s="120"/>
      <c r="T86" s="116"/>
      <c r="U86" s="116"/>
      <c r="V86" s="116"/>
    </row>
    <row r="87" spans="1:24" s="100" customFormat="1">
      <c r="C87" s="103"/>
      <c r="I87" s="115"/>
      <c r="J87" s="115"/>
      <c r="K87" s="115"/>
      <c r="L87" s="115"/>
      <c r="M87" s="115"/>
      <c r="N87" s="115"/>
      <c r="O87" s="115"/>
      <c r="P87" s="115"/>
      <c r="Q87" s="115"/>
      <c r="R87" s="116"/>
      <c r="S87" s="120"/>
      <c r="T87" s="116"/>
      <c r="U87" s="116"/>
      <c r="V87" s="116"/>
    </row>
    <row r="88" spans="1:24" s="100" customFormat="1">
      <c r="I88" s="115"/>
      <c r="J88" s="115"/>
      <c r="K88" s="115"/>
      <c r="L88" s="115"/>
      <c r="M88" s="115"/>
      <c r="N88" s="115"/>
      <c r="O88" s="115"/>
      <c r="P88" s="115"/>
      <c r="Q88" s="115"/>
      <c r="R88" s="116"/>
      <c r="S88" s="116"/>
      <c r="T88" s="116"/>
      <c r="U88" s="116"/>
      <c r="V88" s="116"/>
      <c r="X88" s="113"/>
    </row>
    <row r="89" spans="1:24" s="100" customFormat="1">
      <c r="B89" s="109"/>
      <c r="C89" s="114"/>
      <c r="I89" s="115"/>
      <c r="J89" s="115"/>
      <c r="K89" s="115"/>
      <c r="L89" s="115"/>
      <c r="M89" s="115"/>
      <c r="N89" s="426"/>
      <c r="O89" s="426"/>
      <c r="P89" s="426"/>
      <c r="Q89" s="118"/>
      <c r="R89" s="116"/>
      <c r="S89" s="116"/>
      <c r="T89" s="116"/>
      <c r="U89" s="116"/>
      <c r="V89" s="116"/>
    </row>
    <row r="90" spans="1:24" s="100" customFormat="1">
      <c r="I90" s="115"/>
      <c r="J90" s="115"/>
      <c r="K90" s="115"/>
      <c r="L90" s="115"/>
      <c r="M90" s="115"/>
      <c r="N90" s="115"/>
      <c r="O90" s="115"/>
      <c r="P90" s="115"/>
      <c r="Q90" s="115"/>
      <c r="R90" s="116"/>
      <c r="S90" s="116"/>
      <c r="T90" s="116"/>
      <c r="U90" s="116"/>
      <c r="V90" s="116"/>
    </row>
    <row r="91" spans="1:24" s="100" customFormat="1">
      <c r="A91" s="102"/>
      <c r="B91" s="102"/>
      <c r="I91" s="115"/>
      <c r="J91" s="115"/>
      <c r="K91" s="115"/>
      <c r="L91" s="115"/>
      <c r="M91" s="115"/>
      <c r="N91" s="115"/>
      <c r="O91" s="115"/>
      <c r="P91" s="115"/>
      <c r="Q91" s="115"/>
      <c r="R91" s="116"/>
      <c r="S91" s="116"/>
      <c r="T91" s="116"/>
      <c r="U91" s="116"/>
      <c r="V91" s="116"/>
    </row>
    <row r="92" spans="1:24" s="100" customFormat="1">
      <c r="B92" s="103"/>
      <c r="I92" s="115"/>
      <c r="J92" s="115"/>
      <c r="K92" s="115"/>
      <c r="L92" s="115"/>
      <c r="M92" s="115"/>
      <c r="N92" s="115"/>
      <c r="O92" s="115"/>
      <c r="P92" s="115"/>
      <c r="Q92" s="115"/>
      <c r="R92" s="115"/>
      <c r="S92" s="115"/>
      <c r="T92" s="115"/>
      <c r="U92" s="115"/>
      <c r="V92" s="115"/>
    </row>
    <row r="93" spans="1:24" s="100" customFormat="1">
      <c r="I93" s="115"/>
      <c r="J93" s="115"/>
      <c r="K93" s="115"/>
      <c r="L93" s="115"/>
      <c r="M93" s="115"/>
      <c r="N93" s="115"/>
      <c r="O93" s="115"/>
      <c r="P93" s="115"/>
      <c r="Q93" s="115"/>
      <c r="R93" s="115"/>
      <c r="S93" s="115"/>
      <c r="T93" s="116"/>
      <c r="U93" s="116"/>
      <c r="V93" s="116"/>
      <c r="W93" s="101"/>
      <c r="X93" s="101"/>
    </row>
    <row r="94" spans="1:24" s="100" customFormat="1">
      <c r="B94" s="109"/>
      <c r="C94" s="103"/>
      <c r="I94" s="115"/>
      <c r="J94" s="115"/>
      <c r="K94" s="115"/>
      <c r="L94" s="115"/>
      <c r="M94" s="115"/>
      <c r="N94" s="425"/>
      <c r="O94" s="425"/>
      <c r="P94" s="425"/>
      <c r="Q94" s="118"/>
      <c r="R94" s="115"/>
      <c r="S94" s="115"/>
      <c r="T94" s="116"/>
      <c r="U94" s="116"/>
      <c r="V94" s="116"/>
      <c r="W94" s="101"/>
      <c r="X94" s="101"/>
    </row>
    <row r="95" spans="1:24" s="100" customFormat="1">
      <c r="I95" s="115"/>
      <c r="J95" s="115"/>
      <c r="K95" s="115"/>
      <c r="L95" s="115"/>
      <c r="M95" s="115"/>
      <c r="N95" s="115"/>
      <c r="O95" s="115"/>
      <c r="P95" s="115"/>
      <c r="Q95" s="115"/>
      <c r="R95" s="123"/>
      <c r="S95" s="115"/>
      <c r="T95" s="116"/>
      <c r="U95" s="116"/>
      <c r="V95" s="116"/>
      <c r="W95" s="101"/>
      <c r="X95" s="101"/>
    </row>
    <row r="96" spans="1:24" s="100" customFormat="1">
      <c r="B96" s="109"/>
      <c r="C96" s="103"/>
      <c r="I96" s="115"/>
      <c r="J96" s="115"/>
      <c r="K96" s="115"/>
      <c r="L96" s="115"/>
      <c r="M96" s="115"/>
      <c r="N96" s="425"/>
      <c r="O96" s="425"/>
      <c r="P96" s="425"/>
      <c r="Q96" s="118"/>
      <c r="R96" s="115"/>
      <c r="S96" s="115"/>
      <c r="T96" s="116"/>
      <c r="U96" s="116"/>
      <c r="V96" s="116"/>
      <c r="W96" s="101"/>
      <c r="X96" s="101"/>
    </row>
    <row r="97" spans="2:24" s="100" customFormat="1">
      <c r="I97" s="115"/>
      <c r="J97" s="115"/>
      <c r="K97" s="115"/>
      <c r="L97" s="115"/>
      <c r="M97" s="115"/>
      <c r="N97" s="115"/>
      <c r="O97" s="115"/>
      <c r="P97" s="115"/>
      <c r="Q97" s="115"/>
      <c r="R97" s="115"/>
      <c r="S97" s="115"/>
      <c r="T97" s="116"/>
      <c r="U97" s="116"/>
      <c r="V97" s="116"/>
      <c r="W97" s="101"/>
      <c r="X97" s="101"/>
    </row>
    <row r="98" spans="2:24" s="100" customFormat="1">
      <c r="B98" s="109"/>
      <c r="C98" s="103"/>
      <c r="I98" s="115"/>
      <c r="J98" s="115"/>
      <c r="K98" s="115"/>
      <c r="L98" s="115"/>
      <c r="M98" s="115"/>
      <c r="N98" s="426"/>
      <c r="O98" s="426"/>
      <c r="P98" s="426"/>
      <c r="Q98" s="115"/>
      <c r="R98" s="115"/>
      <c r="S98" s="115"/>
      <c r="T98" s="115"/>
      <c r="U98" s="115"/>
      <c r="V98" s="115"/>
    </row>
    <row r="99" spans="2:24" s="100" customFormat="1">
      <c r="I99" s="115"/>
      <c r="J99" s="115"/>
      <c r="K99" s="115"/>
      <c r="L99" s="115"/>
      <c r="M99" s="115"/>
      <c r="N99" s="115"/>
      <c r="O99" s="115"/>
      <c r="P99" s="115"/>
      <c r="Q99" s="115"/>
      <c r="R99" s="115"/>
      <c r="S99" s="115"/>
      <c r="T99" s="115"/>
      <c r="U99" s="115"/>
      <c r="V99" s="115"/>
    </row>
    <row r="100" spans="2:24" s="100" customFormat="1">
      <c r="B100" s="109"/>
      <c r="C100" s="103"/>
      <c r="I100" s="115"/>
      <c r="J100" s="115"/>
      <c r="K100" s="115"/>
      <c r="L100" s="115"/>
      <c r="M100" s="115"/>
      <c r="N100" s="115"/>
      <c r="O100" s="115"/>
      <c r="P100" s="115"/>
      <c r="Q100" s="115"/>
      <c r="R100" s="115"/>
      <c r="S100" s="115"/>
      <c r="T100" s="115"/>
      <c r="U100" s="115"/>
      <c r="V100" s="115"/>
    </row>
    <row r="101" spans="2:24" s="100" customFormat="1">
      <c r="I101" s="115"/>
      <c r="J101" s="115"/>
      <c r="K101" s="115"/>
      <c r="L101" s="115"/>
      <c r="M101" s="115"/>
      <c r="N101" s="115"/>
      <c r="O101" s="115"/>
      <c r="P101" s="115"/>
      <c r="Q101" s="115"/>
      <c r="R101" s="115"/>
      <c r="S101" s="115"/>
      <c r="T101" s="115"/>
      <c r="U101" s="115"/>
      <c r="V101" s="115"/>
    </row>
    <row r="102" spans="2:24" s="100" customFormat="1">
      <c r="I102" s="115"/>
      <c r="J102" s="115"/>
      <c r="K102" s="115"/>
      <c r="L102" s="115"/>
      <c r="M102" s="115"/>
      <c r="N102" s="115"/>
      <c r="O102" s="115"/>
      <c r="P102" s="115"/>
      <c r="Q102" s="115"/>
      <c r="R102" s="115"/>
      <c r="S102" s="115"/>
      <c r="T102" s="115"/>
      <c r="U102" s="115"/>
      <c r="V102" s="115"/>
    </row>
    <row r="103" spans="2:24" s="100" customFormat="1">
      <c r="I103" s="115"/>
      <c r="J103" s="115"/>
      <c r="K103" s="115"/>
      <c r="L103" s="115"/>
      <c r="M103" s="115"/>
      <c r="N103" s="115"/>
      <c r="O103" s="115"/>
      <c r="P103" s="115"/>
      <c r="Q103" s="115"/>
      <c r="R103" s="115"/>
      <c r="S103" s="115"/>
      <c r="T103" s="115"/>
      <c r="U103" s="115"/>
      <c r="V103" s="115"/>
    </row>
    <row r="104" spans="2:24" s="100" customFormat="1">
      <c r="I104" s="115"/>
      <c r="J104" s="115"/>
      <c r="K104" s="115"/>
      <c r="L104" s="115"/>
      <c r="M104" s="115"/>
      <c r="N104" s="115"/>
      <c r="O104" s="115"/>
      <c r="P104" s="115"/>
      <c r="Q104" s="115"/>
      <c r="R104" s="115"/>
      <c r="S104" s="115"/>
      <c r="T104" s="115"/>
      <c r="U104" s="115"/>
      <c r="V104" s="115"/>
    </row>
    <row r="105" spans="2:24" s="100" customFormat="1">
      <c r="I105" s="115"/>
      <c r="J105" s="115"/>
      <c r="K105" s="115"/>
      <c r="L105" s="115"/>
      <c r="M105" s="115"/>
      <c r="N105" s="115"/>
      <c r="O105" s="115"/>
      <c r="P105" s="115"/>
      <c r="Q105" s="115"/>
      <c r="R105" s="115"/>
      <c r="S105" s="115"/>
      <c r="T105" s="115"/>
      <c r="U105" s="115"/>
      <c r="V105" s="115"/>
    </row>
    <row r="106" spans="2:24" s="100" customFormat="1">
      <c r="I106" s="115"/>
      <c r="J106" s="115"/>
      <c r="K106" s="115"/>
      <c r="L106" s="115"/>
      <c r="M106" s="115"/>
      <c r="N106" s="115"/>
      <c r="O106" s="115"/>
      <c r="P106" s="115"/>
      <c r="Q106" s="115"/>
      <c r="R106" s="115"/>
      <c r="S106" s="115"/>
      <c r="T106" s="115"/>
      <c r="U106" s="115"/>
      <c r="V106" s="115"/>
    </row>
    <row r="107" spans="2:24" s="100" customFormat="1">
      <c r="I107" s="115"/>
      <c r="J107" s="115"/>
      <c r="K107" s="115"/>
      <c r="L107" s="115"/>
      <c r="M107" s="115"/>
      <c r="N107" s="115"/>
      <c r="O107" s="115"/>
      <c r="P107" s="115"/>
      <c r="Q107" s="115"/>
      <c r="R107" s="115"/>
      <c r="S107" s="115"/>
      <c r="T107" s="115"/>
      <c r="U107" s="115"/>
      <c r="V107" s="115"/>
    </row>
    <row r="108" spans="2:24" s="100" customFormat="1">
      <c r="I108" s="115"/>
      <c r="J108" s="115"/>
      <c r="K108" s="115"/>
      <c r="L108" s="115"/>
      <c r="M108" s="115"/>
      <c r="N108" s="115"/>
      <c r="O108" s="115"/>
      <c r="P108" s="115"/>
      <c r="Q108" s="115"/>
      <c r="R108" s="115"/>
      <c r="S108" s="115"/>
      <c r="T108" s="115"/>
      <c r="U108" s="115"/>
      <c r="V108" s="115"/>
    </row>
    <row r="109" spans="2:24" s="100" customFormat="1"/>
    <row r="110" spans="2:24" s="100" customFormat="1"/>
    <row r="111" spans="2:24" s="100" customFormat="1"/>
    <row r="112" spans="2:24" s="100" customFormat="1"/>
    <row r="113" spans="1:30" s="100" customFormat="1"/>
    <row r="114" spans="1:30" s="100" customFormat="1"/>
    <row r="115" spans="1:30" s="100" customFormat="1"/>
    <row r="116" spans="1:30" s="100" customFormat="1"/>
    <row r="117" spans="1:30">
      <c r="A117" s="20"/>
      <c r="B117" s="20"/>
      <c r="C117" s="20"/>
      <c r="D117" s="20"/>
      <c r="E117" s="20"/>
      <c r="F117" s="20"/>
      <c r="G117" s="20"/>
      <c r="H117" s="20"/>
      <c r="I117" s="20"/>
      <c r="J117" s="20"/>
      <c r="K117" s="20"/>
      <c r="L117" s="20"/>
      <c r="M117" s="20"/>
      <c r="N117" s="20"/>
      <c r="O117" s="20"/>
      <c r="P117" s="20"/>
      <c r="Q117" s="20"/>
      <c r="R117" s="20"/>
      <c r="S117" s="20"/>
      <c r="T117" s="20"/>
      <c r="U117" s="20"/>
      <c r="V117" s="20"/>
      <c r="W117" s="20"/>
      <c r="X117" s="20"/>
      <c r="Y117" s="20"/>
      <c r="Z117" s="20"/>
      <c r="AA117" s="20"/>
      <c r="AB117" s="20"/>
      <c r="AC117" s="20"/>
      <c r="AD117" s="20"/>
    </row>
    <row r="118" spans="1:30">
      <c r="A118" s="20"/>
      <c r="B118" s="20"/>
      <c r="C118" s="20"/>
      <c r="D118" s="20"/>
      <c r="E118" s="20"/>
      <c r="F118" s="20"/>
      <c r="G118" s="20"/>
      <c r="H118" s="20"/>
      <c r="I118" s="20"/>
      <c r="J118" s="20"/>
      <c r="K118" s="20"/>
      <c r="L118" s="20"/>
      <c r="M118" s="20"/>
      <c r="N118" s="20"/>
      <c r="O118" s="20"/>
      <c r="P118" s="20"/>
      <c r="Q118" s="20"/>
      <c r="R118" s="20"/>
      <c r="S118" s="20"/>
      <c r="T118" s="20"/>
      <c r="U118" s="20"/>
      <c r="V118" s="20"/>
      <c r="W118" s="20"/>
      <c r="X118" s="20"/>
      <c r="Y118" s="20"/>
      <c r="Z118" s="20"/>
      <c r="AA118" s="20"/>
      <c r="AB118" s="20"/>
      <c r="AC118" s="20"/>
      <c r="AD118" s="20"/>
    </row>
    <row r="119" spans="1:30">
      <c r="A119" s="20"/>
      <c r="B119" s="20"/>
      <c r="C119" s="20"/>
      <c r="D119" s="20"/>
      <c r="E119" s="20"/>
      <c r="F119" s="20"/>
      <c r="G119" s="20"/>
      <c r="H119" s="20"/>
      <c r="I119" s="20"/>
      <c r="J119" s="20"/>
      <c r="K119" s="20"/>
      <c r="L119" s="20"/>
      <c r="M119" s="20"/>
      <c r="N119" s="20"/>
      <c r="O119" s="20"/>
      <c r="P119" s="20"/>
      <c r="Q119" s="20"/>
      <c r="R119" s="20"/>
      <c r="S119" s="20"/>
      <c r="T119" s="20"/>
      <c r="U119" s="20"/>
      <c r="V119" s="20"/>
      <c r="W119" s="20"/>
      <c r="X119" s="20"/>
      <c r="Y119" s="20"/>
      <c r="Z119" s="20"/>
      <c r="AA119" s="20"/>
      <c r="AB119" s="20"/>
      <c r="AC119" s="20"/>
      <c r="AD119" s="20"/>
    </row>
    <row r="120" spans="1:30">
      <c r="A120" s="20"/>
      <c r="B120" s="20"/>
      <c r="C120" s="20"/>
      <c r="D120" s="20"/>
      <c r="E120" s="20"/>
      <c r="F120" s="20"/>
      <c r="G120" s="20"/>
      <c r="H120" s="20"/>
      <c r="I120" s="20"/>
      <c r="J120" s="20"/>
      <c r="K120" s="20"/>
      <c r="L120" s="20"/>
      <c r="M120" s="20"/>
      <c r="N120" s="20"/>
      <c r="O120" s="20"/>
      <c r="P120" s="20"/>
      <c r="Q120" s="20"/>
      <c r="R120" s="20"/>
      <c r="S120" s="20"/>
      <c r="T120" s="20"/>
      <c r="U120" s="20"/>
      <c r="V120" s="20"/>
      <c r="W120" s="20"/>
      <c r="X120" s="20"/>
      <c r="Y120" s="20"/>
      <c r="Z120" s="20"/>
      <c r="AA120" s="20"/>
      <c r="AB120" s="20"/>
      <c r="AC120" s="20"/>
      <c r="AD120" s="20"/>
    </row>
    <row r="121" spans="1:30">
      <c r="A121" s="20"/>
      <c r="B121" s="20"/>
      <c r="C121" s="20"/>
      <c r="D121" s="20"/>
      <c r="E121" s="20"/>
      <c r="F121" s="20"/>
      <c r="G121" s="20"/>
      <c r="H121" s="20"/>
      <c r="I121" s="20"/>
      <c r="J121" s="20"/>
      <c r="K121" s="20"/>
      <c r="L121" s="20"/>
      <c r="M121" s="20"/>
      <c r="N121" s="20"/>
      <c r="O121" s="20"/>
      <c r="P121" s="20"/>
      <c r="Q121" s="20"/>
      <c r="R121" s="20"/>
      <c r="S121" s="20"/>
      <c r="T121" s="20"/>
      <c r="U121" s="20"/>
      <c r="V121" s="20"/>
      <c r="W121" s="20"/>
      <c r="X121" s="20"/>
      <c r="Y121" s="20"/>
      <c r="Z121" s="20"/>
      <c r="AA121" s="20"/>
      <c r="AB121" s="20"/>
      <c r="AC121" s="20"/>
      <c r="AD121" s="20"/>
    </row>
    <row r="122" spans="1:30">
      <c r="A122" s="20"/>
      <c r="B122" s="20"/>
      <c r="C122" s="20"/>
      <c r="D122" s="20"/>
      <c r="E122" s="20"/>
      <c r="F122" s="20"/>
      <c r="G122" s="20"/>
      <c r="H122" s="20"/>
      <c r="I122" s="20"/>
      <c r="J122" s="20"/>
      <c r="K122" s="20"/>
      <c r="L122" s="20"/>
      <c r="M122" s="20"/>
      <c r="N122" s="20"/>
      <c r="O122" s="20"/>
      <c r="P122" s="20"/>
      <c r="Q122" s="20"/>
      <c r="R122" s="20"/>
      <c r="S122" s="20"/>
      <c r="T122" s="20"/>
      <c r="U122" s="20"/>
      <c r="V122" s="20"/>
      <c r="W122" s="20"/>
      <c r="X122" s="20"/>
      <c r="Y122" s="20"/>
      <c r="Z122" s="20"/>
      <c r="AA122" s="20"/>
      <c r="AB122" s="20"/>
      <c r="AC122" s="20"/>
      <c r="AD122" s="20"/>
    </row>
    <row r="123" spans="1:30">
      <c r="A123" s="20"/>
      <c r="B123" s="20"/>
      <c r="C123" s="20"/>
      <c r="D123" s="20"/>
      <c r="E123" s="20"/>
      <c r="F123" s="20"/>
      <c r="G123" s="20"/>
      <c r="H123" s="20"/>
      <c r="I123" s="20"/>
      <c r="J123" s="20"/>
      <c r="K123" s="20"/>
      <c r="L123" s="20"/>
      <c r="M123" s="20"/>
      <c r="N123" s="20"/>
      <c r="O123" s="20"/>
      <c r="P123" s="20"/>
      <c r="Q123" s="20"/>
      <c r="R123" s="20"/>
      <c r="S123" s="20"/>
      <c r="T123" s="20"/>
      <c r="U123" s="20"/>
      <c r="V123" s="20"/>
      <c r="W123" s="20"/>
      <c r="X123" s="20"/>
      <c r="Y123" s="20"/>
      <c r="Z123" s="20"/>
      <c r="AA123" s="20"/>
      <c r="AB123" s="20"/>
      <c r="AC123" s="20"/>
      <c r="AD123" s="20"/>
    </row>
    <row r="124" spans="1:30">
      <c r="A124" s="20"/>
      <c r="B124" s="20"/>
      <c r="C124" s="20"/>
      <c r="D124" s="20"/>
      <c r="E124" s="20"/>
      <c r="F124" s="20"/>
      <c r="G124" s="20"/>
      <c r="H124" s="20"/>
      <c r="I124" s="20"/>
      <c r="J124" s="20"/>
      <c r="K124" s="20"/>
      <c r="L124" s="20"/>
      <c r="M124" s="20"/>
      <c r="N124" s="20"/>
      <c r="O124" s="20"/>
      <c r="P124" s="20"/>
      <c r="Q124" s="20"/>
      <c r="R124" s="20"/>
      <c r="S124" s="20"/>
      <c r="T124" s="20"/>
      <c r="U124" s="20"/>
      <c r="V124" s="20"/>
      <c r="W124" s="20"/>
      <c r="X124" s="20"/>
      <c r="Y124" s="20"/>
      <c r="Z124" s="20"/>
      <c r="AA124" s="20"/>
      <c r="AB124" s="20"/>
      <c r="AC124" s="20"/>
      <c r="AD124" s="20"/>
    </row>
    <row r="125" spans="1:30">
      <c r="A125" s="20"/>
      <c r="B125" s="20"/>
      <c r="C125" s="20"/>
      <c r="D125" s="20"/>
      <c r="E125" s="20"/>
      <c r="F125" s="20"/>
      <c r="G125" s="20"/>
      <c r="H125" s="20"/>
      <c r="I125" s="20"/>
      <c r="J125" s="20"/>
      <c r="K125" s="20"/>
      <c r="L125" s="20"/>
      <c r="M125" s="20"/>
      <c r="N125" s="20"/>
      <c r="O125" s="20"/>
      <c r="P125" s="20"/>
      <c r="Q125" s="20"/>
      <c r="R125" s="20"/>
      <c r="S125" s="20"/>
      <c r="T125" s="20"/>
      <c r="U125" s="20"/>
      <c r="V125" s="20"/>
      <c r="W125" s="20"/>
      <c r="X125" s="20"/>
      <c r="Y125" s="20"/>
      <c r="Z125" s="20"/>
      <c r="AA125" s="20"/>
      <c r="AB125" s="20"/>
      <c r="AC125" s="20"/>
      <c r="AD125" s="20"/>
    </row>
    <row r="126" spans="1:30">
      <c r="A126" s="20"/>
      <c r="B126" s="20"/>
      <c r="C126" s="20"/>
      <c r="D126" s="20"/>
      <c r="E126" s="20"/>
      <c r="F126" s="20"/>
      <c r="G126" s="20"/>
      <c r="H126" s="20"/>
      <c r="I126" s="20"/>
      <c r="J126" s="20"/>
      <c r="K126" s="20"/>
      <c r="L126" s="20"/>
      <c r="M126" s="20"/>
      <c r="N126" s="20"/>
      <c r="O126" s="20"/>
      <c r="P126" s="20"/>
      <c r="Q126" s="20"/>
      <c r="R126" s="20"/>
      <c r="S126" s="20"/>
      <c r="T126" s="20"/>
      <c r="U126" s="20"/>
      <c r="V126" s="20"/>
      <c r="W126" s="20"/>
      <c r="X126" s="20"/>
      <c r="Y126" s="20"/>
      <c r="Z126" s="20"/>
      <c r="AA126" s="20"/>
      <c r="AB126" s="20"/>
      <c r="AC126" s="20"/>
      <c r="AD126" s="20"/>
    </row>
    <row r="127" spans="1:30">
      <c r="A127" s="20"/>
      <c r="B127" s="20"/>
      <c r="C127" s="20"/>
      <c r="D127" s="20"/>
      <c r="E127" s="20"/>
      <c r="F127" s="20"/>
      <c r="G127" s="20"/>
      <c r="H127" s="20"/>
      <c r="I127" s="20"/>
      <c r="J127" s="20"/>
      <c r="K127" s="20"/>
      <c r="L127" s="20"/>
      <c r="M127" s="20"/>
      <c r="N127" s="20"/>
      <c r="O127" s="20"/>
      <c r="P127" s="20"/>
      <c r="Q127" s="20"/>
      <c r="R127" s="20"/>
      <c r="S127" s="20"/>
      <c r="T127" s="20"/>
      <c r="U127" s="20"/>
      <c r="V127" s="20"/>
      <c r="W127" s="20"/>
      <c r="X127" s="20"/>
      <c r="Y127" s="20"/>
      <c r="Z127" s="20"/>
      <c r="AA127" s="20"/>
      <c r="AB127" s="20"/>
      <c r="AC127" s="20"/>
      <c r="AD127" s="20"/>
    </row>
    <row r="128" spans="1:30">
      <c r="A128" s="20"/>
      <c r="B128" s="20"/>
      <c r="C128" s="20"/>
      <c r="D128" s="20"/>
      <c r="E128" s="20"/>
      <c r="F128" s="20"/>
      <c r="G128" s="20"/>
      <c r="H128" s="20"/>
      <c r="I128" s="20"/>
      <c r="J128" s="20"/>
      <c r="K128" s="20"/>
      <c r="L128" s="20"/>
      <c r="M128" s="20"/>
      <c r="N128" s="20"/>
      <c r="O128" s="20"/>
      <c r="P128" s="20"/>
      <c r="Q128" s="20"/>
      <c r="R128" s="20"/>
      <c r="S128" s="20"/>
      <c r="T128" s="20"/>
      <c r="U128" s="20"/>
      <c r="V128" s="20"/>
      <c r="W128" s="20"/>
      <c r="X128" s="20"/>
      <c r="Y128" s="20"/>
      <c r="Z128" s="20"/>
      <c r="AA128" s="20"/>
      <c r="AB128" s="20"/>
      <c r="AC128" s="20"/>
      <c r="AD128" s="20"/>
    </row>
    <row r="129" spans="1:30">
      <c r="A129" s="20"/>
      <c r="B129" s="20"/>
      <c r="C129" s="20"/>
      <c r="D129" s="20"/>
      <c r="E129" s="20"/>
      <c r="F129" s="20"/>
      <c r="G129" s="20"/>
      <c r="H129" s="20"/>
      <c r="I129" s="20"/>
      <c r="J129" s="20"/>
      <c r="K129" s="20"/>
      <c r="L129" s="20"/>
      <c r="M129" s="20"/>
      <c r="N129" s="20"/>
      <c r="O129" s="20"/>
      <c r="P129" s="20"/>
      <c r="Q129" s="20"/>
      <c r="R129" s="20"/>
      <c r="S129" s="20"/>
      <c r="T129" s="20"/>
      <c r="U129" s="20"/>
      <c r="V129" s="20"/>
      <c r="W129" s="20"/>
      <c r="X129" s="20"/>
      <c r="Y129" s="20"/>
      <c r="Z129" s="20"/>
      <c r="AA129" s="20"/>
      <c r="AB129" s="20"/>
      <c r="AC129" s="20"/>
      <c r="AD129" s="20"/>
    </row>
    <row r="130" spans="1:30">
      <c r="A130" s="20"/>
      <c r="B130" s="20"/>
      <c r="C130" s="20"/>
      <c r="D130" s="20"/>
      <c r="E130" s="20"/>
      <c r="F130" s="20"/>
      <c r="G130" s="20"/>
      <c r="H130" s="20"/>
      <c r="I130" s="20"/>
      <c r="J130" s="20"/>
      <c r="K130" s="20"/>
      <c r="L130" s="20"/>
      <c r="M130" s="20"/>
      <c r="N130" s="20"/>
      <c r="O130" s="20"/>
      <c r="P130" s="20"/>
      <c r="Q130" s="20"/>
      <c r="R130" s="20"/>
      <c r="S130" s="20"/>
      <c r="T130" s="20"/>
      <c r="U130" s="20"/>
      <c r="V130" s="20"/>
      <c r="W130" s="20"/>
      <c r="X130" s="20"/>
      <c r="Y130" s="20"/>
      <c r="Z130" s="20"/>
      <c r="AA130" s="20"/>
      <c r="AB130" s="20"/>
      <c r="AC130" s="20"/>
      <c r="AD130" s="20"/>
    </row>
    <row r="131" spans="1:30">
      <c r="A131" s="20"/>
      <c r="B131" s="20"/>
      <c r="C131" s="20"/>
      <c r="D131" s="20"/>
      <c r="E131" s="20"/>
      <c r="F131" s="20"/>
      <c r="G131" s="20"/>
      <c r="H131" s="20"/>
      <c r="I131" s="20"/>
      <c r="J131" s="20"/>
      <c r="K131" s="20"/>
      <c r="L131" s="20"/>
      <c r="M131" s="20"/>
      <c r="N131" s="20"/>
      <c r="O131" s="20"/>
      <c r="P131" s="20"/>
      <c r="Q131" s="20"/>
      <c r="R131" s="20"/>
      <c r="S131" s="20"/>
      <c r="T131" s="20"/>
      <c r="U131" s="20"/>
      <c r="V131" s="20"/>
      <c r="W131" s="20"/>
      <c r="X131" s="20"/>
      <c r="Y131" s="20"/>
      <c r="Z131" s="20"/>
      <c r="AA131" s="20"/>
      <c r="AB131" s="20"/>
      <c r="AC131" s="20"/>
      <c r="AD131" s="20"/>
    </row>
    <row r="132" spans="1:30">
      <c r="A132" s="20"/>
      <c r="B132" s="20"/>
      <c r="C132" s="20"/>
      <c r="D132" s="20"/>
      <c r="E132" s="20"/>
      <c r="F132" s="20"/>
      <c r="G132" s="20"/>
      <c r="H132" s="20"/>
      <c r="I132" s="20"/>
      <c r="J132" s="20"/>
      <c r="K132" s="20"/>
      <c r="L132" s="20"/>
      <c r="M132" s="20"/>
      <c r="N132" s="20"/>
      <c r="O132" s="20"/>
      <c r="P132" s="20"/>
      <c r="Q132" s="20"/>
      <c r="R132" s="20"/>
      <c r="S132" s="20"/>
      <c r="T132" s="20"/>
      <c r="U132" s="20"/>
      <c r="V132" s="20"/>
      <c r="W132" s="20"/>
      <c r="X132" s="20"/>
      <c r="Y132" s="20"/>
      <c r="Z132" s="20"/>
      <c r="AA132" s="20"/>
      <c r="AB132" s="20"/>
      <c r="AC132" s="20"/>
      <c r="AD132" s="20"/>
    </row>
    <row r="133" spans="1:30">
      <c r="A133" s="20"/>
      <c r="B133" s="20"/>
      <c r="C133" s="20"/>
      <c r="D133" s="20"/>
      <c r="E133" s="20"/>
      <c r="F133" s="20"/>
      <c r="G133" s="20"/>
      <c r="H133" s="20"/>
      <c r="I133" s="20"/>
      <c r="J133" s="20"/>
      <c r="K133" s="20"/>
      <c r="L133" s="20"/>
      <c r="M133" s="20"/>
      <c r="N133" s="20"/>
      <c r="O133" s="20"/>
      <c r="P133" s="20"/>
      <c r="Q133" s="20"/>
      <c r="R133" s="20"/>
      <c r="S133" s="20"/>
      <c r="T133" s="20"/>
      <c r="U133" s="20"/>
      <c r="V133" s="20"/>
      <c r="W133" s="20"/>
      <c r="X133" s="20"/>
      <c r="Y133" s="20"/>
      <c r="Z133" s="20"/>
      <c r="AA133" s="20"/>
      <c r="AB133" s="20"/>
      <c r="AC133" s="20"/>
      <c r="AD133" s="20"/>
    </row>
    <row r="134" spans="1:30">
      <c r="A134" s="20"/>
      <c r="B134" s="20"/>
      <c r="C134" s="20"/>
      <c r="D134" s="20"/>
      <c r="E134" s="20"/>
      <c r="F134" s="20"/>
      <c r="G134" s="20"/>
      <c r="H134" s="20"/>
      <c r="I134" s="20"/>
      <c r="J134" s="20"/>
      <c r="K134" s="20"/>
      <c r="L134" s="20"/>
      <c r="M134" s="20"/>
      <c r="N134" s="20"/>
      <c r="O134" s="20"/>
      <c r="P134" s="20"/>
      <c r="Q134" s="20"/>
      <c r="R134" s="20"/>
      <c r="S134" s="20"/>
      <c r="T134" s="20"/>
      <c r="U134" s="20"/>
      <c r="V134" s="20"/>
      <c r="W134" s="20"/>
      <c r="X134" s="20"/>
      <c r="Y134" s="20"/>
      <c r="Z134" s="20"/>
      <c r="AA134" s="20"/>
      <c r="AB134" s="20"/>
      <c r="AC134" s="20"/>
      <c r="AD134" s="20"/>
    </row>
    <row r="135" spans="1:30">
      <c r="A135" s="20"/>
      <c r="B135" s="20"/>
      <c r="C135" s="20"/>
      <c r="D135" s="20"/>
      <c r="E135" s="20"/>
      <c r="F135" s="20"/>
      <c r="G135" s="20"/>
      <c r="H135" s="20"/>
      <c r="I135" s="20"/>
      <c r="J135" s="20"/>
      <c r="K135" s="20"/>
      <c r="L135" s="20"/>
      <c r="M135" s="20"/>
      <c r="N135" s="20"/>
      <c r="O135" s="20"/>
      <c r="P135" s="20"/>
      <c r="Q135" s="20"/>
      <c r="R135" s="20"/>
      <c r="S135" s="20"/>
      <c r="T135" s="20"/>
      <c r="U135" s="20"/>
      <c r="V135" s="20"/>
      <c r="W135" s="20"/>
      <c r="X135" s="20"/>
      <c r="Y135" s="20"/>
      <c r="Z135" s="20"/>
      <c r="AA135" s="20"/>
      <c r="AB135" s="20"/>
      <c r="AC135" s="20"/>
      <c r="AD135" s="20"/>
    </row>
    <row r="136" spans="1:30">
      <c r="A136" s="20"/>
      <c r="B136" s="20"/>
      <c r="C136" s="20"/>
      <c r="D136" s="20"/>
      <c r="E136" s="20"/>
      <c r="F136" s="20"/>
      <c r="G136" s="20"/>
      <c r="H136" s="20"/>
      <c r="I136" s="20"/>
      <c r="J136" s="20"/>
      <c r="K136" s="20"/>
      <c r="L136" s="20"/>
      <c r="M136" s="20"/>
      <c r="N136" s="20"/>
      <c r="O136" s="20"/>
      <c r="P136" s="20"/>
      <c r="Q136" s="20"/>
      <c r="R136" s="20"/>
      <c r="S136" s="20"/>
      <c r="T136" s="20"/>
      <c r="U136" s="20"/>
      <c r="V136" s="20"/>
      <c r="W136" s="20"/>
      <c r="X136" s="20"/>
      <c r="Y136" s="20"/>
      <c r="Z136" s="20"/>
      <c r="AA136" s="20"/>
      <c r="AB136" s="20"/>
      <c r="AC136" s="20"/>
      <c r="AD136" s="20"/>
    </row>
    <row r="137" spans="1:30">
      <c r="A137" s="20"/>
      <c r="B137" s="20"/>
      <c r="C137" s="20"/>
      <c r="D137" s="20"/>
      <c r="E137" s="20"/>
      <c r="F137" s="20"/>
      <c r="G137" s="20"/>
      <c r="H137" s="20"/>
      <c r="I137" s="20"/>
      <c r="J137" s="20"/>
      <c r="K137" s="20"/>
      <c r="L137" s="20"/>
      <c r="M137" s="20"/>
      <c r="N137" s="20"/>
      <c r="O137" s="20"/>
      <c r="P137" s="20"/>
      <c r="Q137" s="20"/>
      <c r="R137" s="20"/>
      <c r="S137" s="20"/>
      <c r="T137" s="20"/>
      <c r="U137" s="20"/>
      <c r="V137" s="20"/>
      <c r="W137" s="20"/>
      <c r="X137" s="20"/>
      <c r="Y137" s="20"/>
      <c r="Z137" s="20"/>
      <c r="AA137" s="20"/>
      <c r="AB137" s="20"/>
      <c r="AC137" s="20"/>
      <c r="AD137" s="20"/>
    </row>
    <row r="138" spans="1:30">
      <c r="A138" s="20"/>
      <c r="B138" s="20"/>
      <c r="C138" s="20"/>
      <c r="D138" s="20"/>
      <c r="E138" s="20"/>
      <c r="F138" s="20"/>
      <c r="G138" s="20"/>
      <c r="H138" s="20"/>
      <c r="I138" s="20"/>
      <c r="J138" s="20"/>
      <c r="K138" s="20"/>
      <c r="L138" s="20"/>
      <c r="M138" s="20"/>
      <c r="N138" s="20"/>
      <c r="O138" s="20"/>
      <c r="P138" s="20"/>
      <c r="Q138" s="20"/>
      <c r="R138" s="20"/>
      <c r="S138" s="20"/>
      <c r="T138" s="20"/>
      <c r="U138" s="20"/>
      <c r="V138" s="20"/>
      <c r="W138" s="20"/>
      <c r="X138" s="20"/>
      <c r="Y138" s="20"/>
      <c r="Z138" s="20"/>
      <c r="AA138" s="20"/>
      <c r="AB138" s="20"/>
      <c r="AC138" s="20"/>
      <c r="AD138" s="20"/>
    </row>
    <row r="139" spans="1:30">
      <c r="A139" s="20"/>
      <c r="B139" s="20"/>
      <c r="C139" s="20"/>
      <c r="D139" s="20"/>
      <c r="E139" s="20"/>
      <c r="F139" s="20"/>
      <c r="G139" s="20"/>
      <c r="H139" s="20"/>
      <c r="I139" s="20"/>
      <c r="J139" s="20"/>
      <c r="K139" s="20"/>
      <c r="L139" s="20"/>
      <c r="M139" s="20"/>
      <c r="N139" s="20"/>
      <c r="O139" s="20"/>
      <c r="P139" s="20"/>
      <c r="Q139" s="20"/>
      <c r="R139" s="20"/>
      <c r="S139" s="20"/>
      <c r="T139" s="20"/>
      <c r="U139" s="20"/>
      <c r="V139" s="20"/>
      <c r="W139" s="20"/>
      <c r="X139" s="20"/>
      <c r="Y139" s="20"/>
      <c r="Z139" s="20"/>
      <c r="AA139" s="20"/>
      <c r="AB139" s="20"/>
      <c r="AC139" s="20"/>
      <c r="AD139" s="20"/>
    </row>
    <row r="140" spans="1:30">
      <c r="A140" s="20"/>
      <c r="B140" s="20"/>
      <c r="C140" s="20"/>
      <c r="D140" s="20"/>
      <c r="E140" s="20"/>
      <c r="F140" s="20"/>
      <c r="G140" s="20"/>
      <c r="H140" s="20"/>
      <c r="I140" s="20"/>
      <c r="J140" s="20"/>
      <c r="K140" s="20"/>
      <c r="L140" s="20"/>
      <c r="M140" s="20"/>
      <c r="N140" s="20"/>
      <c r="O140" s="20"/>
      <c r="P140" s="20"/>
      <c r="Q140" s="20"/>
      <c r="R140" s="20"/>
      <c r="S140" s="20"/>
      <c r="T140" s="20"/>
      <c r="U140" s="20"/>
      <c r="V140" s="20"/>
      <c r="W140" s="20"/>
      <c r="X140" s="20"/>
      <c r="Y140" s="20"/>
      <c r="Z140" s="20"/>
      <c r="AA140" s="20"/>
      <c r="AB140" s="20"/>
      <c r="AC140" s="20"/>
      <c r="AD140" s="20"/>
    </row>
    <row r="141" spans="1:30">
      <c r="A141" s="20"/>
      <c r="B141" s="20"/>
      <c r="C141" s="20"/>
      <c r="D141" s="20"/>
      <c r="E141" s="20"/>
      <c r="F141" s="20"/>
      <c r="G141" s="20"/>
      <c r="H141" s="20"/>
      <c r="I141" s="20"/>
      <c r="J141" s="20"/>
      <c r="K141" s="20"/>
      <c r="L141" s="20"/>
      <c r="M141" s="20"/>
      <c r="N141" s="20"/>
      <c r="O141" s="20"/>
      <c r="P141" s="20"/>
      <c r="Q141" s="20"/>
      <c r="R141" s="20"/>
      <c r="S141" s="20"/>
      <c r="T141" s="20"/>
      <c r="U141" s="20"/>
      <c r="V141" s="20"/>
      <c r="W141" s="20"/>
      <c r="X141" s="20"/>
      <c r="Y141" s="20"/>
      <c r="Z141" s="20"/>
      <c r="AA141" s="20"/>
      <c r="AB141" s="20"/>
      <c r="AC141" s="20"/>
      <c r="AD141" s="20"/>
    </row>
    <row r="142" spans="1:30">
      <c r="A142" s="20"/>
      <c r="B142" s="20"/>
      <c r="C142" s="20"/>
      <c r="D142" s="20"/>
      <c r="E142" s="20"/>
      <c r="F142" s="20"/>
      <c r="G142" s="20"/>
      <c r="H142" s="20"/>
      <c r="I142" s="20"/>
      <c r="J142" s="20"/>
      <c r="K142" s="20"/>
      <c r="L142" s="20"/>
      <c r="M142" s="20"/>
      <c r="N142" s="20"/>
      <c r="O142" s="20"/>
      <c r="P142" s="20"/>
      <c r="Q142" s="20"/>
      <c r="R142" s="20"/>
      <c r="S142" s="20"/>
      <c r="T142" s="20"/>
      <c r="U142" s="20"/>
      <c r="V142" s="20"/>
      <c r="W142" s="20"/>
      <c r="X142" s="20"/>
      <c r="Y142" s="20"/>
      <c r="Z142" s="20"/>
      <c r="AA142" s="20"/>
      <c r="AB142" s="20"/>
      <c r="AC142" s="20"/>
      <c r="AD142" s="20"/>
    </row>
    <row r="143" spans="1:30">
      <c r="A143" s="20"/>
      <c r="B143" s="20"/>
      <c r="C143" s="20"/>
      <c r="D143" s="20"/>
      <c r="E143" s="20"/>
      <c r="F143" s="20"/>
      <c r="G143" s="20"/>
      <c r="H143" s="20"/>
      <c r="I143" s="20"/>
      <c r="J143" s="20"/>
      <c r="K143" s="20"/>
      <c r="L143" s="20"/>
      <c r="M143" s="20"/>
      <c r="N143" s="20"/>
      <c r="O143" s="20"/>
      <c r="P143" s="20"/>
      <c r="Q143" s="20"/>
      <c r="R143" s="20"/>
      <c r="S143" s="20"/>
      <c r="T143" s="20"/>
      <c r="U143" s="20"/>
      <c r="V143" s="20"/>
      <c r="W143" s="20"/>
      <c r="X143" s="20"/>
      <c r="Y143" s="20"/>
      <c r="Z143" s="20"/>
      <c r="AA143" s="20"/>
      <c r="AB143" s="20"/>
      <c r="AC143" s="20"/>
      <c r="AD143" s="20"/>
    </row>
    <row r="144" spans="1:30">
      <c r="A144" s="20"/>
      <c r="B144" s="20"/>
      <c r="C144" s="20"/>
      <c r="D144" s="20"/>
      <c r="E144" s="20"/>
      <c r="F144" s="20"/>
      <c r="G144" s="20"/>
      <c r="H144" s="20"/>
      <c r="I144" s="20"/>
      <c r="J144" s="20"/>
      <c r="K144" s="20"/>
      <c r="L144" s="20"/>
      <c r="M144" s="20"/>
      <c r="N144" s="20"/>
      <c r="O144" s="20"/>
      <c r="P144" s="20"/>
      <c r="Q144" s="20"/>
      <c r="R144" s="20"/>
      <c r="S144" s="20"/>
      <c r="T144" s="20"/>
      <c r="U144" s="20"/>
      <c r="V144" s="20"/>
      <c r="W144" s="20"/>
      <c r="X144" s="20"/>
      <c r="Y144" s="20"/>
      <c r="Z144" s="20"/>
      <c r="AA144" s="20"/>
      <c r="AB144" s="20"/>
      <c r="AC144" s="20"/>
      <c r="AD144" s="20"/>
    </row>
    <row r="145" spans="1:30">
      <c r="A145" s="20"/>
      <c r="B145" s="20"/>
      <c r="C145" s="20"/>
      <c r="D145" s="20"/>
      <c r="E145" s="20"/>
      <c r="F145" s="20"/>
      <c r="G145" s="20"/>
      <c r="H145" s="20"/>
      <c r="I145" s="20"/>
      <c r="J145" s="20"/>
      <c r="K145" s="20"/>
      <c r="L145" s="20"/>
      <c r="M145" s="20"/>
      <c r="N145" s="20"/>
      <c r="O145" s="20"/>
      <c r="P145" s="20"/>
      <c r="Q145" s="20"/>
      <c r="R145" s="20"/>
      <c r="S145" s="20"/>
      <c r="T145" s="20"/>
      <c r="U145" s="20"/>
      <c r="V145" s="20"/>
      <c r="W145" s="20"/>
      <c r="X145" s="20"/>
      <c r="Y145" s="20"/>
      <c r="Z145" s="20"/>
      <c r="AA145" s="20"/>
      <c r="AB145" s="20"/>
      <c r="AC145" s="20"/>
      <c r="AD145" s="20"/>
    </row>
    <row r="146" spans="1:30">
      <c r="A146" s="20"/>
      <c r="B146" s="20"/>
      <c r="C146" s="20"/>
      <c r="D146" s="20"/>
      <c r="E146" s="20"/>
      <c r="F146" s="20"/>
      <c r="G146" s="20"/>
      <c r="H146" s="20"/>
      <c r="I146" s="20"/>
      <c r="J146" s="20"/>
      <c r="K146" s="20"/>
      <c r="L146" s="20"/>
      <c r="M146" s="20"/>
      <c r="N146" s="20"/>
      <c r="O146" s="20"/>
      <c r="P146" s="20"/>
      <c r="Q146" s="20"/>
      <c r="R146" s="20"/>
      <c r="S146" s="20"/>
      <c r="T146" s="20"/>
      <c r="U146" s="20"/>
      <c r="V146" s="20"/>
      <c r="W146" s="20"/>
      <c r="X146" s="20"/>
      <c r="Y146" s="20"/>
      <c r="Z146" s="20"/>
      <c r="AA146" s="20"/>
      <c r="AB146" s="20"/>
      <c r="AC146" s="20"/>
      <c r="AD146" s="20"/>
    </row>
    <row r="147" spans="1:30">
      <c r="A147" s="20"/>
      <c r="B147" s="20"/>
      <c r="C147" s="20"/>
      <c r="D147" s="20"/>
      <c r="E147" s="20"/>
      <c r="F147" s="20"/>
      <c r="G147" s="20"/>
      <c r="H147" s="20"/>
      <c r="I147" s="20"/>
      <c r="J147" s="20"/>
      <c r="K147" s="20"/>
      <c r="L147" s="20"/>
      <c r="M147" s="20"/>
      <c r="N147" s="20"/>
      <c r="O147" s="20"/>
      <c r="P147" s="20"/>
      <c r="Q147" s="20"/>
      <c r="R147" s="20"/>
      <c r="S147" s="20"/>
      <c r="T147" s="20"/>
      <c r="U147" s="20"/>
      <c r="V147" s="20"/>
      <c r="W147" s="20"/>
      <c r="X147" s="20"/>
      <c r="Y147" s="20"/>
      <c r="Z147" s="20"/>
      <c r="AA147" s="20"/>
      <c r="AB147" s="20"/>
      <c r="AC147" s="20"/>
      <c r="AD147" s="20"/>
    </row>
    <row r="148" spans="1:30">
      <c r="A148" s="20"/>
      <c r="B148" s="20"/>
      <c r="C148" s="20"/>
      <c r="D148" s="20"/>
      <c r="E148" s="20"/>
      <c r="F148" s="20"/>
      <c r="G148" s="20"/>
      <c r="H148" s="20"/>
      <c r="I148" s="20"/>
      <c r="J148" s="20"/>
      <c r="K148" s="20"/>
      <c r="L148" s="20"/>
      <c r="M148" s="20"/>
      <c r="N148" s="20"/>
      <c r="O148" s="20"/>
      <c r="P148" s="20"/>
      <c r="Q148" s="20"/>
      <c r="R148" s="20"/>
      <c r="S148" s="20"/>
      <c r="T148" s="20"/>
      <c r="U148" s="20"/>
      <c r="V148" s="20"/>
      <c r="W148" s="20"/>
      <c r="X148" s="20"/>
      <c r="Y148" s="20"/>
      <c r="Z148" s="20"/>
      <c r="AA148" s="20"/>
      <c r="AB148" s="20"/>
      <c r="AC148" s="20"/>
      <c r="AD148" s="20"/>
    </row>
    <row r="149" spans="1:30">
      <c r="A149" s="20"/>
      <c r="B149" s="20"/>
      <c r="C149" s="20"/>
      <c r="D149" s="20"/>
      <c r="E149" s="20"/>
      <c r="F149" s="20"/>
      <c r="G149" s="20"/>
      <c r="H149" s="20"/>
      <c r="I149" s="20"/>
      <c r="J149" s="20"/>
      <c r="K149" s="20"/>
      <c r="L149" s="20"/>
      <c r="M149" s="20"/>
      <c r="N149" s="20"/>
      <c r="O149" s="20"/>
      <c r="P149" s="20"/>
      <c r="Q149" s="20"/>
      <c r="R149" s="20"/>
      <c r="S149" s="20"/>
      <c r="T149" s="20"/>
      <c r="U149" s="20"/>
      <c r="V149" s="20"/>
      <c r="W149" s="20"/>
      <c r="X149" s="20"/>
      <c r="Y149" s="20"/>
      <c r="Z149" s="20"/>
      <c r="AA149" s="20"/>
      <c r="AB149" s="20"/>
      <c r="AC149" s="20"/>
      <c r="AD149" s="20"/>
    </row>
    <row r="150" spans="1:30">
      <c r="A150" s="20"/>
      <c r="B150" s="20"/>
      <c r="C150" s="20"/>
      <c r="D150" s="20"/>
      <c r="E150" s="20"/>
      <c r="F150" s="20"/>
      <c r="G150" s="20"/>
      <c r="H150" s="20"/>
      <c r="I150" s="20"/>
      <c r="J150" s="20"/>
      <c r="K150" s="20"/>
      <c r="L150" s="20"/>
      <c r="M150" s="20"/>
      <c r="N150" s="20"/>
      <c r="O150" s="20"/>
      <c r="P150" s="20"/>
      <c r="Q150" s="20"/>
      <c r="R150" s="20"/>
      <c r="S150" s="20"/>
      <c r="T150" s="20"/>
      <c r="U150" s="20"/>
      <c r="V150" s="20"/>
      <c r="W150" s="20"/>
      <c r="X150" s="20"/>
      <c r="Y150" s="20"/>
      <c r="Z150" s="20"/>
      <c r="AA150" s="20"/>
      <c r="AB150" s="20"/>
      <c r="AC150" s="20"/>
      <c r="AD150" s="20"/>
    </row>
    <row r="151" spans="1:30">
      <c r="A151" s="20"/>
      <c r="B151" s="20"/>
      <c r="C151" s="20"/>
      <c r="D151" s="20"/>
      <c r="E151" s="20"/>
      <c r="F151" s="20"/>
      <c r="G151" s="20"/>
      <c r="H151" s="20"/>
      <c r="I151" s="20"/>
      <c r="J151" s="20"/>
      <c r="K151" s="20"/>
      <c r="L151" s="20"/>
      <c r="M151" s="20"/>
      <c r="N151" s="20"/>
      <c r="O151" s="20"/>
      <c r="P151" s="20"/>
      <c r="Q151" s="20"/>
      <c r="R151" s="20"/>
      <c r="S151" s="20"/>
      <c r="T151" s="20"/>
      <c r="U151" s="20"/>
      <c r="V151" s="20"/>
      <c r="W151" s="20"/>
      <c r="X151" s="20"/>
      <c r="Y151" s="20"/>
      <c r="Z151" s="20"/>
      <c r="AA151" s="20"/>
      <c r="AB151" s="20"/>
      <c r="AC151" s="20"/>
      <c r="AD151" s="20"/>
    </row>
    <row r="152" spans="1:30">
      <c r="A152" s="20"/>
      <c r="B152" s="20"/>
      <c r="C152" s="20"/>
      <c r="D152" s="20"/>
      <c r="E152" s="20"/>
      <c r="F152" s="20"/>
      <c r="G152" s="20"/>
      <c r="H152" s="20"/>
      <c r="I152" s="20"/>
      <c r="J152" s="20"/>
      <c r="K152" s="20"/>
      <c r="L152" s="20"/>
      <c r="M152" s="20"/>
      <c r="N152" s="20"/>
      <c r="O152" s="20"/>
      <c r="P152" s="20"/>
      <c r="Q152" s="20"/>
    </row>
    <row r="153" spans="1:30">
      <c r="A153" s="20"/>
      <c r="B153" s="20"/>
      <c r="C153" s="20"/>
      <c r="D153" s="20"/>
      <c r="E153" s="20"/>
      <c r="F153" s="20"/>
      <c r="G153" s="20"/>
      <c r="H153" s="20"/>
      <c r="I153" s="20"/>
      <c r="J153" s="20"/>
      <c r="K153" s="20"/>
      <c r="L153" s="20"/>
      <c r="M153" s="20"/>
      <c r="N153" s="20"/>
      <c r="O153" s="20"/>
      <c r="P153" s="20"/>
      <c r="Q153" s="20"/>
    </row>
    <row r="154" spans="1:30">
      <c r="A154" s="20"/>
      <c r="B154" s="20"/>
      <c r="C154" s="20"/>
      <c r="D154" s="20"/>
      <c r="E154" s="20"/>
      <c r="F154" s="20"/>
      <c r="G154" s="20"/>
      <c r="H154" s="20"/>
      <c r="I154" s="20"/>
      <c r="J154" s="20"/>
      <c r="K154" s="20"/>
      <c r="L154" s="20"/>
      <c r="M154" s="20"/>
      <c r="N154" s="20"/>
      <c r="O154" s="20"/>
      <c r="P154" s="20"/>
      <c r="Q154" s="20"/>
    </row>
    <row r="155" spans="1:30">
      <c r="A155" s="20"/>
      <c r="B155" s="20"/>
      <c r="C155" s="20"/>
      <c r="D155" s="20"/>
      <c r="E155" s="20"/>
      <c r="F155" s="20"/>
      <c r="G155" s="20"/>
      <c r="H155" s="20"/>
      <c r="I155" s="20"/>
      <c r="J155" s="20"/>
      <c r="K155" s="20"/>
      <c r="L155" s="20"/>
      <c r="M155" s="20"/>
      <c r="N155" s="20"/>
      <c r="O155" s="20"/>
      <c r="P155" s="20"/>
      <c r="Q155" s="20"/>
    </row>
    <row r="156" spans="1:30">
      <c r="A156" s="20"/>
      <c r="B156" s="20"/>
      <c r="C156" s="20"/>
      <c r="D156" s="20"/>
      <c r="E156" s="20"/>
      <c r="F156" s="20"/>
      <c r="G156" s="20"/>
      <c r="H156" s="20"/>
      <c r="I156" s="20"/>
      <c r="J156" s="20"/>
      <c r="K156" s="20"/>
      <c r="L156" s="20"/>
      <c r="M156" s="20"/>
      <c r="N156" s="20"/>
      <c r="O156" s="20"/>
      <c r="P156" s="20"/>
      <c r="Q156" s="20"/>
    </row>
    <row r="157" spans="1:30">
      <c r="A157" s="20"/>
      <c r="B157" s="20"/>
      <c r="C157" s="20"/>
      <c r="D157" s="20"/>
      <c r="E157" s="20"/>
      <c r="F157" s="20"/>
      <c r="G157" s="20"/>
      <c r="H157" s="20"/>
      <c r="I157" s="20"/>
      <c r="J157" s="20"/>
      <c r="K157" s="20"/>
      <c r="L157" s="20"/>
      <c r="M157" s="20"/>
      <c r="N157" s="20"/>
      <c r="O157" s="20"/>
      <c r="P157" s="20"/>
      <c r="Q157" s="20"/>
    </row>
    <row r="158" spans="1:30">
      <c r="A158" s="20"/>
      <c r="B158" s="20"/>
      <c r="C158" s="20"/>
      <c r="D158" s="20"/>
      <c r="E158" s="20"/>
      <c r="F158" s="20"/>
      <c r="G158" s="20"/>
      <c r="H158" s="20"/>
      <c r="I158" s="20"/>
      <c r="J158" s="20"/>
      <c r="K158" s="20"/>
      <c r="L158" s="20"/>
      <c r="M158" s="20"/>
      <c r="N158" s="20"/>
      <c r="O158" s="20"/>
      <c r="P158" s="20"/>
      <c r="Q158" s="20"/>
    </row>
    <row r="159" spans="1:30">
      <c r="A159" s="20"/>
      <c r="B159" s="20"/>
      <c r="C159" s="20"/>
      <c r="D159" s="20"/>
      <c r="E159" s="20"/>
      <c r="F159" s="20"/>
      <c r="G159" s="20"/>
      <c r="H159" s="20"/>
      <c r="I159" s="20"/>
      <c r="J159" s="20"/>
      <c r="K159" s="20"/>
      <c r="L159" s="20"/>
      <c r="M159" s="20"/>
      <c r="N159" s="20"/>
      <c r="O159" s="20"/>
      <c r="P159" s="20"/>
      <c r="Q159" s="20"/>
    </row>
    <row r="160" spans="1:30">
      <c r="A160" s="20"/>
      <c r="B160" s="20"/>
      <c r="C160" s="20"/>
      <c r="D160" s="20"/>
      <c r="E160" s="20"/>
      <c r="F160" s="20"/>
      <c r="G160" s="20"/>
      <c r="H160" s="20"/>
      <c r="I160" s="20"/>
      <c r="J160" s="20"/>
      <c r="K160" s="20"/>
      <c r="L160" s="20"/>
      <c r="M160" s="20"/>
      <c r="N160" s="20"/>
      <c r="O160" s="20"/>
      <c r="P160" s="20"/>
      <c r="Q160" s="20"/>
    </row>
  </sheetData>
  <sheetProtection algorithmName="SHA-512" hashValue="u1X6CG/Xd7HPh3wPvF4xSb/mOkg9rzCf26eJlw3vXKptT0GTnYMnMbZKaAXfVC2E7h6XL18S+5fm/+bBpzGG6g==" saltValue="YO2dYSzfeQxFGnMKj+HS7w==" spinCount="100000" sheet="1" selectLockedCells="1"/>
  <mergeCells count="40">
    <mergeCell ref="S70:T70"/>
    <mergeCell ref="U70:V70"/>
    <mergeCell ref="D11:I11"/>
    <mergeCell ref="D3:M4"/>
    <mergeCell ref="D7:F7"/>
    <mergeCell ref="J7:K7"/>
    <mergeCell ref="N7:P7"/>
    <mergeCell ref="D9:F9"/>
    <mergeCell ref="J9:K9"/>
    <mergeCell ref="G33:L33"/>
    <mergeCell ref="G21:L21"/>
    <mergeCell ref="G34:L34"/>
    <mergeCell ref="G23:L23"/>
    <mergeCell ref="G24:L24"/>
    <mergeCell ref="G25:L25"/>
    <mergeCell ref="G26:L26"/>
    <mergeCell ref="G39:L39"/>
    <mergeCell ref="G27:L27"/>
    <mergeCell ref="G28:L28"/>
    <mergeCell ref="G29:L29"/>
    <mergeCell ref="G30:L30"/>
    <mergeCell ref="G35:L35"/>
    <mergeCell ref="G36:L36"/>
    <mergeCell ref="G37:L37"/>
    <mergeCell ref="G38:L38"/>
    <mergeCell ref="G32:L32"/>
    <mergeCell ref="G31:L31"/>
    <mergeCell ref="N94:P94"/>
    <mergeCell ref="N96:P96"/>
    <mergeCell ref="N98:P98"/>
    <mergeCell ref="J73:L73"/>
    <mergeCell ref="N73:P73"/>
    <mergeCell ref="N76:P76"/>
    <mergeCell ref="N89:P89"/>
    <mergeCell ref="G22:L22"/>
    <mergeCell ref="G16:L16"/>
    <mergeCell ref="G17:L17"/>
    <mergeCell ref="G18:L18"/>
    <mergeCell ref="G19:L19"/>
    <mergeCell ref="G20:L20"/>
  </mergeCells>
  <conditionalFormatting sqref="C17:F39">
    <cfRule type="containsBlanks" dxfId="4" priority="6" stopIfTrue="1">
      <formula>LEN(TRIM(C17))=0</formula>
    </cfRule>
  </conditionalFormatting>
  <conditionalFormatting sqref="G17:L39">
    <cfRule type="containsBlanks" dxfId="3" priority="3" stopIfTrue="1">
      <formula>LEN(TRIM(G17))=0</formula>
    </cfRule>
  </conditionalFormatting>
  <conditionalFormatting sqref="L45">
    <cfRule type="containsErrors" dxfId="2" priority="5" stopIfTrue="1">
      <formula>ISERROR(L45)</formula>
    </cfRule>
  </conditionalFormatting>
  <conditionalFormatting sqref="N47">
    <cfRule type="cellIs" dxfId="1" priority="7" stopIfTrue="1" operator="equal">
      <formula>0</formula>
    </cfRule>
  </conditionalFormatting>
  <conditionalFormatting sqref="A1:AD160">
    <cfRule type="expression" dxfId="0" priority="2" stopIfTrue="1">
      <formula>AND(A1&lt;&gt;"",OR(A1=0,A1="0"))</formula>
    </cfRule>
  </conditionalFormatting>
  <hyperlinks>
    <hyperlink ref="R54" location="'Guía de trabajo'!Área_de_impresión" display="Volver" xr:uid="{00000000-0004-0000-0D00-000000000000}"/>
  </hyperlinks>
  <pageMargins left="0.70866141732283472" right="0.39370078740157483" top="0.74803149606299213" bottom="0.31496062992125984" header="0.31496062992125984" footer="0.31496062992125984"/>
  <pageSetup paperSize="9" orientation="portrait" blackAndWhite="1" horizontalDpi="300" verticalDpi="300" r:id="rId1"/>
  <headerFooter>
    <oddHeader>&amp;LPREFECTURA NAVAL ARGENTINA</oddHeader>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16</vt:i4>
      </vt:variant>
      <vt:variant>
        <vt:lpstr>Rangos con nombre</vt:lpstr>
      </vt:variant>
      <vt:variant>
        <vt:i4>14</vt:i4>
      </vt:variant>
    </vt:vector>
  </HeadingPairs>
  <TitlesOfParts>
    <vt:vector size="30" baseType="lpstr">
      <vt:lpstr>Instrucciones</vt:lpstr>
      <vt:lpstr>Guía de trabajo</vt:lpstr>
      <vt:lpstr>Datum Aer</vt:lpstr>
      <vt:lpstr>VMA</vt:lpstr>
      <vt:lpstr>Datum</vt:lpstr>
      <vt:lpstr>VMS</vt:lpstr>
      <vt:lpstr>CTA</vt:lpstr>
      <vt:lpstr>CA</vt:lpstr>
      <vt:lpstr>AB</vt:lpstr>
      <vt:lpstr>CM</vt:lpstr>
      <vt:lpstr>E</vt:lpstr>
      <vt:lpstr>Ztd</vt:lpstr>
      <vt:lpstr>HTDMD</vt:lpstr>
      <vt:lpstr>HTAE</vt:lpstr>
      <vt:lpstr>HTAE2</vt:lpstr>
      <vt:lpstr>Suma Vect</vt:lpstr>
      <vt:lpstr>AB!Área_de_impresión</vt:lpstr>
      <vt:lpstr>CA!Área_de_impresión</vt:lpstr>
      <vt:lpstr>CM!Área_de_impresión</vt:lpstr>
      <vt:lpstr>CTA!Área_de_impresión</vt:lpstr>
      <vt:lpstr>Datum!Área_de_impresión</vt:lpstr>
      <vt:lpstr>E!Área_de_impresión</vt:lpstr>
      <vt:lpstr>'Guía de trabajo'!Área_de_impresión</vt:lpstr>
      <vt:lpstr>HTAE!Área_de_impresión</vt:lpstr>
      <vt:lpstr>HTAE2!Área_de_impresión</vt:lpstr>
      <vt:lpstr>HTDMD!Área_de_impresión</vt:lpstr>
      <vt:lpstr>Instrucciones!Área_de_impresión</vt:lpstr>
      <vt:lpstr>'Suma Vect'!Área_de_impresión</vt:lpstr>
      <vt:lpstr>VMS!Área_de_impresión</vt:lpstr>
      <vt:lpstr>Ztd!Área_de_impresión</vt:lpstr>
    </vt:vector>
  </TitlesOfParts>
  <Company>Comodoro Rivadavia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gabriel pariente</dc:creator>
  <dc:description>Punto Dato con Div &gt;4.Dos areas unidas por linea de referencia, busqueda de un velero con 1 aeronave sobre el calculo anterior.</dc:description>
  <cp:lastModifiedBy>gabriel pariente</cp:lastModifiedBy>
  <cp:lastPrinted>2011-05-27T18:52:22Z</cp:lastPrinted>
  <dcterms:created xsi:type="dcterms:W3CDTF">2003-06-24T17:10:40Z</dcterms:created>
  <dcterms:modified xsi:type="dcterms:W3CDTF">2026-08-30T19:29:23Z</dcterms:modified>
</cp:coreProperties>
</file>